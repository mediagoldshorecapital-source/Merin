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&amp; Markers" sheetId="1" state="visible" r:id="rId3"/>
    <sheet name="Winners" sheetId="2" state="visible" r:id="rId4"/>
    <sheet name="Monthly Trend" sheetId="3" state="visible" r:id="rId5"/>
    <sheet name="Creative Concepts" sheetId="4" state="visible" r:id="rId6"/>
    <sheet name="All Ads 6mo" sheetId="5" state="visible" r:id="rId7"/>
    <sheet name="Winners by Age" sheetId="6" state="visible" r:id="rId8"/>
    <sheet name="Angle Tests (named ads)" sheetId="7" state="visible" r:id="rId9"/>
  </sheets>
  <definedNames>
    <definedName function="false" hidden="true" localSheetId="4" name="_xlnm._FilterDatabase" vbProcedure="false">'All Ads 6mo'!$A$1:$V$1001</definedName>
    <definedName function="false" hidden="true" localSheetId="6" name="_xlnm._FilterDatabase" vbProcedure="false">'Angle Tests (named ads)'!$A$1:$L$125</definedName>
    <definedName function="false" hidden="true" localSheetId="1" name="_xlnm._FilterDatabase" vbProcedure="false">Winners!$A$1:$AJ$43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<sst xmlns="http://schemas.openxmlformats.org/spreadsheetml/2006/main" count="8264" uniqueCount="3409">
  <si>
    <t xml:space="preserve">Winning Creatives – Meta ad account 2009539369903270 (Shopify: w1rbg9wu, USD)</t>
  </si>
  <si>
    <t xml:space="preserve">Period: 16 Apr 2026 – 16 Oct 2026 · Source: Meta Ads (platform-reported, account default attribution) · Pulled 16 Oct 2026</t>
  </si>
  <si>
    <t xml:space="preserve">Account baseline (6 months)</t>
  </si>
  <si>
    <t xml:space="preserve">Amount spent ($)</t>
  </si>
  <si>
    <t xml:space="preserve">Source: Meta Ads, account level, 16 Apr–16 Oct 2026</t>
  </si>
  <si>
    <t xml:space="preserve">Purchases</t>
  </si>
  <si>
    <t xml:space="preserve">Purchase value ($)</t>
  </si>
  <si>
    <t xml:space="preserve">Purchase ROAS</t>
  </si>
  <si>
    <t xml:space="preserve">Cost per purchase ($)</t>
  </si>
  <si>
    <t xml:space="preserve">Impressions</t>
  </si>
  <si>
    <t xml:space="preserve">CPM ($)</t>
  </si>
  <si>
    <t xml:space="preserve">CTR (link)</t>
  </si>
  <si>
    <t xml:space="preserve">Frequency</t>
  </si>
  <si>
    <t xml:space="preserve">Adds to cart</t>
  </si>
  <si>
    <t xml:space="preserve">Checkouts initiated</t>
  </si>
  <si>
    <t xml:space="preserve">Winner thresholds (yellow = edit to re-score the "All Ads" sheet)</t>
  </si>
  <si>
    <t xml:space="preserve">Min spend – proven ($)</t>
  </si>
  <si>
    <t xml:space="preserve">Assumption (default) – ≈17× account CPA, so a result is not luck</t>
  </si>
  <si>
    <t xml:space="preserve">Min purchases – proven</t>
  </si>
  <si>
    <t xml:space="preserve">Assumption (default) – Statistical floor</t>
  </si>
  <si>
    <t xml:space="preserve">Proven winner: ROAS ≥</t>
  </si>
  <si>
    <t xml:space="preserve">Assumption (default) – ≈1.3× account average ROAS (1.01x)</t>
  </si>
  <si>
    <t xml:space="preserve">Strong performer: ROAS ≥</t>
  </si>
  <si>
    <t xml:space="preserve">Assumption (default) – ~10% above account average</t>
  </si>
  <si>
    <t xml:space="preserve">Scale workhorse: min spend ($)</t>
  </si>
  <si>
    <t xml:space="preserve">Assumption (default) – Carries big budget at ≥ breakeven</t>
  </si>
  <si>
    <t xml:space="preserve">Scale workhorse: ROAS ≥</t>
  </si>
  <si>
    <t xml:space="preserve">Assumption (default) – Breakeven on first purchase</t>
  </si>
  <si>
    <t xml:space="preserve">Promising: min spend ($)</t>
  </si>
  <si>
    <t xml:space="preserve">Assumption (default) – ≈4× CPA</t>
  </si>
  <si>
    <t xml:space="preserve">Promising: min purchases</t>
  </si>
  <si>
    <t xml:space="preserve">Assumption (default) – </t>
  </si>
  <si>
    <t xml:space="preserve">Promising: ROAS ≥</t>
  </si>
  <si>
    <t xml:space="preserve">Assumption (default) – Needs more spend to prove</t>
  </si>
  <si>
    <t xml:space="preserve">Tiers</t>
  </si>
  <si>
    <t xml:space="preserve"># ads</t>
  </si>
  <si>
    <t xml:space="preserve">A. Proven winner</t>
  </si>
  <si>
    <t xml:space="preserve">Spend ≥ B18, purchases ≥ B19, ROAS ≥ B20</t>
  </si>
  <si>
    <t xml:space="preserve">B. Strong performer</t>
  </si>
  <si>
    <t xml:space="preserve">Spend ≥ B18, purchases ≥ B19, ROAS ≥ B21</t>
  </si>
  <si>
    <t xml:space="preserve">C. Scale workhorse</t>
  </si>
  <si>
    <t xml:space="preserve">Spend ≥ B22, ROAS ≥ B23 (volume carrier)</t>
  </si>
  <si>
    <t xml:space="preserve">D. Promising (needs more spend)</t>
  </si>
  <si>
    <t xml:space="preserve">Spend B24–B18, purchases ≥ B25, ROAS ≥ B26</t>
  </si>
  <si>
    <t xml:space="preserve">Secondary markers (context, not pass/fail)</t>
  </si>
  <si>
    <t xml:space="preserve">• Cost per purchase vs account avg (lower = better)</t>
  </si>
  <si>
    <t xml:space="preserve">• CTR (link) – scroll-stopping power / message-market fit</t>
  </si>
  <si>
    <t xml:space="preserve">• Video play rate = video plays ÷ impressions (hook proxy)</t>
  </si>
  <si>
    <t xml:space="preserve">• ThruPlay rate = ThruPlays ÷ video plays (hold)</t>
  </si>
  <si>
    <t xml:space="preserve">• CPM – auction cost; high CPM + high ROAS = premium audience</t>
  </si>
  <si>
    <t xml:space="preserve">• Frequency – &gt;2.5 on prospecting signals fatigue</t>
  </si>
  <si>
    <t xml:space="preserve">• Monthly trend – ROAS across months it spent (see Monthly Trend tab)</t>
  </si>
  <si>
    <t xml:space="preserve">• Funnel: adds to cart / checkouts initiated per purchase</t>
  </si>
  <si>
    <t xml:space="preserve">Notes</t>
  </si>
  <si>
    <t xml:space="preserve">• Purchase ROAS / value are Meta platform-reported (account default attribution window). Not reconciled with Shopify or Triple Whale.</t>
  </si>
  <si>
    <t xml:space="preserve">• Ad metrics cover 16 Apr–16 Oct only, even for ads created earlier. The 1,000 highest-spend ads are included (each spent ≥ $1.80; together 99.96% of account spend). Remaining ads spent under $1.80 each and cannot qualify.</t>
  </si>
  <si>
    <t xml:space="preserve">• Ad names are generic ("Video - Ad - 1"), so the same video appears under many ads. "Visual ID" groups ads that share the same thumbnail/visual.</t>
  </si>
  <si>
    <t xml:space="preserve">• Video play rate uses Meta "video plays" (not 3-second views, which this connection does not expose).</t>
  </si>
  <si>
    <t xml:space="preserve">Tier</t>
  </si>
  <si>
    <t xml:space="preserve">Ad name</t>
  </si>
  <si>
    <t xml:space="preserve">Ad ID</t>
  </si>
  <si>
    <t xml:space="preserve">Campaign</t>
  </si>
  <si>
    <t xml:space="preserve">Ad set</t>
  </si>
  <si>
    <t xml:space="preserve">Status</t>
  </si>
  <si>
    <t xml:space="preserve">Created</t>
  </si>
  <si>
    <t xml:space="preserve">Product</t>
  </si>
  <si>
    <t xml:space="preserve">Format</t>
  </si>
  <si>
    <t xml:space="preserve">Visual ID</t>
  </si>
  <si>
    <t xml:space="preserve">ROAS vs acct avg</t>
  </si>
  <si>
    <t xml:space="preserve">CPA vs acct avg</t>
  </si>
  <si>
    <t xml:space="preserve">Link clicks</t>
  </si>
  <si>
    <t xml:space="preserve">Video plays</t>
  </si>
  <si>
    <t xml:space="preserve">ThruPlays</t>
  </si>
  <si>
    <t xml:space="preserve">Video play rate</t>
  </si>
  <si>
    <t xml:space="preserve">ThruPlay rate</t>
  </si>
  <si>
    <t xml:space="preserve">Monthly ROAS (months ≥$100 spend)</t>
  </si>
  <si>
    <t xml:space="preserve">Headline</t>
  </si>
  <si>
    <t xml:space="preserve">Primary text</t>
  </si>
  <si>
    <t xml:space="preserve">Description</t>
  </si>
  <si>
    <t xml:space="preserve">CTA</t>
  </si>
  <si>
    <t xml:space="preserve">Video ID</t>
  </si>
  <si>
    <t xml:space="preserve">Creative ID</t>
  </si>
  <si>
    <t xml:space="preserve">Facebook post</t>
  </si>
  <si>
    <t xml:space="preserve">- Video - Ad - 1 - Copy</t>
  </si>
  <si>
    <t xml:space="preserve">120243619709580341</t>
  </si>
  <si>
    <t xml:space="preserve">5. NMN Scaling Campaign (CBO) Feb 14 2026</t>
  </si>
  <si>
    <t xml:space="preserve">4. Feb 27 (9. Feb 9 USA 19-21)</t>
  </si>
  <si>
    <t xml:space="preserve">PAUSED</t>
  </si>
  <si>
    <t xml:space="preserve">2026-02-28</t>
  </si>
  <si>
    <t xml:space="preserve">NMN Complex</t>
  </si>
  <si>
    <t xml:space="preserve">Video (existing post)</t>
  </si>
  <si>
    <t xml:space="preserve">632447272</t>
  </si>
  <si>
    <t xml:space="preserve">Apr* 3.24x ($747) | May 1.55x ($1,654)</t>
  </si>
  <si>
    <t xml:space="preserve">(from existing post)</t>
  </si>
  <si>
    <t xml:space="preserve">Say goodbye to tiredness! NAD+ levels drop with age, but our NMN Complex helps boost them for clean energy &amp; focus.</t>
  </si>
  <si>
    <t xml:space="preserve">SHOP_NOW / post CTA</t>
  </si>
  <si>
    <t xml:space="preserve">798275069992277</t>
  </si>
  <si>
    <t xml:space="preserve">https://www.facebook.com/1012373248616002_122115188331199246</t>
  </si>
  <si>
    <t xml:space="preserve">- Video - Ad -2</t>
  </si>
  <si>
    <t xml:space="preserve">120244413721500341</t>
  </si>
  <si>
    <t xml:space="preserve">4. N2 Testing Campaign (CBO) Jan 27 2026</t>
  </si>
  <si>
    <t xml:space="preserve">57. March 16 USA 4-6</t>
  </si>
  <si>
    <t xml:space="preserve">2026-03-15</t>
  </si>
  <si>
    <t xml:space="preserve">626804201</t>
  </si>
  <si>
    <t xml:space="preserve">Jun 2.25x ($1,010) | Jul 0.84x ($149)</t>
  </si>
  <si>
    <t xml:space="preserve">2393502171176026</t>
  </si>
  <si>
    <t xml:space="preserve">https://www.facebook.com/1012373248616002_122132796645199246</t>
  </si>
  <si>
    <t xml:space="preserve">19</t>
  </si>
  <si>
    <t xml:space="preserve">120253373064280341</t>
  </si>
  <si>
    <t xml:space="preserve">8. NMN Testing Campaign (CBO) June 21 2026</t>
  </si>
  <si>
    <t xml:space="preserve">57. Mixed Batch | 15Aug 2026</t>
  </si>
  <si>
    <t xml:space="preserve">ACTIVE</t>
  </si>
  <si>
    <t xml:space="preserve">2026-08-15</t>
  </si>
  <si>
    <t xml:space="preserve">Image</t>
  </si>
  <si>
    <t xml:space="preserve">img d67840aa</t>
  </si>
  <si>
    <t xml:space="preserve">Aug 2.06x ($110) | Sep 1.71x ($1,024) | Oct* 1.14x ($276)</t>
  </si>
  <si>
    <t xml:space="preserve">SUMMER SALE! 75% OFF TODAY ONLY!</t>
  </si>
  <si>
    <t xml:space="preserve">Feeling more tired as you age? It's not "just aging." Your NAD+ levels naturally drop — the molecule your cells need for clean, steady energy. Our NMN Complex helps support those levels so you can feel energized, focused, and clear again.</t>
  </si>
  <si>
    <t xml:space="preserve">SHOP_NOW</t>
  </si>
  <si>
    <t xml:space="preserve">1650351506688920</t>
  </si>
  <si>
    <t xml:space="preserve">https://www.facebook.com/1012373248616002_122136309765199246</t>
  </si>
  <si>
    <t xml:space="preserve">- Video - Ad - 1</t>
  </si>
  <si>
    <t xml:space="preserve">120243390597510341</t>
  </si>
  <si>
    <t xml:space="preserve">24. Feb 23 USA 10-12</t>
  </si>
  <si>
    <t xml:space="preserve">2026-02-23</t>
  </si>
  <si>
    <t xml:space="preserve">634374960</t>
  </si>
  <si>
    <t xml:space="preserve">Apr* 1.41x ($2,952) | May 1.74x ($3,620)</t>
  </si>
  <si>
    <t xml:space="preserve">936535988715973</t>
  </si>
  <si>
    <t xml:space="preserve">https://www.facebook.com/1012373248616002_122114599707199246</t>
  </si>
  <si>
    <t xml:space="preserve">- Video - Ad - 2</t>
  </si>
  <si>
    <t xml:space="preserve">120250187515990341</t>
  </si>
  <si>
    <t xml:space="preserve">139. June 10 USA 19-21</t>
  </si>
  <si>
    <t xml:space="preserve">2026-06-10</t>
  </si>
  <si>
    <t xml:space="preserve">Video</t>
  </si>
  <si>
    <t xml:space="preserve">720588181</t>
  </si>
  <si>
    <t xml:space="preserve">Jun 1.67x ($1,403)</t>
  </si>
  <si>
    <t xml:space="preserve">SPRING SALE! 75% OFF TODAY ONLY!</t>
  </si>
  <si>
    <t xml:space="preserve">2238052663607310</t>
  </si>
  <si>
    <t xml:space="preserve">27180240411634181</t>
  </si>
  <si>
    <t xml:space="preserve">https://www.facebook.com/1012373248616002_122129137371199246</t>
  </si>
  <si>
    <t xml:space="preserve">120242733176260341</t>
  </si>
  <si>
    <t xml:space="preserve">11. Feb 6 USA 19-21</t>
  </si>
  <si>
    <t xml:space="preserve">2026-02-06</t>
  </si>
  <si>
    <t xml:space="preserve">626417952</t>
  </si>
  <si>
    <t xml:space="preserve">Apr* 3.70x ($179) | May 1.27x ($1,525)</t>
  </si>
  <si>
    <t xml:space="preserve">927499036457312</t>
  </si>
  <si>
    <t xml:space="preserve">https://www.facebook.com/1012373248616002_122111829975199246</t>
  </si>
  <si>
    <t xml:space="preserve">120243669805030341</t>
  </si>
  <si>
    <t xml:space="preserve">5. Feb 28 (24. Feb 23 USA 10-12)</t>
  </si>
  <si>
    <t xml:space="preserve">Apr* 1.78x ($12,015) | May 1.34x ($24,328)</t>
  </si>
  <si>
    <t xml:space="preserve">1607918377022076</t>
  </si>
  <si>
    <t xml:space="preserve">https://www.facebook.com/1012373248616002_122115191559199246</t>
  </si>
  <si>
    <t xml:space="preserve">- Video - Ad -12</t>
  </si>
  <si>
    <t xml:space="preserve">120245650660800341</t>
  </si>
  <si>
    <t xml:space="preserve">1. Testing Campaign (CBO) Campaign Nov 8 2025</t>
  </si>
  <si>
    <t xml:space="preserve">76. March 24 USA - 10-12</t>
  </si>
  <si>
    <t xml:space="preserve">2026-04-09</t>
  </si>
  <si>
    <t xml:space="preserve">Astaxanthin</t>
  </si>
  <si>
    <t xml:space="preserve">668732739</t>
  </si>
  <si>
    <t xml:space="preserve">Apr* 0.70x ($165) | May 1.59x ($1,035)</t>
  </si>
  <si>
    <t xml:space="preserve">✨ Protect Your Skin from Within! ✨ Boost your natural glow, energy, and recovery with 12mg of pure, algae-sourced Astaxanthin — one of nature's most powerful antioxidants. 💧 Reduce fine lines &amp; improve skin texture ⚡ Fight fatigue and support cellular energy 🛡️ Defend against UV damage and environmental stress. Just one easy-to-take softgel a day with food keeps your skin, body, and energy in top form — naturally.</t>
  </si>
  <si>
    <t xml:space="preserve">1257594603167800</t>
  </si>
  <si>
    <t xml:space="preserve">https://www.facebook.com/1012373248616002_122121415473199246</t>
  </si>
  <si>
    <t xml:space="preserve">120243675534840341</t>
  </si>
  <si>
    <t xml:space="preserve">28. Feb 28 USA 1-3</t>
  </si>
  <si>
    <t xml:space="preserve">627853673</t>
  </si>
  <si>
    <t xml:space="preserve">Jun 1.42x ($6,691) | Jul 1.25x ($881)</t>
  </si>
  <si>
    <t xml:space="preserve">925935393130728</t>
  </si>
  <si>
    <t xml:space="preserve">https://www.facebook.com/1012373248616002_122115312795199246</t>
  </si>
  <si>
    <t xml:space="preserve">- Video - Ad - 3</t>
  </si>
  <si>
    <t xml:space="preserve">120242308889180341</t>
  </si>
  <si>
    <t xml:space="preserve">Jan 27 USA 7-9</t>
  </si>
  <si>
    <t xml:space="preserve">WITH_ISSUES</t>
  </si>
  <si>
    <t xml:space="preserve">2026-01-27</t>
  </si>
  <si>
    <t xml:space="preserve">623055237</t>
  </si>
  <si>
    <t xml:space="preserve">Apr* 1.45x ($2,466) | May 1.38x ($14,015)</t>
  </si>
  <si>
    <t xml:space="preserve">NEW YEAR FLASH SALE! 75% OFF TODAY ONLY!</t>
  </si>
  <si>
    <t xml:space="preserve">728562103409957</t>
  </si>
  <si>
    <t xml:space="preserve">877567944890755</t>
  </si>
  <si>
    <t xml:space="preserve">https://www.facebook.com/1012373248616002_122109427737199246</t>
  </si>
  <si>
    <t xml:space="preserve">120242733176430341</t>
  </si>
  <si>
    <t xml:space="preserve">42. Feb 6 USA 10-12</t>
  </si>
  <si>
    <t xml:space="preserve">626826360</t>
  </si>
  <si>
    <t xml:space="preserve">Apr* 1.47x ($2,364) | May 1.26x ($1,697)</t>
  </si>
  <si>
    <t xml:space="preserve">787593873688069</t>
  </si>
  <si>
    <t xml:space="preserve">https://www.facebook.com/1012373248616002_122111830011199246</t>
  </si>
  <si>
    <t xml:space="preserve">120243701969760341</t>
  </si>
  <si>
    <t xml:space="preserve">38. Mar 3 USA - 10-12</t>
  </si>
  <si>
    <t xml:space="preserve">2026-03-01</t>
  </si>
  <si>
    <t xml:space="preserve">Apr* 1.40x ($1,967) | May 1.23x ($688)</t>
  </si>
  <si>
    <t xml:space="preserve">942978621724725</t>
  </si>
  <si>
    <t xml:space="preserve">https://www.facebook.com/1012373248616002_122115516579199246</t>
  </si>
  <si>
    <t xml:space="preserve">- Video - Ad -2 - Copy</t>
  </si>
  <si>
    <t xml:space="preserve">120246199037900341</t>
  </si>
  <si>
    <t xml:space="preserve">18. April 20  (11. Feb 6 USA 19-21) - 2</t>
  </si>
  <si>
    <t xml:space="preserve">2026-04-20</t>
  </si>
  <si>
    <t xml:space="preserve">May 1.32x ($975)</t>
  </si>
  <si>
    <t xml:space="preserve">1697922741377115</t>
  </si>
  <si>
    <t xml:space="preserve">https://www.facebook.com/1012373248616002_122123043327199246</t>
  </si>
  <si>
    <t xml:space="preserve">120243160670300341</t>
  </si>
  <si>
    <t xml:space="preserve">2. Feb 19 (12. Feb 6 USA 16-18)</t>
  </si>
  <si>
    <t xml:space="preserve">2026-02-19</t>
  </si>
  <si>
    <t xml:space="preserve">Apr* 1.73x ($1,009) | May 1.18x ($12,530)</t>
  </si>
  <si>
    <t xml:space="preserve">1277267117282690</t>
  </si>
  <si>
    <t xml:space="preserve">https://www.facebook.com/1012373248616002_122122956429199246</t>
  </si>
  <si>
    <t xml:space="preserve">120249839070250341</t>
  </si>
  <si>
    <t xml:space="preserve">7. N2 Testing Campaign (CBO) May 28 2026</t>
  </si>
  <si>
    <t xml:space="preserve">18. June 7 USA 10-12</t>
  </si>
  <si>
    <t xml:space="preserve">2026-06-07</t>
  </si>
  <si>
    <t xml:space="preserve">712703739</t>
  </si>
  <si>
    <t xml:space="preserve">Jun 1.22x ($1,758)</t>
  </si>
  <si>
    <t xml:space="preserve">1320986519439826</t>
  </si>
  <si>
    <t xml:space="preserve">1361742352499613</t>
  </si>
  <si>
    <t xml:space="preserve">https://www.facebook.com/1012373248616002_122128729047199246</t>
  </si>
  <si>
    <t xml:space="preserve">120243701969710341</t>
  </si>
  <si>
    <t xml:space="preserve">36. Mar 3 USA - 4-6</t>
  </si>
  <si>
    <t xml:space="preserve">626608216</t>
  </si>
  <si>
    <t xml:space="preserve">Jun 1.21x ($1,273)</t>
  </si>
  <si>
    <t xml:space="preserve">2241668536686089</t>
  </si>
  <si>
    <t xml:space="preserve">https://www.facebook.com/1012373248616002_122115516417199246</t>
  </si>
  <si>
    <t xml:space="preserve">16</t>
  </si>
  <si>
    <t xml:space="preserve">120253373061420341</t>
  </si>
  <si>
    <t xml:space="preserve">img fb0b1b9f</t>
  </si>
  <si>
    <t xml:space="preserve">Aug 1.06x ($1,064) | Sep 1.05x ($310) | Oct* 2.56x ($145)</t>
  </si>
  <si>
    <t xml:space="preserve">1069562665424660</t>
  </si>
  <si>
    <t xml:space="preserve">https://www.facebook.com/1012373248616002_122136309597199246</t>
  </si>
  <si>
    <t xml:space="preserve">- Video - Ad - 3 - Copy</t>
  </si>
  <si>
    <t xml:space="preserve">120252553065040341</t>
  </si>
  <si>
    <t xml:space="preserve">9. NMN Scale Campaign (CBO) June 27 2026</t>
  </si>
  <si>
    <t xml:space="preserve">50. (98. May 26 USA 1-3 - Video Ad 3)</t>
  </si>
  <si>
    <t xml:space="preserve">ADSET_PAUSED</t>
  </si>
  <si>
    <t xml:space="preserve">2026-07-18</t>
  </si>
  <si>
    <t xml:space="preserve">709767483</t>
  </si>
  <si>
    <t xml:space="preserve">Jul 1.34x ($2,274) | Aug 0.90x ($1,222)</t>
  </si>
  <si>
    <t xml:space="preserve">2245320552903281</t>
  </si>
  <si>
    <t xml:space="preserve">https://www.facebook.com/1012373248616002_122133831009199246</t>
  </si>
  <si>
    <t xml:space="preserve">120249838080410341</t>
  </si>
  <si>
    <t xml:space="preserve">128. June 7 USA 7-9</t>
  </si>
  <si>
    <t xml:space="preserve">718294520</t>
  </si>
  <si>
    <t xml:space="preserve">Jul 1.18x ($1,681)</t>
  </si>
  <si>
    <t xml:space="preserve">1330036105760479</t>
  </si>
  <si>
    <t xml:space="preserve">3238111486379518</t>
  </si>
  <si>
    <t xml:space="preserve">https://www.facebook.com/1012373248616002_122128721823199246</t>
  </si>
  <si>
    <t xml:space="preserve">120252286003320341</t>
  </si>
  <si>
    <t xml:space="preserve">39. (128. June 7 USA 7-9 - Video Ad 1)</t>
  </si>
  <si>
    <t xml:space="preserve">2026-07-09</t>
  </si>
  <si>
    <t xml:space="preserve">742031353</t>
  </si>
  <si>
    <t xml:space="preserve">Aug 1.17x ($2,252)</t>
  </si>
  <si>
    <t xml:space="preserve">2142589813137629</t>
  </si>
  <si>
    <t xml:space="preserve">1005643872382237</t>
  </si>
  <si>
    <t xml:space="preserve">https://www.facebook.com/1012373248616002_122132877891199246</t>
  </si>
  <si>
    <t xml:space="preserve">120249493536790341</t>
  </si>
  <si>
    <t xml:space="preserve">12. June 3 USA 13-15</t>
  </si>
  <si>
    <t xml:space="preserve">CAMPAIGN_PAUSED</t>
  </si>
  <si>
    <t xml:space="preserve">2026-06-03</t>
  </si>
  <si>
    <t xml:space="preserve">712467393</t>
  </si>
  <si>
    <t xml:space="preserve">Jun 1.14x ($4,576)</t>
  </si>
  <si>
    <t xml:space="preserve">1032683339423824</t>
  </si>
  <si>
    <t xml:space="preserve">1633646954417400</t>
  </si>
  <si>
    <t xml:space="preserve">https://www.facebook.com/1012373248616002_122128343151199246</t>
  </si>
  <si>
    <t xml:space="preserve">120251695134020341</t>
  </si>
  <si>
    <t xml:space="preserve">31. (11. Feb 6 USA 19-21 - Video Ad -2)</t>
  </si>
  <si>
    <t xml:space="preserve">2026-06-27</t>
  </si>
  <si>
    <t xml:space="preserve">Jul 1.73x ($1,017) | Sep 1.06x ($3,885) | Oct* 0.89x ($2,039)</t>
  </si>
  <si>
    <t xml:space="preserve">2990944634413848</t>
  </si>
  <si>
    <t xml:space="preserve">https://www.facebook.com/1012373248616002_122131240551199246</t>
  </si>
  <si>
    <t xml:space="preserve">120251692693440341</t>
  </si>
  <si>
    <t xml:space="preserve">5. (57. March 16 USA 4-6 - Video Ad -2)</t>
  </si>
  <si>
    <t xml:space="preserve">Jun 1.42x ($304) | Jul 1.48x ($4,179) | Aug 1.17x ($5,251) | Sep 0.96x ($7,922) | Oct* 0.52x ($1,870)</t>
  </si>
  <si>
    <t xml:space="preserve">1040744398420375</t>
  </si>
  <si>
    <t xml:space="preserve">https://www.facebook.com/1012373248616002_122131612425199246</t>
  </si>
  <si>
    <t xml:space="preserve">- Video - Ad - 1 - Copy 2</t>
  </si>
  <si>
    <t xml:space="preserve">120251694302990341</t>
  </si>
  <si>
    <t xml:space="preserve">15. (5. Feb 28 (24. Feb 23 USA 10-12) - Video Ad 1 Copy)</t>
  </si>
  <si>
    <t xml:space="preserve">Jul 1.28x ($23,680) | Aug 1.16x ($6,477) | Sep 0.86x ($25,481) | Oct* 0.62x ($10,794)</t>
  </si>
  <si>
    <t xml:space="preserve">1626481615112414</t>
  </si>
  <si>
    <t xml:space="preserve">https://www.facebook.com/1012373248616002_122131240665199246</t>
  </si>
  <si>
    <t xml:space="preserve">120248829172290341</t>
  </si>
  <si>
    <t xml:space="preserve">110. May 27 USA 16-18</t>
  </si>
  <si>
    <t xml:space="preserve">2026-05-27</t>
  </si>
  <si>
    <t xml:space="preserve">709735887</t>
  </si>
  <si>
    <t xml:space="preserve">1480777233047903</t>
  </si>
  <si>
    <t xml:space="preserve">https://www.facebook.com/1012373248616002_122127589425199246</t>
  </si>
  <si>
    <t xml:space="preserve">14. 20260923_Only4hrsLeft_V1</t>
  </si>
  <si>
    <t xml:space="preserve">120254362729110341</t>
  </si>
  <si>
    <t xml:space="preserve">72__Broad_USA_Creative_testing</t>
  </si>
  <si>
    <t xml:space="preserve">2026-10-08</t>
  </si>
  <si>
    <t xml:space="preserve">841545460</t>
  </si>
  <si>
    <t xml:space="preserve">Support Energy Without More Coffee</t>
  </si>
  <si>
    <t xml:space="preserve">1525110046048907</t>
  </si>
  <si>
    <t xml:space="preserve">884411534757584</t>
  </si>
  <si>
    <t xml:space="preserve">https://www.facebook.com/1012373248616002_122142749583199246</t>
  </si>
  <si>
    <t xml:space="preserve">120245594344380341</t>
  </si>
  <si>
    <t xml:space="preserve">75. March 24 USA 16-18</t>
  </si>
  <si>
    <t xml:space="preserve">2026-04-08</t>
  </si>
  <si>
    <t xml:space="preserve">4235728330090163</t>
  </si>
  <si>
    <t xml:space="preserve">https://www.facebook.com/1012373248616002_122121141321199246</t>
  </si>
  <si>
    <t xml:space="preserve">120251694341740341</t>
  </si>
  <si>
    <t xml:space="preserve">20. (6. Mar 1 (14. Feb 17 USA 4-6) - Video Ad 1 Copy)</t>
  </si>
  <si>
    <t xml:space="preserve">629474851</t>
  </si>
  <si>
    <t xml:space="preserve">2190818785033212</t>
  </si>
  <si>
    <t xml:space="preserve">https://www.facebook.com/1012373248616002_122131240497199246</t>
  </si>
  <si>
    <t xml:space="preserve">- Video - Ad - 2 - Copy</t>
  </si>
  <si>
    <t xml:space="preserve">120251692908690341</t>
  </si>
  <si>
    <t xml:space="preserve">7. (72. March 24 USA 7-9 - Video Ad 2)</t>
  </si>
  <si>
    <t xml:space="preserve">1337341958526187</t>
  </si>
  <si>
    <t xml:space="preserve">https://www.facebook.com/1012373248616002_122131240851199246</t>
  </si>
  <si>
    <t xml:space="preserve">- Video - Ad - 8</t>
  </si>
  <si>
    <t xml:space="preserve">120246424579260341</t>
  </si>
  <si>
    <t xml:space="preserve">86. April 1 USA 7-9</t>
  </si>
  <si>
    <t xml:space="preserve">2026-04-24</t>
  </si>
  <si>
    <t xml:space="preserve">679672087</t>
  </si>
  <si>
    <t xml:space="preserve">2063997697491844</t>
  </si>
  <si>
    <t xml:space="preserve">https://www.facebook.com/1012373248616002_122123470965199246</t>
  </si>
  <si>
    <t xml:space="preserve">880922768391820_brand</t>
  </si>
  <si>
    <t xml:space="preserve">120252620424510341</t>
  </si>
  <si>
    <t xml:space="preserve">30. Static Recreations F | 21Jul</t>
  </si>
  <si>
    <t xml:space="preserve">2026-07-22</t>
  </si>
  <si>
    <t xml:space="preserve">img 83e300fa</t>
  </si>
  <si>
    <t xml:space="preserve">1554823429427068</t>
  </si>
  <si>
    <t xml:space="preserve">https://www.facebook.com/1012373248616002_122134114779199246</t>
  </si>
  <si>
    <t xml:space="preserve">- Video - Ad - 14</t>
  </si>
  <si>
    <t xml:space="preserve">120245650660660341</t>
  </si>
  <si>
    <t xml:space="preserve">77. March 24 USA - 13-15</t>
  </si>
  <si>
    <t xml:space="preserve">669990045</t>
  </si>
  <si>
    <t xml:space="preserve">978935291753416</t>
  </si>
  <si>
    <t xml:space="preserve">https://www.facebook.com/1012373248616002_122121416211199246</t>
  </si>
  <si>
    <t xml:space="preserve">120249493555990341</t>
  </si>
  <si>
    <t xml:space="preserve">14. June 3 USA 19-21</t>
  </si>
  <si>
    <t xml:space="preserve">711679836</t>
  </si>
  <si>
    <t xml:space="preserve">996309953144867</t>
  </si>
  <si>
    <t xml:space="preserve">1035978388992947</t>
  </si>
  <si>
    <t xml:space="preserve">https://www.facebook.com/1012373248616002_122128343433199246</t>
  </si>
  <si>
    <t xml:space="preserve">BOF - Video - Ad - 8</t>
  </si>
  <si>
    <t xml:space="preserve">120241639407520341</t>
  </si>
  <si>
    <t xml:space="preserve">Nov 28 USA BOF 7-9</t>
  </si>
  <si>
    <t xml:space="preserve">2026-01-08</t>
  </si>
  <si>
    <t xml:space="preserve">611765502</t>
  </si>
  <si>
    <t xml:space="preserve">875948311486626</t>
  </si>
  <si>
    <t xml:space="preserve">https://www.facebook.com/1012373248616002_122102207457199246</t>
  </si>
  <si>
    <t xml:space="preserve">120248163157430341</t>
  </si>
  <si>
    <t xml:space="preserve">91. May 19 USA 1-3</t>
  </si>
  <si>
    <t xml:space="preserve">2026-05-19</t>
  </si>
  <si>
    <t xml:space="preserve">678400989</t>
  </si>
  <si>
    <t xml:space="preserve">991483349965005</t>
  </si>
  <si>
    <t xml:space="preserve">https://www.facebook.com/1012373248616002_122126657445199246</t>
  </si>
  <si>
    <t xml:space="preserve">120245907039620341</t>
  </si>
  <si>
    <t xml:space="preserve">77. March 28 USA 1-3</t>
  </si>
  <si>
    <t xml:space="preserve">2026-04-16</t>
  </si>
  <si>
    <t xml:space="preserve">673475914</t>
  </si>
  <si>
    <t xml:space="preserve">FLASH SALE! 75% OFF TODAY ONLY!</t>
  </si>
  <si>
    <t xml:space="preserve">1525071269047331</t>
  </si>
  <si>
    <t xml:space="preserve">3803824336593159</t>
  </si>
  <si>
    <t xml:space="preserve">https://www.facebook.com/1012373248616002_122122408935199246</t>
  </si>
  <si>
    <t xml:space="preserve">120242733176410341</t>
  </si>
  <si>
    <t xml:space="preserve">12. Feb 6 USA 16-18</t>
  </si>
  <si>
    <t xml:space="preserve">907928314975420</t>
  </si>
  <si>
    <t xml:space="preserve">https://www.facebook.com/1012373248616002_122111830383199246</t>
  </si>
  <si>
    <t xml:space="preserve">1. 3 Bottle Offer - 1 (P2)</t>
  </si>
  <si>
    <t xml:space="preserve">120251994279470341</t>
  </si>
  <si>
    <t xml:space="preserve">1. 3 Bottle Offer | 30Jun</t>
  </si>
  <si>
    <t xml:space="preserve">2026-07-02</t>
  </si>
  <si>
    <t xml:space="preserve">img be567392</t>
  </si>
  <si>
    <t xml:space="preserve">I used to think the afternoon crash was just part of getting older. By 58, my mornings started fine — coffee, a short walk, a little energy in the tank. But by 2 or 3 o'clock, it was like someone pulled the plug. Foggy. Heavy. Reaching for another coffee I knew I'd regret. A friend who works in longevity research finally explained it to me... it's a molecule called NAD+... after 50 your levels can drop to a fraction of what they were in your 30s. NMN is a building block your body uses to help make more NAD+. So I started taking an NMN Complex every morning... I won't promise you miracles. But my afternoons feel steadier now... 👉 Our NMN Complex is 75% off today only.</t>
  </si>
  <si>
    <t xml:space="preserve">The afternoon crash isn't a character flaw — it's chemistry. After 50, your cells' NAD+ levels quietly fall... Our NMN Complex helps support healthy NAD+... 75% off today only.</t>
  </si>
  <si>
    <t xml:space="preserve">4752397118328029</t>
  </si>
  <si>
    <t xml:space="preserve">https://www.facebook.com/1012373248616002_122131846503199246</t>
  </si>
  <si>
    <t xml:space="preserve">BOF - Video - Ad - 3</t>
  </si>
  <si>
    <t xml:space="preserve">120241948148610341</t>
  </si>
  <si>
    <t xml:space="preserve">2. Scaling Campaign (CBO) Jan 17 2026</t>
  </si>
  <si>
    <t xml:space="preserve">3. Jan 17 ( Dec 7 USA BOF - 4-6 )</t>
  </si>
  <si>
    <t xml:space="preserve">2026-01-17</t>
  </si>
  <si>
    <t xml:space="preserve">613625533</t>
  </si>
  <si>
    <t xml:space="preserve">25986449060978676</t>
  </si>
  <si>
    <t xml:space="preserve">https://www.facebook.com/1012373248616002_122102166711199246</t>
  </si>
  <si>
    <t xml:space="preserve">35. 3923 plays - 2.6% eng</t>
  </si>
  <si>
    <t xml:space="preserve">120252444821130341</t>
  </si>
  <si>
    <t xml:space="preserve">17. IG Reels G | 14Jul</t>
  </si>
  <si>
    <t xml:space="preserve">2026-07-14</t>
  </si>
  <si>
    <t xml:space="preserve">744661315</t>
  </si>
  <si>
    <t xml:space="preserve">1033702679305578</t>
  </si>
  <si>
    <t xml:space="preserve">1575296844204792</t>
  </si>
  <si>
    <t xml:space="preserve">https://www.facebook.com/1012373248616002_122133476643199246</t>
  </si>
  <si>
    <t xml:space="preserve">120251692537950341</t>
  </si>
  <si>
    <t xml:space="preserve">3. (7. Feb 9 USA 13-15 - Video Ad 1)</t>
  </si>
  <si>
    <t xml:space="preserve">633604346</t>
  </si>
  <si>
    <t xml:space="preserve">27656767784013286</t>
  </si>
  <si>
    <t xml:space="preserve">https://www.facebook.com/1012373248616002_122131240641199246</t>
  </si>
  <si>
    <t xml:space="preserve">- Video - Ad -9</t>
  </si>
  <si>
    <t xml:space="preserve">120246424579270341</t>
  </si>
  <si>
    <t xml:space="preserve">679654320</t>
  </si>
  <si>
    <t xml:space="preserve">1162031932669915</t>
  </si>
  <si>
    <t xml:space="preserve">https://www.facebook.com/1012373248616002_122123470827199246</t>
  </si>
  <si>
    <t xml:space="preserve">Apr* spend</t>
  </si>
  <si>
    <t xml:space="preserve">Apr* ROAS</t>
  </si>
  <si>
    <t xml:space="preserve">May spend</t>
  </si>
  <si>
    <t xml:space="preserve">May ROAS</t>
  </si>
  <si>
    <t xml:space="preserve">Jun spend</t>
  </si>
  <si>
    <t xml:space="preserve">Jun ROAS</t>
  </si>
  <si>
    <t xml:space="preserve">Jul spend</t>
  </si>
  <si>
    <t xml:space="preserve">Jul ROAS</t>
  </si>
  <si>
    <t xml:space="preserve">Aug spend</t>
  </si>
  <si>
    <t xml:space="preserve">Aug ROAS</t>
  </si>
  <si>
    <t xml:space="preserve">Sep spend</t>
  </si>
  <si>
    <t xml:space="preserve">Sep ROAS</t>
  </si>
  <si>
    <t xml:space="preserve">Oct* spend</t>
  </si>
  <si>
    <t xml:space="preserve">Oct* ROAS</t>
  </si>
  <si>
    <t xml:space="preserve">* Apr = 16–30 Apr; Oct = 1–16 Oct. Green ≥1.30x, yellow 1.00–1.29x, red &lt;1.00x. Source: Meta Ads, monthly breakdown.</t>
  </si>
  <si>
    <t xml:space="preserve">Headline(s)</t>
  </si>
  <si>
    <t xml:space="preserve"># winning ads</t>
  </si>
  <si>
    <t xml:space="preserve">Best tier</t>
  </si>
  <si>
    <t xml:space="preserve">Ad IDs</t>
  </si>
  <si>
    <t xml:space="preserve">(existing post)</t>
  </si>
  <si>
    <t xml:space="preserve">120243390597510341, 120243669805030341, 120251694302990341</t>
  </si>
  <si>
    <t xml:space="preserve">120244413721500341, 120243160670300341, 120251692693440341, 120245594344380341, 120242733176410341</t>
  </si>
  <si>
    <t xml:space="preserve">120242733176260341, 120243701969760341, 120246199037900341, 120251695134020341</t>
  </si>
  <si>
    <t xml:space="preserve">120243675534840341, 120251692908690341</t>
  </si>
  <si>
    <t xml:space="preserve">Visual ID = thumbnail/image identifier from Meta; ads sharing it use the same visual asset. Sums cover qualifying ads only.</t>
  </si>
  <si>
    <t xml:space="preserve">Tier (formula)</t>
  </si>
  <si>
    <t xml:space="preserve">120251699320370341</t>
  </si>
  <si>
    <t xml:space="preserve">22 (Jan 27 USA 7-9 - Video Ad 3)</t>
  </si>
  <si>
    <t xml:space="preserve">1056616350387972</t>
  </si>
  <si>
    <t xml:space="preserve">120253703126990341</t>
  </si>
  <si>
    <t xml:space="preserve">7. 20260902_MilitaryTakesWhat_V1</t>
  </si>
  <si>
    <t xml:space="preserve">59. Broad_USA_Creative Testing</t>
  </si>
  <si>
    <t xml:space="preserve">2026-09-01</t>
  </si>
  <si>
    <t xml:space="preserve">951257170590634</t>
  </si>
  <si>
    <t xml:space="preserve">120253888153220341</t>
  </si>
  <si>
    <t xml:space="preserve">12. 20260910_IsNADAScam_V1</t>
  </si>
  <si>
    <t xml:space="preserve">62.  Broad_USA_Creative Testing – Copy</t>
  </si>
  <si>
    <t xml:space="preserve">DISAPPROVED</t>
  </si>
  <si>
    <t xml:space="preserve">2026-09-11</t>
  </si>
  <si>
    <t xml:space="preserve">1075899018412698</t>
  </si>
  <si>
    <t xml:space="preserve">120254022413550341</t>
  </si>
  <si>
    <t xml:space="preserve">151. 20260918_SuperHumans_V1</t>
  </si>
  <si>
    <t xml:space="preserve">67. Broad_USA_Creative Testing – 15-09-26- Static Only</t>
  </si>
  <si>
    <t xml:space="preserve">2026-09-19</t>
  </si>
  <si>
    <t xml:space="preserve">1698487085030030</t>
  </si>
  <si>
    <t xml:space="preserve">120244047831010341</t>
  </si>
  <si>
    <t xml:space="preserve">47. March 8 USA 16-18</t>
  </si>
  <si>
    <t xml:space="preserve">2026-03-08</t>
  </si>
  <si>
    <t xml:space="preserve">26048265004823445</t>
  </si>
  <si>
    <t xml:space="preserve">120251694458080341</t>
  </si>
  <si>
    <t xml:space="preserve">24. (2. Jan 27 USA 10-12 - Video Ad -2)</t>
  </si>
  <si>
    <t xml:space="preserve">3049703688556469</t>
  </si>
  <si>
    <t xml:space="preserve">120253886723100341</t>
  </si>
  <si>
    <t xml:space="preserve">10. 20260905_USGovUsesNMN_V1</t>
  </si>
  <si>
    <t xml:space="preserve">2030801467565616</t>
  </si>
  <si>
    <t xml:space="preserve">120251694287190341</t>
  </si>
  <si>
    <t xml:space="preserve">14. (10. March 14 (46. March 8 USA 13-15) - Video Ad 1 Copy)</t>
  </si>
  <si>
    <t xml:space="preserve">1053174537063030</t>
  </si>
  <si>
    <t xml:space="preserve">120253373065940341</t>
  </si>
  <si>
    <t xml:space="preserve">20</t>
  </si>
  <si>
    <t xml:space="preserve">1730462944920151</t>
  </si>
  <si>
    <t xml:space="preserve">120253888153240341</t>
  </si>
  <si>
    <t xml:space="preserve">14. 20260909_KattExposedHollywood_V1</t>
  </si>
  <si>
    <t xml:space="preserve">920905897760326</t>
  </si>
  <si>
    <t xml:space="preserve">120251694323130341</t>
  </si>
  <si>
    <t xml:space="preserve">- Video - Ad -2 - Copy 2</t>
  </si>
  <si>
    <t xml:space="preserve">19. (12. March 19 (39. Mar 3 USA - 13-15) - Video Ad -2 Copy)</t>
  </si>
  <si>
    <t xml:space="preserve">3145475182310471</t>
  </si>
  <si>
    <t xml:space="preserve">120249838183060341</t>
  </si>
  <si>
    <t xml:space="preserve">132. June 7 USA 19-21</t>
  </si>
  <si>
    <t xml:space="preserve">3491556914329470</t>
  </si>
  <si>
    <t xml:space="preserve">120253703127010341</t>
  </si>
  <si>
    <t xml:space="preserve">10. 20260902_DoctorExplainsTMG_V1</t>
  </si>
  <si>
    <t xml:space="preserve">1074862985143760</t>
  </si>
  <si>
    <t xml:space="preserve">120253458732870341</t>
  </si>
  <si>
    <t xml:space="preserve">4(2)</t>
  </si>
  <si>
    <t xml:space="preserve">58. Mixed Batch | 18Aug 2026</t>
  </si>
  <si>
    <t xml:space="preserve">2026-08-19</t>
  </si>
  <si>
    <t xml:space="preserve">1942495239724055</t>
  </si>
  <si>
    <t xml:space="preserve">120253235151400341</t>
  </si>
  <si>
    <t xml:space="preserve">39</t>
  </si>
  <si>
    <t xml:space="preserve">56. Mixed Batch | 11Aug 2026</t>
  </si>
  <si>
    <t xml:space="preserve">2026-08-11</t>
  </si>
  <si>
    <t xml:space="preserve">2525390457936351</t>
  </si>
  <si>
    <t xml:space="preserve">120243390597500341</t>
  </si>
  <si>
    <t xml:space="preserve">25. Feb 23 USA 13-15</t>
  </si>
  <si>
    <t xml:space="preserve">2332926423849454</t>
  </si>
  <si>
    <t xml:space="preserve">120253928915540341</t>
  </si>
  <si>
    <t xml:space="preserve">15B. 20260911_MassiveSale_V1</t>
  </si>
  <si>
    <t xml:space="preserve">63. Broad_USA_Creative Testing (14-09)</t>
  </si>
  <si>
    <t xml:space="preserve">2026-09-14</t>
  </si>
  <si>
    <t xml:space="preserve">2345774942842167</t>
  </si>
  <si>
    <t xml:space="preserve">120243390597670341</t>
  </si>
  <si>
    <t xml:space="preserve">1472330877621506</t>
  </si>
  <si>
    <t xml:space="preserve">120253850540720341</t>
  </si>
  <si>
    <t xml:space="preserve">23A. 20260909_MillitarySuperSoldier_V1</t>
  </si>
  <si>
    <t xml:space="preserve">61. Broad_USA_Creative Testing – Copy 2</t>
  </si>
  <si>
    <t xml:space="preserve">2026-09-09</t>
  </si>
  <si>
    <t xml:space="preserve">1593708848976943</t>
  </si>
  <si>
    <t xml:space="preserve">120251693612500341</t>
  </si>
  <si>
    <t xml:space="preserve">11. (91. May 19 USA 1-3 - Video Ad 3)</t>
  </si>
  <si>
    <t xml:space="preserve">1539677720931658</t>
  </si>
  <si>
    <t xml:space="preserve">120251694393430341</t>
  </si>
  <si>
    <t xml:space="preserve">23. (45. March 8 USA 10-12 - Video Ad 3)</t>
  </si>
  <si>
    <t xml:space="preserve">1385855516839311</t>
  </si>
  <si>
    <t xml:space="preserve">120254005369810341</t>
  </si>
  <si>
    <t xml:space="preserve">119. 20260917_DontGrab2_V1</t>
  </si>
  <si>
    <t xml:space="preserve">2026-09-18</t>
  </si>
  <si>
    <t xml:space="preserve">1457425163115147</t>
  </si>
  <si>
    <t xml:space="preserve">120253852683640341</t>
  </si>
  <si>
    <t xml:space="preserve">30A. 20260909_MostFakedNMN_V1</t>
  </si>
  <si>
    <t xml:space="preserve">1061674563450815</t>
  </si>
  <si>
    <t xml:space="preserve">120252759527310341</t>
  </si>
  <si>
    <t xml:space="preserve">8</t>
  </si>
  <si>
    <t xml:space="preserve">41. New 10 UGC 7-9 | 27Jul</t>
  </si>
  <si>
    <t xml:space="preserve">2026-07-27</t>
  </si>
  <si>
    <t xml:space="preserve">2600249503725154</t>
  </si>
  <si>
    <t xml:space="preserve">120253848681200341</t>
  </si>
  <si>
    <t xml:space="preserve">1. 20260902_GaveWhatToOurSpecialForces_V1</t>
  </si>
  <si>
    <t xml:space="preserve">60. Broad_USA_Creative Testing – Copy</t>
  </si>
  <si>
    <t xml:space="preserve">1561963509014328</t>
  </si>
  <si>
    <t xml:space="preserve">120249493529150341</t>
  </si>
  <si>
    <t xml:space="preserve">11. June 3 USA 10-12</t>
  </si>
  <si>
    <t xml:space="preserve">26399236003089372</t>
  </si>
  <si>
    <t xml:space="preserve">120245955723780341</t>
  </si>
  <si>
    <t xml:space="preserve">- Video - Ad -1</t>
  </si>
  <si>
    <t xml:space="preserve">3207854772713796</t>
  </si>
  <si>
    <t xml:space="preserve">120244047831040341</t>
  </si>
  <si>
    <t xml:space="preserve">45. March 8 USA 10-12</t>
  </si>
  <si>
    <t xml:space="preserve">1240268817743218</t>
  </si>
  <si>
    <t xml:space="preserve">120243672561540341</t>
  </si>
  <si>
    <t xml:space="preserve">31. Feb 28 USA - 1-3</t>
  </si>
  <si>
    <t xml:space="preserve">1626751621697064</t>
  </si>
  <si>
    <t xml:space="preserve">120251576155490341</t>
  </si>
  <si>
    <t xml:space="preserve">Video - Ad - 2</t>
  </si>
  <si>
    <t xml:space="preserve">11. Astaxanthin Scale Campaign (CBO) June 27 2026</t>
  </si>
  <si>
    <t xml:space="preserve">2.(1. Jan 26 (Dec 29 USA BOF 1-3)</t>
  </si>
  <si>
    <t xml:space="preserve">2026-06-26</t>
  </si>
  <si>
    <t xml:space="preserve">1368589285160959</t>
  </si>
  <si>
    <t xml:space="preserve">120244344065230341</t>
  </si>
  <si>
    <t xml:space="preserve">10. March 14 (46. March 8 USA 13-15)</t>
  </si>
  <si>
    <t xml:space="preserve">2026-03-14</t>
  </si>
  <si>
    <t xml:space="preserve">4125423171101473</t>
  </si>
  <si>
    <t xml:space="preserve">120248744339270341</t>
  </si>
  <si>
    <t xml:space="preserve">98. May 26 USA 1-3</t>
  </si>
  <si>
    <t xml:space="preserve">2026-05-26</t>
  </si>
  <si>
    <t xml:space="preserve">4346912605563876</t>
  </si>
  <si>
    <t xml:space="preserve">120254353167580341</t>
  </si>
  <si>
    <t xml:space="preserve">1. 20260923_NeverMeant_V1</t>
  </si>
  <si>
    <t xml:space="preserve">68__Broad_USA_Creative_testing</t>
  </si>
  <si>
    <t xml:space="preserve">1100576882854110</t>
  </si>
  <si>
    <t xml:space="preserve">120253848681240341</t>
  </si>
  <si>
    <t xml:space="preserve">5. 20260902_PodcastExplainer_V1</t>
  </si>
  <si>
    <t xml:space="preserve">910226288512694</t>
  </si>
  <si>
    <t xml:space="preserve">120253888153230341</t>
  </si>
  <si>
    <t xml:space="preserve">13. 20260908_DocMDAdvice_V1</t>
  </si>
  <si>
    <t xml:space="preserve">1103592455657691</t>
  </si>
  <si>
    <t xml:space="preserve">120251994341720341</t>
  </si>
  <si>
    <t xml:space="preserve">41. 5988 plays - 2.3% eng</t>
  </si>
  <si>
    <t xml:space="preserve">2. IG Reels A | 30Jun</t>
  </si>
  <si>
    <t xml:space="preserve">1756882348886280</t>
  </si>
  <si>
    <t xml:space="preserve">120249838176840341</t>
  </si>
  <si>
    <t xml:space="preserve">131. June 7 USA 16-18</t>
  </si>
  <si>
    <t xml:space="preserve">1291629259408788</t>
  </si>
  <si>
    <t xml:space="preserve">120243711814180341</t>
  </si>
  <si>
    <t xml:space="preserve">6. Mar 1 (14. Feb 17 USA 4-6)</t>
  </si>
  <si>
    <t xml:space="preserve">1608855183753727</t>
  </si>
  <si>
    <t xml:space="preserve">120243678381770341</t>
  </si>
  <si>
    <t xml:space="preserve">30. Feb 28 USA 7-9</t>
  </si>
  <si>
    <t xml:space="preserve">2311885052636170</t>
  </si>
  <si>
    <t xml:space="preserve">120249481107640341</t>
  </si>
  <si>
    <t xml:space="preserve">120. June 2 USA 4-6</t>
  </si>
  <si>
    <t xml:space="preserve">2078788936066246</t>
  </si>
  <si>
    <t xml:space="preserve">120252383694630341</t>
  </si>
  <si>
    <t xml:space="preserve">40. (131. June 7 USA 16-18 - Video Ad 1)</t>
  </si>
  <si>
    <t xml:space="preserve">2026-07-12</t>
  </si>
  <si>
    <t xml:space="preserve">805896282517407</t>
  </si>
  <si>
    <t xml:space="preserve">120252445208740341</t>
  </si>
  <si>
    <t xml:space="preserve">2. Minimal Purple - 4</t>
  </si>
  <si>
    <t xml:space="preserve">20. Minimal Purple | 14Jul</t>
  </si>
  <si>
    <t xml:space="preserve">1699476901322410</t>
  </si>
  <si>
    <t xml:space="preserve">120251695093090341</t>
  </si>
  <si>
    <t xml:space="preserve">30. (29. Feb 28 USA 4-6 - Video Ad -2)</t>
  </si>
  <si>
    <t xml:space="preserve">1524447865789116</t>
  </si>
  <si>
    <t xml:space="preserve">120251590230290341</t>
  </si>
  <si>
    <t xml:space="preserve">18.(5. Feb 7 (Jan 23 USA Awareness - 7-9)</t>
  </si>
  <si>
    <t xml:space="preserve">2079807492894347</t>
  </si>
  <si>
    <t xml:space="preserve">120252128302230341</t>
  </si>
  <si>
    <t xml:space="preserve">12. 119073 plays - 3.43% eng</t>
  </si>
  <si>
    <t xml:space="preserve">12. IG Reels D | 5Jul</t>
  </si>
  <si>
    <t xml:space="preserve">2026-07-05</t>
  </si>
  <si>
    <t xml:space="preserve">1325460346374950</t>
  </si>
  <si>
    <t xml:space="preserve">120252853140700341</t>
  </si>
  <si>
    <t xml:space="preserve">7644636682599271710.final</t>
  </si>
  <si>
    <t xml:space="preserve">50. New 15 UGC 1-3 | 30Jul</t>
  </si>
  <si>
    <t xml:space="preserve">2026-07-30</t>
  </si>
  <si>
    <t xml:space="preserve">1584096236433022</t>
  </si>
  <si>
    <t xml:space="preserve">120249839059440341</t>
  </si>
  <si>
    <t xml:space="preserve">15. June 7 USA 1-3</t>
  </si>
  <si>
    <t xml:space="preserve">1882005486089463</t>
  </si>
  <si>
    <t xml:space="preserve">120253703126950341</t>
  </si>
  <si>
    <t xml:space="preserve">3. 20260902_ReadReviewsBeforeBuying_V1</t>
  </si>
  <si>
    <t xml:space="preserve">1363580033494333</t>
  </si>
  <si>
    <t xml:space="preserve">120252691594610341</t>
  </si>
  <si>
    <t xml:space="preserve">35. 3923 plays - 2.6% eng - Copy</t>
  </si>
  <si>
    <t xml:space="preserve">54. (8. Testing - 17. IG Reels G 14Jul - 35. 3923 plays - 2.6% eng)</t>
  </si>
  <si>
    <t xml:space="preserve">2026-07-24</t>
  </si>
  <si>
    <t xml:space="preserve">3723652027800019</t>
  </si>
  <si>
    <t xml:space="preserve">120254005369790341</t>
  </si>
  <si>
    <t xml:space="preserve">116. 20260917_AdmittedonLiveTV_V1</t>
  </si>
  <si>
    <t xml:space="preserve">1063914749780057</t>
  </si>
  <si>
    <t xml:space="preserve">120253703126980341</t>
  </si>
  <si>
    <t xml:space="preserve">6. 20260902_AntiAgingOnSteroids_V1</t>
  </si>
  <si>
    <t xml:space="preserve">817832001386688</t>
  </si>
  <si>
    <t xml:space="preserve">120244413300280341</t>
  </si>
  <si>
    <t xml:space="preserve">56. March 16 USA 1-3</t>
  </si>
  <si>
    <t xml:space="preserve">1448296166767853</t>
  </si>
  <si>
    <t xml:space="preserve">120243701476920341</t>
  </si>
  <si>
    <t xml:space="preserve">35. Mar 3 USA - 1-3</t>
  </si>
  <si>
    <t xml:space="preserve">818892884574064</t>
  </si>
  <si>
    <t xml:space="preserve">120252383878080341</t>
  </si>
  <si>
    <t xml:space="preserve">1. 3 Bottle Offer - 1 (P2) - Copy</t>
  </si>
  <si>
    <t xml:space="preserve">41. (8. Testing - 1. 3 Bottle Offer 30Jun - 1. 3 Bottle Offer - 1 (P2))</t>
  </si>
  <si>
    <t xml:space="preserve">1422478243238882</t>
  </si>
  <si>
    <t xml:space="preserve">120248122574610341</t>
  </si>
  <si>
    <t xml:space="preserve">- Video - Ad - 8 - Copy</t>
  </si>
  <si>
    <t xml:space="preserve">19. May 19 ( 86. April 1 USA 7-9) - 8</t>
  </si>
  <si>
    <t xml:space="preserve">967868625964086</t>
  </si>
  <si>
    <t xml:space="preserve">120249083711280341</t>
  </si>
  <si>
    <t xml:space="preserve">116. May 30 USA 13-15</t>
  </si>
  <si>
    <t xml:space="preserve">2026-05-30</t>
  </si>
  <si>
    <t xml:space="preserve">1483591923501615</t>
  </si>
  <si>
    <t xml:space="preserve">120253235150720341</t>
  </si>
  <si>
    <t xml:space="preserve">38</t>
  </si>
  <si>
    <t xml:space="preserve">1075391158333118</t>
  </si>
  <si>
    <t xml:space="preserve">120243701969780341</t>
  </si>
  <si>
    <t xml:space="preserve">39. Mar 3 USA - 13-15</t>
  </si>
  <si>
    <t xml:space="preserve">1464662545172037</t>
  </si>
  <si>
    <t xml:space="preserve">120249493501130341</t>
  </si>
  <si>
    <t xml:space="preserve">9. June 3 USA 4-6</t>
  </si>
  <si>
    <t xml:space="preserve">1416943713798540</t>
  </si>
  <si>
    <t xml:space="preserve">120244047831050341</t>
  </si>
  <si>
    <t xml:space="preserve">46. March 8 USA 13-15</t>
  </si>
  <si>
    <t xml:space="preserve">2142446369914247</t>
  </si>
  <si>
    <t xml:space="preserve">120244560260740341</t>
  </si>
  <si>
    <t xml:space="preserve">14. March 19 (20. Feb 6 USA 13-15)</t>
  </si>
  <si>
    <t xml:space="preserve">2026-03-19</t>
  </si>
  <si>
    <t xml:space="preserve">1275576448007157</t>
  </si>
  <si>
    <t xml:space="preserve">120251692319400341</t>
  </si>
  <si>
    <t xml:space="preserve">1. (42. March 8 USA 1-3 - Video Ad -2)</t>
  </si>
  <si>
    <t xml:space="preserve">882122744369023</t>
  </si>
  <si>
    <t xml:space="preserve">120251587910570341</t>
  </si>
  <si>
    <t xml:space="preserve">BOF - Video - Ad - 9</t>
  </si>
  <si>
    <t xml:space="preserve">14.(2. Jan 17 (Nov 28 USA BOF 7-9)</t>
  </si>
  <si>
    <t xml:space="preserve">808980568846709</t>
  </si>
  <si>
    <t xml:space="preserve">120244223329970341</t>
  </si>
  <si>
    <t xml:space="preserve">49. Mar 12 USA - 1-3</t>
  </si>
  <si>
    <t xml:space="preserve">2026-03-12</t>
  </si>
  <si>
    <t xml:space="preserve">1286346733412426</t>
  </si>
  <si>
    <t xml:space="preserve">120244007068180341</t>
  </si>
  <si>
    <t xml:space="preserve">7. Mar 6 (23. Feb 23 USA 7-9)</t>
  </si>
  <si>
    <t xml:space="preserve">2026-03-07</t>
  </si>
  <si>
    <t xml:space="preserve">1668618444325359</t>
  </si>
  <si>
    <t xml:space="preserve">120253150027110341</t>
  </si>
  <si>
    <t xml:space="preserve">7644491911364873485.final - Copy</t>
  </si>
  <si>
    <t xml:space="preserve">61. (8. Testing - 50. New 15 UGC 1-3 30Jul - 7644491911364873485.final)</t>
  </si>
  <si>
    <t xml:space="preserve">2026-08-08</t>
  </si>
  <si>
    <t xml:space="preserve">5423271571231622</t>
  </si>
  <si>
    <t xml:space="preserve">120251696901310341</t>
  </si>
  <si>
    <t xml:space="preserve">Camp7 - Video Ad 3</t>
  </si>
  <si>
    <t xml:space="preserve">9. (6. May 28 USA 16-18 - Video Ad 3)</t>
  </si>
  <si>
    <t xml:space="preserve">984075331198993</t>
  </si>
  <si>
    <t xml:space="preserve">120244413721480341</t>
  </si>
  <si>
    <t xml:space="preserve">960681559734925</t>
  </si>
  <si>
    <t xml:space="preserve">120253373063660341</t>
  </si>
  <si>
    <t xml:space="preserve">18</t>
  </si>
  <si>
    <t xml:space="preserve">1960032621352192</t>
  </si>
  <si>
    <t xml:space="preserve">120252445209500341</t>
  </si>
  <si>
    <t xml:space="preserve">2. Minimal Purple - 5</t>
  </si>
  <si>
    <t xml:space="preserve">1725562978482376</t>
  </si>
  <si>
    <t xml:space="preserve">120251694309320341</t>
  </si>
  <si>
    <t xml:space="preserve">16. (75. March 24 USA 16-18 - Video Ad 3)</t>
  </si>
  <si>
    <t xml:space="preserve">1561609005316416</t>
  </si>
  <si>
    <t xml:space="preserve">120250187522030341</t>
  </si>
  <si>
    <t xml:space="preserve">135. June 10 USA 7-9</t>
  </si>
  <si>
    <t xml:space="preserve">1657474355302920</t>
  </si>
  <si>
    <t xml:space="preserve">120251693781390341</t>
  </si>
  <si>
    <t xml:space="preserve">12. (139. June 10 USA 19-21 - Video Ad 2)</t>
  </si>
  <si>
    <t xml:space="preserve">1746309656806977</t>
  </si>
  <si>
    <t xml:space="preserve">120253373062410341</t>
  </si>
  <si>
    <t xml:space="preserve">17</t>
  </si>
  <si>
    <t xml:space="preserve">1037158609238492</t>
  </si>
  <si>
    <t xml:space="preserve">120252620343730341</t>
  </si>
  <si>
    <t xml:space="preserve">1551872106944510_brand</t>
  </si>
  <si>
    <t xml:space="preserve">25. Static Recreations A | 21Jul</t>
  </si>
  <si>
    <t xml:space="preserve">1377146127665620</t>
  </si>
  <si>
    <t xml:space="preserve">120248163154180341</t>
  </si>
  <si>
    <t xml:space="preserve">95. May 19 USA 13-15</t>
  </si>
  <si>
    <t xml:space="preserve">950959604370319</t>
  </si>
  <si>
    <t xml:space="preserve">120242852952610341</t>
  </si>
  <si>
    <t xml:space="preserve">Video - Ad - 3</t>
  </si>
  <si>
    <t xml:space="preserve">9. Feb 9  USA -16-18</t>
  </si>
  <si>
    <t xml:space="preserve">2026-02-10</t>
  </si>
  <si>
    <t xml:space="preserve">4466907673588537</t>
  </si>
  <si>
    <t xml:space="preserve">120252692801460341</t>
  </si>
  <si>
    <t xml:space="preserve">7644918757168516366.final</t>
  </si>
  <si>
    <t xml:space="preserve">33. New 15 UGC 1-3 | 24Jul</t>
  </si>
  <si>
    <t xml:space="preserve">1069427518987204</t>
  </si>
  <si>
    <t xml:space="preserve">120249839072980341</t>
  </si>
  <si>
    <t xml:space="preserve">19. June 7 USA 13-15</t>
  </si>
  <si>
    <t xml:space="preserve">2444445109342193</t>
  </si>
  <si>
    <t xml:space="preserve">120251994339450341</t>
  </si>
  <si>
    <t xml:space="preserve">05. 34644 plays - 4.55% eng</t>
  </si>
  <si>
    <t xml:space="preserve">1574246460764777</t>
  </si>
  <si>
    <t xml:space="preserve">120245594344460341</t>
  </si>
  <si>
    <t xml:space="preserve">72. March 24 USA 7-9</t>
  </si>
  <si>
    <t xml:space="preserve">1489424272531589</t>
  </si>
  <si>
    <t xml:space="preserve">120251577485060341</t>
  </si>
  <si>
    <t xml:space="preserve">6. 14. March 6 (13. Feb 17 USA - 4-6)</t>
  </si>
  <si>
    <t xml:space="preserve">1955579745143109</t>
  </si>
  <si>
    <t xml:space="preserve">120252126808190341</t>
  </si>
  <si>
    <t xml:space="preserve">1. Summer Vibe - 3 (C)</t>
  </si>
  <si>
    <t xml:space="preserve">8. Summer Vibe | 5Jul</t>
  </si>
  <si>
    <t xml:space="preserve">960353020352398</t>
  </si>
  <si>
    <t xml:space="preserve">120252404759900341</t>
  </si>
  <si>
    <t xml:space="preserve">05. 34644 plays - 4.55% eng - Copy</t>
  </si>
  <si>
    <t xml:space="preserve">46. (8. Testing - 2. IG Reels A 30Jun - 05. 34644 plays - 4.55% eng)</t>
  </si>
  <si>
    <t xml:space="preserve">2026-07-13</t>
  </si>
  <si>
    <t xml:space="preserve">1236454359543021</t>
  </si>
  <si>
    <t xml:space="preserve">120252444900250341</t>
  </si>
  <si>
    <t xml:space="preserve">11. 43926 plays - 4.19% eng</t>
  </si>
  <si>
    <t xml:space="preserve">28. Jul 14 USA - 4-6</t>
  </si>
  <si>
    <t xml:space="preserve">4543290949325534</t>
  </si>
  <si>
    <t xml:space="preserve">120254006863490341</t>
  </si>
  <si>
    <t xml:space="preserve">136. 20260918_Static_V1 (4)</t>
  </si>
  <si>
    <t xml:space="preserve">1792138891816355</t>
  </si>
  <si>
    <t xml:space="preserve">120251577615140341</t>
  </si>
  <si>
    <t xml:space="preserve">7.(7. Feb 8 ( 1. Feb 6 USA - 10-12)</t>
  </si>
  <si>
    <t xml:space="preserve">1663761445322255</t>
  </si>
  <si>
    <t xml:space="preserve">120252128304140341</t>
  </si>
  <si>
    <t xml:space="preserve">23. 3316 plays - 3.26% eng</t>
  </si>
  <si>
    <t xml:space="preserve">13. IG Reels E | 5Jul</t>
  </si>
  <si>
    <t xml:space="preserve">1717694662756484</t>
  </si>
  <si>
    <t xml:space="preserve">120253938888450341</t>
  </si>
  <si>
    <t xml:space="preserve">6. 20260914_FixAging_V1</t>
  </si>
  <si>
    <t xml:space="preserve">64. Broad_USA_Creative Testing – 15-09-26</t>
  </si>
  <si>
    <t xml:space="preserve">2026-09-15</t>
  </si>
  <si>
    <t xml:space="preserve">2189083388304276</t>
  </si>
  <si>
    <t xml:space="preserve">120248935162630341</t>
  </si>
  <si>
    <t xml:space="preserve">1. May 28 USA 1-3</t>
  </si>
  <si>
    <t xml:space="preserve">2026-05-28</t>
  </si>
  <si>
    <t xml:space="preserve">881389191653111</t>
  </si>
  <si>
    <t xml:space="preserve">120252126808740341</t>
  </si>
  <si>
    <t xml:space="preserve">4. Woman Progress - 12 (C)</t>
  </si>
  <si>
    <t xml:space="preserve">9. Woman Progress | 5Jul</t>
  </si>
  <si>
    <t xml:space="preserve">2219299438926010</t>
  </si>
  <si>
    <t xml:space="preserve">120254363341210341</t>
  </si>
  <si>
    <t xml:space="preserve">7. 20260923_Static_V (20)</t>
  </si>
  <si>
    <t xml:space="preserve">75__Broad_USA_Creative_testing – Copy 3</t>
  </si>
  <si>
    <t xml:space="preserve">1140975791835204</t>
  </si>
  <si>
    <t xml:space="preserve">120249839106850341</t>
  </si>
  <si>
    <t xml:space="preserve">16. June 7 USA 4-6</t>
  </si>
  <si>
    <t xml:space="preserve">1547314446981166</t>
  </si>
  <si>
    <t xml:space="preserve">120248163141010341</t>
  </si>
  <si>
    <t xml:space="preserve">93. May 19 USA 7-9</t>
  </si>
  <si>
    <t xml:space="preserve">925782720511063</t>
  </si>
  <si>
    <t xml:space="preserve">120248163138580341</t>
  </si>
  <si>
    <t xml:space="preserve">92. May 19 USA 4-6</t>
  </si>
  <si>
    <t xml:space="preserve">4591688801075515</t>
  </si>
  <si>
    <t xml:space="preserve">120242733176250341</t>
  </si>
  <si>
    <t xml:space="preserve">10. Feb 6 USA 7-9</t>
  </si>
  <si>
    <t xml:space="preserve">1663992754764784</t>
  </si>
  <si>
    <t xml:space="preserve">120248829127660341</t>
  </si>
  <si>
    <t xml:space="preserve">1016858057581415</t>
  </si>
  <si>
    <t xml:space="preserve">120244223761140341</t>
  </si>
  <si>
    <t xml:space="preserve">55. Mar 12 USA - 16-18</t>
  </si>
  <si>
    <t xml:space="preserve">1593236548437146</t>
  </si>
  <si>
    <t xml:space="preserve">120252444845050341</t>
  </si>
  <si>
    <t xml:space="preserve">38. 6972 plays - 2.34% eng</t>
  </si>
  <si>
    <t xml:space="preserve">2077505313643783</t>
  </si>
  <si>
    <t xml:space="preserve">120251593556970341</t>
  </si>
  <si>
    <t xml:space="preserve">24.(71. March 20 USA - 16-18 )</t>
  </si>
  <si>
    <t xml:space="preserve">4256142331363824</t>
  </si>
  <si>
    <t xml:space="preserve">120251994283590341</t>
  </si>
  <si>
    <t xml:space="preserve">4. Problem vs Solution - 14 (P3)</t>
  </si>
  <si>
    <t xml:space="preserve">4. Problem vs Solution | 30Jun</t>
  </si>
  <si>
    <t xml:space="preserve">1182359534079347</t>
  </si>
  <si>
    <t xml:space="preserve">120249481111950341</t>
  </si>
  <si>
    <t xml:space="preserve">28011918941729360</t>
  </si>
  <si>
    <t xml:space="preserve">120252618823650341</t>
  </si>
  <si>
    <t xml:space="preserve">2. Minimal Purple - 5 - Copy</t>
  </si>
  <si>
    <t xml:space="preserve">52. (8. Testing - 20. Minimal Purple 14Jul - 2. Minimal Purple - 5)</t>
  </si>
  <si>
    <t xml:space="preserve">2026-07-21</t>
  </si>
  <si>
    <t xml:space="preserve">1756478515379329</t>
  </si>
  <si>
    <t xml:space="preserve">120252444900060341</t>
  </si>
  <si>
    <t xml:space="preserve">10. 12887 plays - 4.8% eng</t>
  </si>
  <si>
    <t xml:space="preserve">2055143672541778</t>
  </si>
  <si>
    <t xml:space="preserve">120252444905230341</t>
  </si>
  <si>
    <t xml:space="preserve">22. 36912 plays - 2.59% eng</t>
  </si>
  <si>
    <t xml:space="preserve">31. Jul 14 USA - 13-15</t>
  </si>
  <si>
    <t xml:space="preserve">1684166716208279</t>
  </si>
  <si>
    <t xml:space="preserve">120248744349060341</t>
  </si>
  <si>
    <t xml:space="preserve">104. May 26 USA 19-21</t>
  </si>
  <si>
    <t xml:space="preserve">4338685626347160</t>
  </si>
  <si>
    <t xml:space="preserve">120249838159710341</t>
  </si>
  <si>
    <t xml:space="preserve">26720778587622693</t>
  </si>
  <si>
    <t xml:space="preserve">120252444641080341</t>
  </si>
  <si>
    <t xml:space="preserve">12. 119073 plays - 3.43% eng - Copy</t>
  </si>
  <si>
    <t xml:space="preserve">45. (8. Testing - 12. IG Reels D 5Jul - 12. 119073 plays - 3.43% eng)</t>
  </si>
  <si>
    <t xml:space="preserve">1358677216205717</t>
  </si>
  <si>
    <t xml:space="preserve">120253926673820341</t>
  </si>
  <si>
    <t xml:space="preserve">2B. 20260911_FDA_V1</t>
  </si>
  <si>
    <t xml:space="preserve">1097876452720500</t>
  </si>
  <si>
    <t xml:space="preserve">120253373056720341</t>
  </si>
  <si>
    <t xml:space="preserve">13.1</t>
  </si>
  <si>
    <t xml:space="preserve">1037706792195781</t>
  </si>
  <si>
    <t xml:space="preserve">120243390597520341</t>
  </si>
  <si>
    <t xml:space="preserve">22. Feb 23 USA 4-6</t>
  </si>
  <si>
    <t xml:space="preserve">2301190867026016</t>
  </si>
  <si>
    <t xml:space="preserve">120254022413490341</t>
  </si>
  <si>
    <t xml:space="preserve">160. 20260918_EndsSoon_V1</t>
  </si>
  <si>
    <t xml:space="preserve">28577110938589375</t>
  </si>
  <si>
    <t xml:space="preserve">120244223761220341</t>
  </si>
  <si>
    <t xml:space="preserve">867305596335069</t>
  </si>
  <si>
    <t xml:space="preserve">120249493519460341</t>
  </si>
  <si>
    <t xml:space="preserve">10. June 3 USA 7-9</t>
  </si>
  <si>
    <t xml:space="preserve">3191838964340680</t>
  </si>
  <si>
    <t xml:space="preserve">120251998577940341</t>
  </si>
  <si>
    <t xml:space="preserve">06. 185596 plays - 3.91% eng</t>
  </si>
  <si>
    <t xml:space="preserve">7. IG Reels C | 30Jun</t>
  </si>
  <si>
    <t xml:space="preserve">1724039761939081</t>
  </si>
  <si>
    <t xml:space="preserve">120252618872820341</t>
  </si>
  <si>
    <t xml:space="preserve">53. (8. Testing - 4. Problem vs Solution 30Jun - 4. Problem vs Solution - 14 (P3))</t>
  </si>
  <si>
    <t xml:space="preserve">2458567821307818</t>
  </si>
  <si>
    <t xml:space="preserve">120248163149640341</t>
  </si>
  <si>
    <t xml:space="preserve">1511083250405585</t>
  </si>
  <si>
    <t xml:space="preserve">120248744328460341</t>
  </si>
  <si>
    <t xml:space="preserve">102. May 26 USA 13-15</t>
  </si>
  <si>
    <t xml:space="preserve">1874456856506659</t>
  </si>
  <si>
    <t xml:space="preserve">120254362386360341</t>
  </si>
  <si>
    <t xml:space="preserve">3. 20260923_CaptAmerica_V1</t>
  </si>
  <si>
    <t xml:space="preserve">1349853943692516</t>
  </si>
  <si>
    <t xml:space="preserve">120251593085920341</t>
  </si>
  <si>
    <t xml:space="preserve">22.(11. Feb 6 USA - 16-18 )</t>
  </si>
  <si>
    <t xml:space="preserve">4348609672046968</t>
  </si>
  <si>
    <t xml:space="preserve">120253938888490341</t>
  </si>
  <si>
    <t xml:space="preserve">1. 20260914_HerSecret_V1</t>
  </si>
  <si>
    <t xml:space="preserve">1002829119460576</t>
  </si>
  <si>
    <t xml:space="preserve">120250187505690341</t>
  </si>
  <si>
    <t xml:space="preserve">1706277807088076</t>
  </si>
  <si>
    <t xml:space="preserve">120251695230890341</t>
  </si>
  <si>
    <t xml:space="preserve">33. (42. Feb 6 USA 10-12 - Video Ad 1)</t>
  </si>
  <si>
    <t xml:space="preserve">2181157456040259</t>
  </si>
  <si>
    <t xml:space="preserve">120252853148650341</t>
  </si>
  <si>
    <t xml:space="preserve">7645859931320634638.final</t>
  </si>
  <si>
    <t xml:space="preserve">52. New 15 UGC 7-9 | 30Jul</t>
  </si>
  <si>
    <t xml:space="preserve">1965832770787371</t>
  </si>
  <si>
    <t xml:space="preserve">120252444899660341</t>
  </si>
  <si>
    <t xml:space="preserve">04. 218304 plays - 4.09% eng</t>
  </si>
  <si>
    <t xml:space="preserve">27. Jul 14 USA - 1-3</t>
  </si>
  <si>
    <t xml:space="preserve">1027012716596715</t>
  </si>
  <si>
    <t xml:space="preserve">120243390024130341</t>
  </si>
  <si>
    <t xml:space="preserve">27. Feb 23 USA 19-21</t>
  </si>
  <si>
    <t xml:space="preserve">891976873474982</t>
  </si>
  <si>
    <t xml:space="preserve">120252759236230341</t>
  </si>
  <si>
    <t xml:space="preserve">934224432967688_brand</t>
  </si>
  <si>
    <t xml:space="preserve">45. Static Recreations I | 27Jul</t>
  </si>
  <si>
    <t xml:space="preserve">1411417027560372</t>
  </si>
  <si>
    <t xml:space="preserve">120244223761050341</t>
  </si>
  <si>
    <t xml:space="preserve">51. Mar 12 USA - 4-6</t>
  </si>
  <si>
    <t xml:space="preserve">794251570401937</t>
  </si>
  <si>
    <t xml:space="preserve">120251586960820341</t>
  </si>
  <si>
    <t xml:space="preserve">13.(16. March 20 (21. Jan 29 USA Human 1-3)</t>
  </si>
  <si>
    <t xml:space="preserve">1382766987040546</t>
  </si>
  <si>
    <t xml:space="preserve">120252692804890341</t>
  </si>
  <si>
    <t xml:space="preserve">7663510447093452063</t>
  </si>
  <si>
    <t xml:space="preserve">36. New 15 UGC 10-12 | 24Jul</t>
  </si>
  <si>
    <t xml:space="preserve">1046173504542471</t>
  </si>
  <si>
    <t xml:space="preserve">120248163163290341</t>
  </si>
  <si>
    <t xml:space="preserve">94. May 19 USA 10-12</t>
  </si>
  <si>
    <t xml:space="preserve">2061295258151822</t>
  </si>
  <si>
    <t xml:space="preserve">120251693224550341</t>
  </si>
  <si>
    <t xml:space="preserve">10. (1. Feb 14 (7. Feb 9 USA 13-15 - Video -1) - Video Ad 1)</t>
  </si>
  <si>
    <t xml:space="preserve">28189564050645143</t>
  </si>
  <si>
    <t xml:space="preserve">120251696905980341</t>
  </si>
  <si>
    <t xml:space="preserve">18. (14. June 3 USA 19-21 - Video Ad 3)</t>
  </si>
  <si>
    <t xml:space="preserve">2208931703215407</t>
  </si>
  <si>
    <t xml:space="preserve">120251692630370341</t>
  </si>
  <si>
    <t xml:space="preserve">4. (15. Feb 17 USA 7-9 - Video Ad 1)</t>
  </si>
  <si>
    <t xml:space="preserve">1535011734948709</t>
  </si>
  <si>
    <t xml:space="preserve">120249838082790341</t>
  </si>
  <si>
    <t xml:space="preserve">129. June 7 USA 10-12</t>
  </si>
  <si>
    <t xml:space="preserve">28171483342439803</t>
  </si>
  <si>
    <t xml:space="preserve">120252620504570341</t>
  </si>
  <si>
    <t xml:space="preserve">Sale Ends Today (8)</t>
  </si>
  <si>
    <t xml:space="preserve">24. New 9 UGC 7-9 | 21Jul</t>
  </si>
  <si>
    <t xml:space="preserve">1010807965087996</t>
  </si>
  <si>
    <t xml:space="preserve">120251589199780341</t>
  </si>
  <si>
    <t xml:space="preserve">16.(61. March 16 USA - 7-9 )</t>
  </si>
  <si>
    <t xml:space="preserve">996712829832504</t>
  </si>
  <si>
    <t xml:space="preserve">120253373081440341</t>
  </si>
  <si>
    <t xml:space="preserve">Gemini_Generated_Image_cbu9bscbu9bscbu9 (1)</t>
  </si>
  <si>
    <t xml:space="preserve">1054061907029042</t>
  </si>
  <si>
    <t xml:space="preserve">120251694313490341</t>
  </si>
  <si>
    <t xml:space="preserve">17. (17. Feb 17 USA 13-15 - Video Ad -2)</t>
  </si>
  <si>
    <t xml:space="preserve">27350333854608519</t>
  </si>
  <si>
    <t xml:space="preserve">120249481101940341</t>
  </si>
  <si>
    <t xml:space="preserve">119. June 2 USA 1-3</t>
  </si>
  <si>
    <t xml:space="preserve">26792626267105270</t>
  </si>
  <si>
    <t xml:space="preserve">120245907056630341</t>
  </si>
  <si>
    <t xml:space="preserve">- Video - Ad - 21</t>
  </si>
  <si>
    <t xml:space="preserve">83. March 28 USA 19-21</t>
  </si>
  <si>
    <t xml:space="preserve">1663727928284325</t>
  </si>
  <si>
    <t xml:space="preserve">120252444831530341</t>
  </si>
  <si>
    <t xml:space="preserve">37. 9906 plays - 2.3% eng</t>
  </si>
  <si>
    <t xml:space="preserve">1557069335824485</t>
  </si>
  <si>
    <t xml:space="preserve">120253848681180341</t>
  </si>
  <si>
    <t xml:space="preserve">10. 20260905_WarningReaction_V1</t>
  </si>
  <si>
    <t xml:space="preserve">1532721428538305</t>
  </si>
  <si>
    <t xml:space="preserve">120252759526420341</t>
  </si>
  <si>
    <t xml:space="preserve">6</t>
  </si>
  <si>
    <t xml:space="preserve">40. New 10 UGC 4-6 | 27Jul</t>
  </si>
  <si>
    <t xml:space="preserve">3519877484847717</t>
  </si>
  <si>
    <t xml:space="preserve">120251694473980341</t>
  </si>
  <si>
    <t xml:space="preserve">- Video - Ad - 3 - Copy 2</t>
  </si>
  <si>
    <t xml:space="preserve">25. (14. March 19 (20. Feb 6 USA 13-15) - Video Ad 3 Copy)</t>
  </si>
  <si>
    <t xml:space="preserve">1551288266662123</t>
  </si>
  <si>
    <t xml:space="preserve">120251694760250341</t>
  </si>
  <si>
    <t xml:space="preserve">29. (38. Mar 3 USA - 10-12 - Video Ad 1)</t>
  </si>
  <si>
    <t xml:space="preserve">3899847176988510</t>
  </si>
  <si>
    <t xml:space="preserve">120244047830940341</t>
  </si>
  <si>
    <t xml:space="preserve">44. March 8 USA 7-9</t>
  </si>
  <si>
    <t xml:space="preserve">25367845619556582</t>
  </si>
  <si>
    <t xml:space="preserve">120253850540740341</t>
  </si>
  <si>
    <t xml:space="preserve">2294489267968823</t>
  </si>
  <si>
    <t xml:space="preserve">120248163136380341</t>
  </si>
  <si>
    <t xml:space="preserve">1366381905381313</t>
  </si>
  <si>
    <t xml:space="preserve">120248829149890341</t>
  </si>
  <si>
    <t xml:space="preserve">111. May 27 USA 19-21</t>
  </si>
  <si>
    <t xml:space="preserve">1024188683378851</t>
  </si>
  <si>
    <t xml:space="preserve">120251593373340341</t>
  </si>
  <si>
    <t xml:space="preserve">23.(3. Jan 17 ( Dec 7 USA BOF - 4-6 )</t>
  </si>
  <si>
    <t xml:space="preserve">1607879677345749</t>
  </si>
  <si>
    <t xml:space="preserve">120249838084810341</t>
  </si>
  <si>
    <t xml:space="preserve">130. June 7 USA 13-15</t>
  </si>
  <si>
    <t xml:space="preserve">2366788633846281</t>
  </si>
  <si>
    <t xml:space="preserve">120242511501120341</t>
  </si>
  <si>
    <t xml:space="preserve">Feb 3 USA 1-3</t>
  </si>
  <si>
    <t xml:space="preserve">2026-02-02</t>
  </si>
  <si>
    <t xml:space="preserve">1534301261498471</t>
  </si>
  <si>
    <t xml:space="preserve">120250187519950341</t>
  </si>
  <si>
    <t xml:space="preserve">134. June 10 USA 4-6</t>
  </si>
  <si>
    <t xml:space="preserve">2304586217029646</t>
  </si>
  <si>
    <t xml:space="preserve">120242733176270341</t>
  </si>
  <si>
    <t xml:space="preserve">20. Feb 6 USA 13-15</t>
  </si>
  <si>
    <t xml:space="preserve">916590244498820</t>
  </si>
  <si>
    <t xml:space="preserve">120252247352530341</t>
  </si>
  <si>
    <t xml:space="preserve">38. (110. May 27 USA 16-18 - Video Ad 3)</t>
  </si>
  <si>
    <t xml:space="preserve">2026-07-08</t>
  </si>
  <si>
    <t xml:space="preserve">1003727722639461</t>
  </si>
  <si>
    <t xml:space="preserve">120250187500150341</t>
  </si>
  <si>
    <t xml:space="preserve">133. June 10 USA 1-3</t>
  </si>
  <si>
    <t xml:space="preserve">2250449105695154</t>
  </si>
  <si>
    <t xml:space="preserve">120253458734500341</t>
  </si>
  <si>
    <t xml:space="preserve">3.png</t>
  </si>
  <si>
    <t xml:space="preserve">2096360814293426</t>
  </si>
  <si>
    <t xml:space="preserve">120254022413460341</t>
  </si>
  <si>
    <t xml:space="preserve">154. 20260918_BloodWorkToProove_V2</t>
  </si>
  <si>
    <t xml:space="preserve">1699604172172893</t>
  </si>
  <si>
    <t xml:space="preserve">120252758782300341</t>
  </si>
  <si>
    <t xml:space="preserve">1551872106944510_brand - Copy</t>
  </si>
  <si>
    <t xml:space="preserve">56. (8. Testing - 25. Static Recreations A 21Jul - 1551872106944510_brand)</t>
  </si>
  <si>
    <t xml:space="preserve">2400152450395779</t>
  </si>
  <si>
    <t xml:space="preserve">120243701476930341</t>
  </si>
  <si>
    <t xml:space="preserve">725744660492193</t>
  </si>
  <si>
    <t xml:space="preserve">120253886723110341</t>
  </si>
  <si>
    <t xml:space="preserve">7. 20260905_90dayNMNResult_V2</t>
  </si>
  <si>
    <t xml:space="preserve">1390344999228265</t>
  </si>
  <si>
    <t xml:space="preserve">120252126808380341</t>
  </si>
  <si>
    <t xml:space="preserve">4. Woman Progress - 10 (A)</t>
  </si>
  <si>
    <t xml:space="preserve">1313007227582798</t>
  </si>
  <si>
    <t xml:space="preserve">120253888409440341</t>
  </si>
  <si>
    <t xml:space="preserve">27. 20260909_Cellular support_V1</t>
  </si>
  <si>
    <t xml:space="preserve">853306237777568</t>
  </si>
  <si>
    <t xml:space="preserve">120253155096890341</t>
  </si>
  <si>
    <t xml:space="preserve">9</t>
  </si>
  <si>
    <t xml:space="preserve">55. Mixed Batch  | 8Aug 2026</t>
  </si>
  <si>
    <t xml:space="preserve">1610043454045668</t>
  </si>
  <si>
    <t xml:space="preserve">120252672748590341</t>
  </si>
  <si>
    <t xml:space="preserve">1(3)</t>
  </si>
  <si>
    <t xml:space="preserve">141. July 23 USA 1-3</t>
  </si>
  <si>
    <t xml:space="preserve">2026-07-23</t>
  </si>
  <si>
    <t xml:space="preserve">1522763323197980</t>
  </si>
  <si>
    <t xml:space="preserve">120251694356630341</t>
  </si>
  <si>
    <t xml:space="preserve">21. (53. Mar 12 USA - 10-12 - Video Ad 1)</t>
  </si>
  <si>
    <t xml:space="preserve">979584774983213</t>
  </si>
  <si>
    <t xml:space="preserve">120251695179510341</t>
  </si>
  <si>
    <t xml:space="preserve">32. (35. Mar 3 USA - 1-3 - Video Ad 3)</t>
  </si>
  <si>
    <t xml:space="preserve">1521225423030580</t>
  </si>
  <si>
    <t xml:space="preserve">120252445209660341</t>
  </si>
  <si>
    <t xml:space="preserve">11. State-Building Couple - 1(2)</t>
  </si>
  <si>
    <t xml:space="preserve">21. State-Building Couple | 14Jul</t>
  </si>
  <si>
    <t xml:space="preserve">1026509789756593</t>
  </si>
  <si>
    <t xml:space="preserve">120251577878990341</t>
  </si>
  <si>
    <t xml:space="preserve">9.(16. Feb 17 USA - 13-15 – )</t>
  </si>
  <si>
    <t xml:space="preserve">1720010322538647</t>
  </si>
  <si>
    <t xml:space="preserve">120242542051420341</t>
  </si>
  <si>
    <t xml:space="preserve">Feb 3 USA 19-21</t>
  </si>
  <si>
    <t xml:space="preserve">26088809437403730</t>
  </si>
  <si>
    <t xml:space="preserve">120251575594720341</t>
  </si>
  <si>
    <t xml:space="preserve">- Video - Ad - 3 Copy - Tempstop</t>
  </si>
  <si>
    <t xml:space="preserve">1.(12. Feb 14 (11. Feb 6 USA - 16-18 - Video - 3) –</t>
  </si>
  <si>
    <t xml:space="preserve">1537891624534970</t>
  </si>
  <si>
    <t xml:space="preserve">120248163148600341</t>
  </si>
  <si>
    <t xml:space="preserve">4400703786885447</t>
  </si>
  <si>
    <t xml:space="preserve">120251692450130341</t>
  </si>
  <si>
    <t xml:space="preserve">2. (4. Feb 27 (9. Feb 9 USA 19-21) - Video Ad 1 Copy)</t>
  </si>
  <si>
    <t xml:space="preserve">2026144714772470</t>
  </si>
  <si>
    <t xml:space="preserve">120252853166930341</t>
  </si>
  <si>
    <t xml:space="preserve">7644491911364873485.final</t>
  </si>
  <si>
    <t xml:space="preserve">1766348694388638</t>
  </si>
  <si>
    <t xml:space="preserve">120244223761000341</t>
  </si>
  <si>
    <t xml:space="preserve">52. Mar 12 USA - 7-9</t>
  </si>
  <si>
    <t xml:space="preserve">1326719009293471</t>
  </si>
  <si>
    <t xml:space="preserve">120254006863510341</t>
  </si>
  <si>
    <t xml:space="preserve">138. 20260918_Static_V1 (6)</t>
  </si>
  <si>
    <t xml:space="preserve">1792502012068105</t>
  </si>
  <si>
    <t xml:space="preserve">120248829165070341</t>
  </si>
  <si>
    <t xml:space="preserve">107. May 27 USA 7-9</t>
  </si>
  <si>
    <t xml:space="preserve">28210009235255741</t>
  </si>
  <si>
    <t xml:space="preserve">120248829145870341</t>
  </si>
  <si>
    <t xml:space="preserve">1279901417238368</t>
  </si>
  <si>
    <t xml:space="preserve">120252126808070341</t>
  </si>
  <si>
    <t xml:space="preserve">1. Summer Vibe - 2 (B)</t>
  </si>
  <si>
    <t xml:space="preserve">27427665206887059</t>
  </si>
  <si>
    <t xml:space="preserve">120249083777470341</t>
  </si>
  <si>
    <t xml:space="preserve">118. May 30 USA 19-21</t>
  </si>
  <si>
    <t xml:space="preserve">1011242161356719</t>
  </si>
  <si>
    <t xml:space="preserve">120248744340110341</t>
  </si>
  <si>
    <t xml:space="preserve">99. May 26 USA 4-6</t>
  </si>
  <si>
    <t xml:space="preserve">967326352939081</t>
  </si>
  <si>
    <t xml:space="preserve">120248935220900341</t>
  </si>
  <si>
    <t xml:space="preserve">6. May 28 USA 16-18</t>
  </si>
  <si>
    <t xml:space="preserve">1533404171576806</t>
  </si>
  <si>
    <t xml:space="preserve">120252126804050341</t>
  </si>
  <si>
    <t xml:space="preserve">1. Summer Vibe - 1 (A)</t>
  </si>
  <si>
    <t xml:space="preserve">1017773354514038</t>
  </si>
  <si>
    <t xml:space="preserve">120252620366800341</t>
  </si>
  <si>
    <t xml:space="preserve">1247585440825325_brand</t>
  </si>
  <si>
    <t xml:space="preserve">26. Static Recreations B | 21Jul</t>
  </si>
  <si>
    <t xml:space="preserve">3983685075271823</t>
  </si>
  <si>
    <t xml:space="preserve">120244413721510341</t>
  </si>
  <si>
    <t xml:space="preserve">58. March 16 USA 7-9</t>
  </si>
  <si>
    <t xml:space="preserve">1459787459189445</t>
  </si>
  <si>
    <t xml:space="preserve">120254021502700341</t>
  </si>
  <si>
    <t xml:space="preserve">12. 20260910_IsNADAScam_V1 – Copy</t>
  </si>
  <si>
    <t xml:space="preserve">10. NMN Testing Campaign (CBO) 20-09-26</t>
  </si>
  <si>
    <t xml:space="preserve">2.. Broad_USA_Creative Testing – 19-09-26</t>
  </si>
  <si>
    <t xml:space="preserve">120248163165250341</t>
  </si>
  <si>
    <t xml:space="preserve">96. May 19 USA 16-18</t>
  </si>
  <si>
    <t xml:space="preserve">1673996376970290</t>
  </si>
  <si>
    <t xml:space="preserve">120249493522830341</t>
  </si>
  <si>
    <t xml:space="preserve">2236045223800576</t>
  </si>
  <si>
    <t xml:space="preserve">120251694712570341</t>
  </si>
  <si>
    <t xml:space="preserve">28. (28. Feb 28 USA 1-3 - Video Ad 1)</t>
  </si>
  <si>
    <t xml:space="preserve">1037022092105655</t>
  </si>
  <si>
    <t xml:space="preserve">120252126809180341</t>
  </si>
  <si>
    <t xml:space="preserve">5. Lines Red - 13 (A)</t>
  </si>
  <si>
    <t xml:space="preserve">10. Lines Red | 5Jul</t>
  </si>
  <si>
    <t xml:space="preserve">1766807174738851</t>
  </si>
  <si>
    <t xml:space="preserve">120248829170910341</t>
  </si>
  <si>
    <t xml:space="preserve">109. May 27 USA 13-15</t>
  </si>
  <si>
    <t xml:space="preserve">1678588417600785</t>
  </si>
  <si>
    <t xml:space="preserve">120252444833310341</t>
  </si>
  <si>
    <t xml:space="preserve">45. 6578 plays - 2.02% eng</t>
  </si>
  <si>
    <t xml:space="preserve">18. IG Reels H | 14Jul</t>
  </si>
  <si>
    <t xml:space="preserve">1252812703536906</t>
  </si>
  <si>
    <t xml:space="preserve">120251576791300341</t>
  </si>
  <si>
    <t xml:space="preserve">4.(Dec 16 USA BOF 1-3</t>
  </si>
  <si>
    <t xml:space="preserve">1474102607739107</t>
  </si>
  <si>
    <t xml:space="preserve">120252444901050341</t>
  </si>
  <si>
    <t xml:space="preserve">15. 5379 plays - 3.79% eng</t>
  </si>
  <si>
    <t xml:space="preserve">29. Jul 14 USA - 7-9</t>
  </si>
  <si>
    <t xml:space="preserve">1026671626430906</t>
  </si>
  <si>
    <t xml:space="preserve">120251692988280341</t>
  </si>
  <si>
    <t xml:space="preserve">8. (35. Mar 3 USA - 1-3 - Video Ad 1)</t>
  </si>
  <si>
    <t xml:space="preserve">1377610130955861</t>
  </si>
  <si>
    <t xml:space="preserve">120250187503360341</t>
  </si>
  <si>
    <t xml:space="preserve">137. June 10 USA 13-15</t>
  </si>
  <si>
    <t xml:space="preserve">989438154055479</t>
  </si>
  <si>
    <t xml:space="preserve">120248303695270341</t>
  </si>
  <si>
    <t xml:space="preserve">87. May 21 USA - 4-6</t>
  </si>
  <si>
    <t xml:space="preserve">2026-05-21</t>
  </si>
  <si>
    <t xml:space="preserve">1701791610821472</t>
  </si>
  <si>
    <t xml:space="preserve">120244047830910341</t>
  </si>
  <si>
    <t xml:space="preserve">1576599540259417</t>
  </si>
  <si>
    <t xml:space="preserve">120250187502360341</t>
  </si>
  <si>
    <t xml:space="preserve">959451787093992</t>
  </si>
  <si>
    <t xml:space="preserve">120245864050310341</t>
  </si>
  <si>
    <t xml:space="preserve">83. March 28 USA - 13-15</t>
  </si>
  <si>
    <t xml:space="preserve">2026-04-23</t>
  </si>
  <si>
    <t xml:space="preserve">2017913132493737</t>
  </si>
  <si>
    <t xml:space="preserve">120252404526780341</t>
  </si>
  <si>
    <t xml:space="preserve">44. (137. June 10 USA 13-15 - Video Ad 1)</t>
  </si>
  <si>
    <t xml:space="preserve">1035365335527581</t>
  </si>
  <si>
    <t xml:space="preserve">120252853153300341</t>
  </si>
  <si>
    <t xml:space="preserve">7646996083075239182.final</t>
  </si>
  <si>
    <t xml:space="preserve">54. New 15 UGC 13-15 | 30Jul</t>
  </si>
  <si>
    <t xml:space="preserve">2776325519421366</t>
  </si>
  <si>
    <t xml:space="preserve">120248935210600341</t>
  </si>
  <si>
    <t xml:space="preserve">5. May 28 USA 13-15</t>
  </si>
  <si>
    <t xml:space="preserve">1288117309968806</t>
  </si>
  <si>
    <t xml:space="preserve">120248829124140341</t>
  </si>
  <si>
    <t xml:space="preserve">4610286445873328</t>
  </si>
  <si>
    <t xml:space="preserve">120252620370980341</t>
  </si>
  <si>
    <t xml:space="preserve">1285292903725111_brand</t>
  </si>
  <si>
    <t xml:space="preserve">1068802692143024</t>
  </si>
  <si>
    <t xml:space="preserve">120252444835920341</t>
  </si>
  <si>
    <t xml:space="preserve">66. 4043 plays - 0.54% eng</t>
  </si>
  <si>
    <t xml:space="preserve">19. IG Reels I | 14Jul</t>
  </si>
  <si>
    <t xml:space="preserve">1567968131348858</t>
  </si>
  <si>
    <t xml:space="preserve">120250187518330341</t>
  </si>
  <si>
    <t xml:space="preserve">1704432840868555</t>
  </si>
  <si>
    <t xml:space="preserve">120251577961890341</t>
  </si>
  <si>
    <t xml:space="preserve">10.(76. March 24 USA - 10-12 )</t>
  </si>
  <si>
    <t xml:space="preserve">1494161852391225</t>
  </si>
  <si>
    <t xml:space="preserve">120241897706480341</t>
  </si>
  <si>
    <t xml:space="preserve">BOF - Video - Ad - 1</t>
  </si>
  <si>
    <t xml:space="preserve">Jan 16 USA BOF - 1-3</t>
  </si>
  <si>
    <t xml:space="preserve">2026-01-15</t>
  </si>
  <si>
    <t xml:space="preserve">1666845210949562</t>
  </si>
  <si>
    <t xml:space="preserve">120252982567650341</t>
  </si>
  <si>
    <t xml:space="preserve">880922768391820_brand - Copy</t>
  </si>
  <si>
    <t xml:space="preserve">58. (8. Testing - 30. Static Recreations F 21Jul - 880922768391820_brand)</t>
  </si>
  <si>
    <t xml:space="preserve">2026-08-04</t>
  </si>
  <si>
    <t xml:space="preserve">1357291779295492</t>
  </si>
  <si>
    <t xml:space="preserve">120252126810800341</t>
  </si>
  <si>
    <t xml:space="preserve">5. Lines Red - 15 (C)</t>
  </si>
  <si>
    <t xml:space="preserve">1885273675485054</t>
  </si>
  <si>
    <t xml:space="preserve">120254022413480341</t>
  </si>
  <si>
    <t xml:space="preserve">158. 20260918_DoubleDiscount_V1</t>
  </si>
  <si>
    <t xml:space="preserve">1031431843232793</t>
  </si>
  <si>
    <t xml:space="preserve">120253888409510341</t>
  </si>
  <si>
    <t xml:space="preserve">20. 20260908_Buy3Get3_V1 (2)</t>
  </si>
  <si>
    <t xml:space="preserve">2255593088566887</t>
  </si>
  <si>
    <t xml:space="preserve">120248935206440341</t>
  </si>
  <si>
    <t xml:space="preserve">36384867157763283</t>
  </si>
  <si>
    <t xml:space="preserve">120246424579380341</t>
  </si>
  <si>
    <t xml:space="preserve">- Video - Ad - 15</t>
  </si>
  <si>
    <t xml:space="preserve">88. April 1 USA 13-15</t>
  </si>
  <si>
    <t xml:space="preserve">2144096186388957</t>
  </si>
  <si>
    <t xml:space="preserve">120252445209610341</t>
  </si>
  <si>
    <t xml:space="preserve">2. Minimal Purple - 6</t>
  </si>
  <si>
    <t xml:space="preserve">2016617709740623</t>
  </si>
  <si>
    <t xml:space="preserve">120249481197470341</t>
  </si>
  <si>
    <t xml:space="preserve">124. June 2 USA 16-18</t>
  </si>
  <si>
    <t xml:space="preserve">1460602529157592</t>
  </si>
  <si>
    <t xml:space="preserve">120252853166720341</t>
  </si>
  <si>
    <t xml:space="preserve">7644470180885646605.final</t>
  </si>
  <si>
    <t xml:space="preserve">1055984516927518</t>
  </si>
  <si>
    <t xml:space="preserve">120248744332580341</t>
  </si>
  <si>
    <t xml:space="preserve">1543501110524146</t>
  </si>
  <si>
    <t xml:space="preserve">120252759234440341</t>
  </si>
  <si>
    <t xml:space="preserve">867933499715973_brand</t>
  </si>
  <si>
    <t xml:space="preserve">44. Static Recreations H | 27Jul</t>
  </si>
  <si>
    <t xml:space="preserve">2563632570708742</t>
  </si>
  <si>
    <t xml:space="preserve">120251593808710341</t>
  </si>
  <si>
    <t xml:space="preserve">26.(61. March 16 USA - 7-9 )</t>
  </si>
  <si>
    <t xml:space="preserve">1105568055983565</t>
  </si>
  <si>
    <t xml:space="preserve">120248303689890341</t>
  </si>
  <si>
    <t xml:space="preserve">2957646317905694</t>
  </si>
  <si>
    <t xml:space="preserve">120252853142800341</t>
  </si>
  <si>
    <t xml:space="preserve">7644643627515251982.final</t>
  </si>
  <si>
    <t xml:space="preserve">51. New 15 UGC 4-6 | 30Jul</t>
  </si>
  <si>
    <t xml:space="preserve">803424769527257</t>
  </si>
  <si>
    <t xml:space="preserve">120249838087190341</t>
  </si>
  <si>
    <t xml:space="preserve">1442923254304775</t>
  </si>
  <si>
    <t xml:space="preserve">120252549449760341</t>
  </si>
  <si>
    <t xml:space="preserve">51. (129. June 7 USA 10-12 - Video Ad 1)</t>
  </si>
  <si>
    <t xml:space="preserve">2178838469328308</t>
  </si>
  <si>
    <t xml:space="preserve">120249481136720341</t>
  </si>
  <si>
    <t xml:space="preserve">121. June 2 USA 7-9</t>
  </si>
  <si>
    <t xml:space="preserve">1750961173009875</t>
  </si>
  <si>
    <t xml:space="preserve">120248163145930341</t>
  </si>
  <si>
    <t xml:space="preserve">97. May 19 USA 19-21</t>
  </si>
  <si>
    <t xml:space="preserve">3312911215571998</t>
  </si>
  <si>
    <t xml:space="preserve">120252616896640341</t>
  </si>
  <si>
    <t xml:space="preserve">49. (131. June 7 USA 16-18 - Video Ad 3)</t>
  </si>
  <si>
    <t xml:space="preserve">1774996760516338</t>
  </si>
  <si>
    <t xml:space="preserve">120251591568860341</t>
  </si>
  <si>
    <t xml:space="preserve">20.(10. Jan 23 USA Awareness - 7-9)</t>
  </si>
  <si>
    <t xml:space="preserve">1047545624427296</t>
  </si>
  <si>
    <t xml:space="preserve">120244559929340341</t>
  </si>
  <si>
    <t xml:space="preserve">12. March 19 (39. Mar 3 USA - 13-15)</t>
  </si>
  <si>
    <t xml:space="preserve">1686926965916012</t>
  </si>
  <si>
    <t xml:space="preserve">120252128307340341</t>
  </si>
  <si>
    <t xml:space="preserve">31. 11940 plays - 2.43% eng</t>
  </si>
  <si>
    <t xml:space="preserve">14. IG Reels F | 5Jul</t>
  </si>
  <si>
    <t xml:space="preserve">1536037711510662</t>
  </si>
  <si>
    <t xml:space="preserve">120249838149030341</t>
  </si>
  <si>
    <t xml:space="preserve">126. June 7 USA 1-3</t>
  </si>
  <si>
    <t xml:space="preserve">1330987008995733</t>
  </si>
  <si>
    <t xml:space="preserve">120251695313190341</t>
  </si>
  <si>
    <t xml:space="preserve">34. (68. March 20 USA 16-18 - Video Ad 1)</t>
  </si>
  <si>
    <t xml:space="preserve">1924029821643191</t>
  </si>
  <si>
    <t xml:space="preserve">120242859011320341</t>
  </si>
  <si>
    <t xml:space="preserve">3. Feb 9 USA 1-3</t>
  </si>
  <si>
    <t xml:space="preserve">2026-02-11</t>
  </si>
  <si>
    <t xml:space="preserve">1287062339924264</t>
  </si>
  <si>
    <t xml:space="preserve">120254095853530341</t>
  </si>
  <si>
    <t xml:space="preserve">030_7648078610691017998</t>
  </si>
  <si>
    <t xml:space="preserve">11. Meg Testing Campaign (CBO) Sep 22 2026</t>
  </si>
  <si>
    <t xml:space="preserve">11. Sep 23 USA 28-30</t>
  </si>
  <si>
    <t xml:space="preserve">2026-09-23</t>
  </si>
  <si>
    <t xml:space="preserve">1677028327188714</t>
  </si>
  <si>
    <t xml:space="preserve">120251589826890341</t>
  </si>
  <si>
    <t xml:space="preserve">17.(Dec 12 USA BOF- 1-3 )</t>
  </si>
  <si>
    <t xml:space="preserve">822044997655517</t>
  </si>
  <si>
    <t xml:space="preserve">120253703126970341</t>
  </si>
  <si>
    <t xml:space="preserve">5. 20260902_IfYouSymptomChecklist_V1</t>
  </si>
  <si>
    <t xml:space="preserve">1793966965123859</t>
  </si>
  <si>
    <t xml:space="preserve">120252553240390341</t>
  </si>
  <si>
    <t xml:space="preserve">2. Minimal Purple - 4 - Copy</t>
  </si>
  <si>
    <t xml:space="preserve">47. (8. Testing - 20. Minimal Purple 14Jul - 2. Minimal Purple - 4)</t>
  </si>
  <si>
    <t xml:space="preserve">1511059737460293</t>
  </si>
  <si>
    <t xml:space="preserve">120252853167820341</t>
  </si>
  <si>
    <t xml:space="preserve">7646969969363684622.final</t>
  </si>
  <si>
    <t xml:space="preserve">53. New 15 UGC 10-12 | 30Jul</t>
  </si>
  <si>
    <t xml:space="preserve">1024691393508376</t>
  </si>
  <si>
    <t xml:space="preserve">120252759522820341</t>
  </si>
  <si>
    <t xml:space="preserve">1</t>
  </si>
  <si>
    <t xml:space="preserve">39. New 10 UGC 1-3 | 27Jul</t>
  </si>
  <si>
    <t xml:space="preserve">1356103549959504</t>
  </si>
  <si>
    <t xml:space="preserve">120248744344600341</t>
  </si>
  <si>
    <t xml:space="preserve">101. May 26 USA 10-12</t>
  </si>
  <si>
    <t xml:space="preserve">1309953940637168</t>
  </si>
  <si>
    <t xml:space="preserve">120252444846350341</t>
  </si>
  <si>
    <t xml:space="preserve">53. 5807 plays - 1.58% eng</t>
  </si>
  <si>
    <t xml:space="preserve">1491702649392858</t>
  </si>
  <si>
    <t xml:space="preserve">120252616819150341</t>
  </si>
  <si>
    <t xml:space="preserve">48. (135. June 10 USA 7-9 - Video Ad 3)</t>
  </si>
  <si>
    <t xml:space="preserve">1385180206847167</t>
  </si>
  <si>
    <t xml:space="preserve">120249838110870341</t>
  </si>
  <si>
    <t xml:space="preserve">1298696342372837</t>
  </si>
  <si>
    <t xml:space="preserve">120252128303030341</t>
  </si>
  <si>
    <t xml:space="preserve">14. 3373 plays - 4.6% eng</t>
  </si>
  <si>
    <t xml:space="preserve">4500488916852777</t>
  </si>
  <si>
    <t xml:space="preserve">120253155056110341</t>
  </si>
  <si>
    <t xml:space="preserve">1 (6)</t>
  </si>
  <si>
    <t xml:space="preserve">2115376592658588</t>
  </si>
  <si>
    <t xml:space="preserve">120252692801290341</t>
  </si>
  <si>
    <t xml:space="preserve">7644820569426267406.final</t>
  </si>
  <si>
    <t xml:space="preserve">2062389531152249</t>
  </si>
  <si>
    <t xml:space="preserve">120251994284190341</t>
  </si>
  <si>
    <t xml:space="preserve">4. Problem vs Solution - 15 (P4)</t>
  </si>
  <si>
    <t xml:space="preserve">1152965264574702</t>
  </si>
  <si>
    <t xml:space="preserve">120248744226220341</t>
  </si>
  <si>
    <t xml:space="preserve">1323880379715666</t>
  </si>
  <si>
    <t xml:space="preserve">120251585964330341</t>
  </si>
  <si>
    <t xml:space="preserve">11.(13. Feb 24 (16. Feb 17 USA - 13-15)</t>
  </si>
  <si>
    <t xml:space="preserve">1367991145205322</t>
  </si>
  <si>
    <t xml:space="preserve">120252759525530341</t>
  </si>
  <si>
    <t xml:space="preserve">5</t>
  </si>
  <si>
    <t xml:space="preserve">28928400576747597</t>
  </si>
  <si>
    <t xml:space="preserve">120248744225120341</t>
  </si>
  <si>
    <t xml:space="preserve">2289264161482683</t>
  </si>
  <si>
    <t xml:space="preserve">120253926673730341</t>
  </si>
  <si>
    <t xml:space="preserve">1B. 20260911_HiddenInformation_V1</t>
  </si>
  <si>
    <t xml:space="preserve">1646773556838364</t>
  </si>
  <si>
    <t xml:space="preserve">120252853147190341</t>
  </si>
  <si>
    <t xml:space="preserve">7645384356684483871.final</t>
  </si>
  <si>
    <t xml:space="preserve">1611410167217748</t>
  </si>
  <si>
    <t xml:space="preserve">120252853156870341</t>
  </si>
  <si>
    <t xml:space="preserve">7647028628395461902.final</t>
  </si>
  <si>
    <t xml:space="preserve">4509407552626071</t>
  </si>
  <si>
    <t xml:space="preserve">120249083630390341</t>
  </si>
  <si>
    <t xml:space="preserve">115. May 30 USA 10-12</t>
  </si>
  <si>
    <t xml:space="preserve">2208701053316408</t>
  </si>
  <si>
    <t xml:space="preserve">120251694510700341</t>
  </si>
  <si>
    <t xml:space="preserve">27. (36. Mar 3 USA - 4-6 - Video Ad -2)</t>
  </si>
  <si>
    <t xml:space="preserve">1331963068390137</t>
  </si>
  <si>
    <t xml:space="preserve">120254005369710341</t>
  </si>
  <si>
    <t xml:space="preserve">121. 20260917_IDontLook40_V1</t>
  </si>
  <si>
    <t xml:space="preserve">1867942597913349</t>
  </si>
  <si>
    <t xml:space="preserve">120252128309440341</t>
  </si>
  <si>
    <t xml:space="preserve">34. 3904 plays - 2.66% eng</t>
  </si>
  <si>
    <t xml:space="preserve">1377612577554331</t>
  </si>
  <si>
    <t xml:space="preserve">120252128304840341</t>
  </si>
  <si>
    <t xml:space="preserve">24. 4388 plays - 3.08% eng</t>
  </si>
  <si>
    <t xml:space="preserve">4053211628316527</t>
  </si>
  <si>
    <t xml:space="preserve">120242297950550341</t>
  </si>
  <si>
    <t xml:space="preserve">Jan 26 USA BOF 13-15</t>
  </si>
  <si>
    <t xml:space="preserve">2026-01-26</t>
  </si>
  <si>
    <t xml:space="preserve">922580646872129</t>
  </si>
  <si>
    <t xml:space="preserve">120252444847810341</t>
  </si>
  <si>
    <t xml:space="preserve">68. 13846 plays - 0.36% eng</t>
  </si>
  <si>
    <t xml:space="preserve">1458882159617413</t>
  </si>
  <si>
    <t xml:space="preserve">120250187525650341</t>
  </si>
  <si>
    <t xml:space="preserve">1026022780113230</t>
  </si>
  <si>
    <t xml:space="preserve">120249481115220341</t>
  </si>
  <si>
    <t xml:space="preserve">27389418147337873</t>
  </si>
  <si>
    <t xml:space="preserve">120251696892420341</t>
  </si>
  <si>
    <t xml:space="preserve">6. (10. June 3 USA 7-9 - Video Ad 3)</t>
  </si>
  <si>
    <t xml:space="preserve">1376294147936186</t>
  </si>
  <si>
    <t xml:space="preserve">120252384154070341</t>
  </si>
  <si>
    <t xml:space="preserve">4. Woman Progress - 10 (A) - Copy</t>
  </si>
  <si>
    <t xml:space="preserve">43. (8. Testing - 9. Woman Progress 5Jul - 4. Woman Progress - 10 (A))</t>
  </si>
  <si>
    <t xml:space="preserve">1585608592921193</t>
  </si>
  <si>
    <t xml:space="preserve">120251694483950341</t>
  </si>
  <si>
    <t xml:space="preserve">26. (2. Feb 19 (12. Feb 6 USA 16-18) - Video Ad 1 Copy)</t>
  </si>
  <si>
    <t xml:space="preserve">994733236664281</t>
  </si>
  <si>
    <t xml:space="preserve">120253235149940341</t>
  </si>
  <si>
    <t xml:space="preserve">37</t>
  </si>
  <si>
    <t xml:space="preserve">1359264076415796</t>
  </si>
  <si>
    <t xml:space="preserve">120252620362470341</t>
  </si>
  <si>
    <t xml:space="preserve">1035705545868398_brand</t>
  </si>
  <si>
    <t xml:space="preserve">1353522916225497</t>
  </si>
  <si>
    <t xml:space="preserve">120249838104030341</t>
  </si>
  <si>
    <t xml:space="preserve">127. June 7 USA 4-6</t>
  </si>
  <si>
    <t xml:space="preserve">1688636558999369</t>
  </si>
  <si>
    <t xml:space="preserve">120246424579350341</t>
  </si>
  <si>
    <t xml:space="preserve">- Video - Ad - 7</t>
  </si>
  <si>
    <t xml:space="preserve">991167413348114</t>
  </si>
  <si>
    <t xml:space="preserve">120252692800310341</t>
  </si>
  <si>
    <t xml:space="preserve">61. 4717 plays - 1.14% eng</t>
  </si>
  <si>
    <t xml:space="preserve">31. IG Reels J | 24Jul</t>
  </si>
  <si>
    <t xml:space="preserve">1547506607062292</t>
  </si>
  <si>
    <t xml:space="preserve">120251577812740341</t>
  </si>
  <si>
    <t xml:space="preserve">BOF - Video - Ad - 7</t>
  </si>
  <si>
    <t xml:space="preserve">8.(2. Jan 17 (Nov 28 USA BOF 7-9)</t>
  </si>
  <si>
    <t xml:space="preserve">2202296017270634</t>
  </si>
  <si>
    <t xml:space="preserve">120252122804540341</t>
  </si>
  <si>
    <t xml:space="preserve">37. (128. June 7 USA 7-9 - Video Ad 3)</t>
  </si>
  <si>
    <t xml:space="preserve">1761102125305100</t>
  </si>
  <si>
    <t xml:space="preserve">120252692803520341</t>
  </si>
  <si>
    <t xml:space="preserve">7657251092333481247.final</t>
  </si>
  <si>
    <t xml:space="preserve">35. New 15 UGC 7-9 | 24Jul</t>
  </si>
  <si>
    <t xml:space="preserve">1358065009790600</t>
  </si>
  <si>
    <t xml:space="preserve">120249481157520341</t>
  </si>
  <si>
    <t xml:space="preserve">122. June 2 USA 10-12</t>
  </si>
  <si>
    <t xml:space="preserve">2028614391078091</t>
  </si>
  <si>
    <t xml:space="preserve">120252122706120341</t>
  </si>
  <si>
    <t xml:space="preserve">36. (118. May 30 USA 19-21 - Video Ad 1)</t>
  </si>
  <si>
    <t xml:space="preserve">1018866310758689</t>
  </si>
  <si>
    <t xml:space="preserve">120252853150090341</t>
  </si>
  <si>
    <t xml:space="preserve">7646916271505706254.final</t>
  </si>
  <si>
    <t xml:space="preserve">1180210477656876</t>
  </si>
  <si>
    <t xml:space="preserve">120252759237590341</t>
  </si>
  <si>
    <t xml:space="preserve">940711072372391_brand</t>
  </si>
  <si>
    <t xml:space="preserve">2112354519344166</t>
  </si>
  <si>
    <t xml:space="preserve">120252672767540341</t>
  </si>
  <si>
    <t xml:space="preserve">7(1)</t>
  </si>
  <si>
    <t xml:space="preserve">147. July 23 USA 19-21</t>
  </si>
  <si>
    <t xml:space="preserve">1028753646437897</t>
  </si>
  <si>
    <t xml:space="preserve">120253235156670341</t>
  </si>
  <si>
    <t xml:space="preserve">ChatGPT Image Aug 7, 2026, 11_50_13 PM</t>
  </si>
  <si>
    <t xml:space="preserve">4350377888512945</t>
  </si>
  <si>
    <t xml:space="preserve">120251998614510341</t>
  </si>
  <si>
    <t xml:space="preserve">09. 223882 plays - 3.74% eng</t>
  </si>
  <si>
    <t xml:space="preserve">878497064844491</t>
  </si>
  <si>
    <t xml:space="preserve">120252384072670341</t>
  </si>
  <si>
    <t xml:space="preserve">5. Lines Red - 15 (C) - Copy</t>
  </si>
  <si>
    <t xml:space="preserve">42. (8. Testing - 10. Lines Red 5Jul - 5. Lines Red - 15 (C))</t>
  </si>
  <si>
    <t xml:space="preserve">999344453088073</t>
  </si>
  <si>
    <t xml:space="preserve">120251593681970341</t>
  </si>
  <si>
    <t xml:space="preserve">25.(77. March 24 USA - 13-15 )</t>
  </si>
  <si>
    <t xml:space="preserve">1883100792647063</t>
  </si>
  <si>
    <t xml:space="preserve">120251028021030341</t>
  </si>
  <si>
    <t xml:space="preserve">- Image - Ad - 3</t>
  </si>
  <si>
    <t xml:space="preserve">29. June 19 USA 1-3</t>
  </si>
  <si>
    <t xml:space="preserve">2026-06-19</t>
  </si>
  <si>
    <t xml:space="preserve">1365350725442493</t>
  </si>
  <si>
    <t xml:space="preserve">120248829168930341</t>
  </si>
  <si>
    <t xml:space="preserve">108. May 27 USA 10-12</t>
  </si>
  <si>
    <t xml:space="preserve">1486986765693106</t>
  </si>
  <si>
    <t xml:space="preserve">120249493548740341</t>
  </si>
  <si>
    <t xml:space="preserve">13. June 3 USA 16-18</t>
  </si>
  <si>
    <t xml:space="preserve">1705584650462364</t>
  </si>
  <si>
    <t xml:space="preserve">120253235155450341</t>
  </si>
  <si>
    <t xml:space="preserve">42</t>
  </si>
  <si>
    <t xml:space="preserve">28382262918033080</t>
  </si>
  <si>
    <t xml:space="preserve">120249838170210341</t>
  </si>
  <si>
    <t xml:space="preserve">3486851298149933</t>
  </si>
  <si>
    <t xml:space="preserve">120242733176390341</t>
  </si>
  <si>
    <t xml:space="preserve">1. Feb 6 USA 4-6</t>
  </si>
  <si>
    <t xml:space="preserve">900069222886664</t>
  </si>
  <si>
    <t xml:space="preserve">120252759237120341</t>
  </si>
  <si>
    <t xml:space="preserve">939997592409446_brand</t>
  </si>
  <si>
    <t xml:space="preserve">1511470310229462</t>
  </si>
  <si>
    <t xml:space="preserve">120251994340840341</t>
  </si>
  <si>
    <t xml:space="preserve">32. 3957 plays - 2.7% eng</t>
  </si>
  <si>
    <t xml:space="preserve">1018029557284747</t>
  </si>
  <si>
    <t xml:space="preserve">120252096711490341</t>
  </si>
  <si>
    <t xml:space="preserve">41. 5988 plays - 2.3% eng - Copy</t>
  </si>
  <si>
    <t xml:space="preserve">35. (8. Testing - 2. IG Reels A 30Jun - 41. 5988 plays)</t>
  </si>
  <si>
    <t xml:space="preserve">2026-07-04</t>
  </si>
  <si>
    <t xml:space="preserve">1264726923382883</t>
  </si>
  <si>
    <t xml:space="preserve">120253886723080341</t>
  </si>
  <si>
    <t xml:space="preserve">1. 20260910_FallEndSale_V1</t>
  </si>
  <si>
    <t xml:space="preserve">1388115173387163</t>
  </si>
  <si>
    <t xml:space="preserve">120252692803240341</t>
  </si>
  <si>
    <t xml:space="preserve">7657231413804125454.final</t>
  </si>
  <si>
    <t xml:space="preserve">1227440376135018</t>
  </si>
  <si>
    <t xml:space="preserve">120248744231230341</t>
  </si>
  <si>
    <t xml:space="preserve">27400225216239702</t>
  </si>
  <si>
    <t xml:space="preserve">120251694060930341</t>
  </si>
  <si>
    <t xml:space="preserve">13. (Feb 3 USA 19-21 - Video Ad -2)</t>
  </si>
  <si>
    <t xml:space="preserve">1553256346164124</t>
  </si>
  <si>
    <t xml:space="preserve">120248744232870341</t>
  </si>
  <si>
    <t xml:space="preserve">1312043224451638</t>
  </si>
  <si>
    <t xml:space="preserve">120249838164330341</t>
  </si>
  <si>
    <t xml:space="preserve">2189116271875835</t>
  </si>
  <si>
    <t xml:space="preserve">120252620502680341</t>
  </si>
  <si>
    <t xml:space="preserve">7(4)</t>
  </si>
  <si>
    <t xml:space="preserve">1334108135065384</t>
  </si>
  <si>
    <t xml:space="preserve">120254363341230341</t>
  </si>
  <si>
    <t xml:space="preserve">9. 20260923_Static_V_</t>
  </si>
  <si>
    <t xml:space="preserve">1813671893096269</t>
  </si>
  <si>
    <t xml:space="preserve">120252620384150341</t>
  </si>
  <si>
    <t xml:space="preserve">27287673834168708_brand</t>
  </si>
  <si>
    <t xml:space="preserve">28. Static Recreations D | 21Jul</t>
  </si>
  <si>
    <t xml:space="preserve">983653667833042</t>
  </si>
  <si>
    <t xml:space="preserve">120250187524750341</t>
  </si>
  <si>
    <t xml:space="preserve">1708797530266335</t>
  </si>
  <si>
    <t xml:space="preserve">120253373065030341</t>
  </si>
  <si>
    <t xml:space="preserve">2</t>
  </si>
  <si>
    <t xml:space="preserve">1405347778176565</t>
  </si>
  <si>
    <t xml:space="preserve">120248163156090341</t>
  </si>
  <si>
    <t xml:space="preserve">1309327183951103</t>
  </si>
  <si>
    <t xml:space="preserve">120246424579290341</t>
  </si>
  <si>
    <t xml:space="preserve">84. April 1 USA 1-3</t>
  </si>
  <si>
    <t xml:space="preserve">970280875512791</t>
  </si>
  <si>
    <t xml:space="preserve">120245954054610341</t>
  </si>
  <si>
    <t xml:space="preserve">79. March 28 USA 7-9</t>
  </si>
  <si>
    <t xml:space="preserve">2091790801396489</t>
  </si>
  <si>
    <t xml:space="preserve">120254095848150341</t>
  </si>
  <si>
    <t xml:space="preserve">021_7648467132115701006</t>
  </si>
  <si>
    <t xml:space="preserve">8. Sep 23 USA 19-21</t>
  </si>
  <si>
    <t xml:space="preserve">967374692313530</t>
  </si>
  <si>
    <t xml:space="preserve">120248935225120341</t>
  </si>
  <si>
    <t xml:space="preserve">7. May 28 USA 19-21</t>
  </si>
  <si>
    <t xml:space="preserve">1003437049307117</t>
  </si>
  <si>
    <t xml:space="preserve">120249493525660341</t>
  </si>
  <si>
    <t xml:space="preserve">1542870284233251</t>
  </si>
  <si>
    <t xml:space="preserve">120249839039140341</t>
  </si>
  <si>
    <t xml:space="preserve">21. June 7 USA 19-21</t>
  </si>
  <si>
    <t xml:space="preserve">957496710440651</t>
  </si>
  <si>
    <t xml:space="preserve">120251592550210341</t>
  </si>
  <si>
    <t xml:space="preserve">21.(Dec 29 USA BOF 4-6 )</t>
  </si>
  <si>
    <t xml:space="preserve">2010841632882685</t>
  </si>
  <si>
    <t xml:space="preserve">120252692802610341</t>
  </si>
  <si>
    <t xml:space="preserve">7656600562925833502.final</t>
  </si>
  <si>
    <t xml:space="preserve">34. New 15 UGC 4-6 | 24Jul</t>
  </si>
  <si>
    <t xml:space="preserve">1562568808614873</t>
  </si>
  <si>
    <t xml:space="preserve">120253926673740341</t>
  </si>
  <si>
    <t xml:space="preserve">11B. 20260911_AntiAgingBanned_V1</t>
  </si>
  <si>
    <t xml:space="preserve">1386171816827679</t>
  </si>
  <si>
    <t xml:space="preserve">120250187523690341</t>
  </si>
  <si>
    <t xml:space="preserve">136. June 10 USA 10-12</t>
  </si>
  <si>
    <t xml:space="preserve">1736716701078864</t>
  </si>
  <si>
    <t xml:space="preserve">120248744347110341</t>
  </si>
  <si>
    <t xml:space="preserve">103. May 26 USA 16-18</t>
  </si>
  <si>
    <t xml:space="preserve">1430423865517680</t>
  </si>
  <si>
    <t xml:space="preserve">120251586320080341</t>
  </si>
  <si>
    <t xml:space="preserve">12.( 13. Feb 17 USA - 4-6 )</t>
  </si>
  <si>
    <t xml:space="preserve">1386266366892537</t>
  </si>
  <si>
    <t xml:space="preserve">120245650660670341</t>
  </si>
  <si>
    <t xml:space="preserve">- Video - Ad -16</t>
  </si>
  <si>
    <t xml:space="preserve">78. March 24 USA - 16-18</t>
  </si>
  <si>
    <t xml:space="preserve">2460401087742703</t>
  </si>
  <si>
    <t xml:space="preserve">120244630523510341</t>
  </si>
  <si>
    <t xml:space="preserve">16. March 20 (21. Jan 29 USA Human 1-3)</t>
  </si>
  <si>
    <t xml:space="preserve">2026-03-20</t>
  </si>
  <si>
    <t xml:space="preserve">3497577893724043</t>
  </si>
  <si>
    <t xml:space="preserve">120248935181060341</t>
  </si>
  <si>
    <t xml:space="preserve">3. May 28 USA 7-9</t>
  </si>
  <si>
    <t xml:space="preserve">1000697832470416</t>
  </si>
  <si>
    <t xml:space="preserve">120252692800620341</t>
  </si>
  <si>
    <t xml:space="preserve">63. 7404 plays - 0.9% eng</t>
  </si>
  <si>
    <t xml:space="preserve">32. IG Reels K | 24Jul</t>
  </si>
  <si>
    <t xml:space="preserve">1719044092466673</t>
  </si>
  <si>
    <t xml:space="preserve">120241973035250341</t>
  </si>
  <si>
    <t xml:space="preserve">2. Jan 17 (Nov 28 USA BOF 7-9)</t>
  </si>
  <si>
    <t xml:space="preserve">1420600472767529</t>
  </si>
  <si>
    <t xml:space="preserve">120252444899890341</t>
  </si>
  <si>
    <t xml:space="preserve">08. 173520 plays - 3.87% eng</t>
  </si>
  <si>
    <t xml:space="preserve">1007295122281073</t>
  </si>
  <si>
    <t xml:space="preserve">120248935199510341</t>
  </si>
  <si>
    <t xml:space="preserve">4. May 28 USA 10-12</t>
  </si>
  <si>
    <t xml:space="preserve">2050211522234847</t>
  </si>
  <si>
    <t xml:space="preserve">120243390597490341</t>
  </si>
  <si>
    <t xml:space="preserve">1835354384089778</t>
  </si>
  <si>
    <t xml:space="preserve">120250187515420341</t>
  </si>
  <si>
    <t xml:space="preserve">138. June 10 USA 16-18</t>
  </si>
  <si>
    <t xml:space="preserve">27769456189345645</t>
  </si>
  <si>
    <t xml:space="preserve">120248303678640341</t>
  </si>
  <si>
    <t xml:space="preserve">86. May 21 USA - 1-3</t>
  </si>
  <si>
    <t xml:space="preserve">4513920308852955</t>
  </si>
  <si>
    <t xml:space="preserve">120251576652770341</t>
  </si>
  <si>
    <t xml:space="preserve">3. (9. Feb 6 USA - 1-3 –</t>
  </si>
  <si>
    <t xml:space="preserve">2827405834306056</t>
  </si>
  <si>
    <t xml:space="preserve">120243678381810341</t>
  </si>
  <si>
    <t xml:space="preserve">34. Feb 28 USA 19-21</t>
  </si>
  <si>
    <t xml:space="preserve">1635472617458607</t>
  </si>
  <si>
    <t xml:space="preserve">120248163167070341</t>
  </si>
  <si>
    <t xml:space="preserve">959901746806283</t>
  </si>
  <si>
    <t xml:space="preserve">120254449960640341</t>
  </si>
  <si>
    <t xml:space="preserve">10. 20260921_JustSaid_V1</t>
  </si>
  <si>
    <t xml:space="preserve">80__Broad_USA_Creative_testing - 14-10-26</t>
  </si>
  <si>
    <t xml:space="preserve">2026-10-13</t>
  </si>
  <si>
    <t xml:space="preserve">2321595402086636</t>
  </si>
  <si>
    <t xml:space="preserve">120249083620690341</t>
  </si>
  <si>
    <t xml:space="preserve">114. May 30 USA 7-9</t>
  </si>
  <si>
    <t xml:space="preserve">1639158050628530</t>
  </si>
  <si>
    <t xml:space="preserve">120243672561550341</t>
  </si>
  <si>
    <t xml:space="preserve">904719989136503</t>
  </si>
  <si>
    <t xml:space="preserve">120245907056780341</t>
  </si>
  <si>
    <t xml:space="preserve">- Video - Ad - 16</t>
  </si>
  <si>
    <t xml:space="preserve">82. March 28 USA 16-18</t>
  </si>
  <si>
    <t xml:space="preserve">963269502918118</t>
  </si>
  <si>
    <t xml:space="preserve">120253458732890341</t>
  </si>
  <si>
    <t xml:space="preserve">3(1)</t>
  </si>
  <si>
    <t xml:space="preserve">994309216987533</t>
  </si>
  <si>
    <t xml:space="preserve">120253373072350341</t>
  </si>
  <si>
    <t xml:space="preserve">1452007923431775</t>
  </si>
  <si>
    <t xml:space="preserve">120245954799400341</t>
  </si>
  <si>
    <t xml:space="preserve">81. March 28 USA 13-15</t>
  </si>
  <si>
    <t xml:space="preserve">1241926297923244</t>
  </si>
  <si>
    <t xml:space="preserve">120253886723120341</t>
  </si>
  <si>
    <t xml:space="preserve">8. 20260909_NADPeopleDidnotTellYou_V1</t>
  </si>
  <si>
    <t xml:space="preserve">1060043200123960</t>
  </si>
  <si>
    <t xml:space="preserve">120248303672510341</t>
  </si>
  <si>
    <t xml:space="preserve">2070883033459745</t>
  </si>
  <si>
    <t xml:space="preserve">120246424579410341</t>
  </si>
  <si>
    <t xml:space="preserve">- Video - Ad -13</t>
  </si>
  <si>
    <t xml:space="preserve">1460376485831478</t>
  </si>
  <si>
    <t xml:space="preserve">120244223761210341</t>
  </si>
  <si>
    <t xml:space="preserve">54. Mar 12 USA - 13-15</t>
  </si>
  <si>
    <t xml:space="preserve">2227060968126568</t>
  </si>
  <si>
    <t xml:space="preserve">120254006863500341</t>
  </si>
  <si>
    <t xml:space="preserve">137. 20260918_Static_V1 (5)</t>
  </si>
  <si>
    <t xml:space="preserve">1054587177420407</t>
  </si>
  <si>
    <t xml:space="preserve">120254076637490341</t>
  </si>
  <si>
    <t xml:space="preserve">1__Hook__*__*</t>
  </si>
  <si>
    <t xml:space="preserve">1__Sales</t>
  </si>
  <si>
    <t xml:space="preserve">1613973140345090</t>
  </si>
  <si>
    <t xml:space="preserve">120253929165080341</t>
  </si>
  <si>
    <t xml:space="preserve">29B. 20260911_Save for life_V1</t>
  </si>
  <si>
    <t xml:space="preserve">1422718203134002</t>
  </si>
  <si>
    <t xml:space="preserve">120249838154920341</t>
  </si>
  <si>
    <t xml:space="preserve">1721393622193743</t>
  </si>
  <si>
    <t xml:space="preserve">120248744227560341</t>
  </si>
  <si>
    <t xml:space="preserve">100. May 26 USA 7-9</t>
  </si>
  <si>
    <t xml:space="preserve">3175954105938412</t>
  </si>
  <si>
    <t xml:space="preserve">120252692802940341</t>
  </si>
  <si>
    <t xml:space="preserve">7657078629020486925.final</t>
  </si>
  <si>
    <t xml:space="preserve">1036590985423318</t>
  </si>
  <si>
    <t xml:space="preserve">120242854938580341</t>
  </si>
  <si>
    <t xml:space="preserve">7. Feb 9 USA - 10-12</t>
  </si>
  <si>
    <t xml:space="preserve">1225255159575162</t>
  </si>
  <si>
    <t xml:space="preserve">120254004925820341</t>
  </si>
  <si>
    <t xml:space="preserve">95. 20260915_NADvsNMN_V2</t>
  </si>
  <si>
    <t xml:space="preserve">4047730728695711</t>
  </si>
  <si>
    <t xml:space="preserve">120254054856940341</t>
  </si>
  <si>
    <t xml:space="preserve">2026-09-21</t>
  </si>
  <si>
    <t xml:space="preserve">1072634565473720</t>
  </si>
  <si>
    <t xml:space="preserve">120252759523350341</t>
  </si>
  <si>
    <t xml:space="preserve">2553803485135510</t>
  </si>
  <si>
    <t xml:space="preserve">120252853144950341</t>
  </si>
  <si>
    <t xml:space="preserve">7644644566150221069.final</t>
  </si>
  <si>
    <t xml:space="preserve">1570781754460343</t>
  </si>
  <si>
    <t xml:space="preserve">120246419964450341</t>
  </si>
  <si>
    <t xml:space="preserve">New Traffic Ad with recommended settings - Copy 2</t>
  </si>
  <si>
    <t xml:space="preserve">New Traffic Campaign with recommended settings</t>
  </si>
  <si>
    <t xml:space="preserve">New Traffic Ad set with recommended settings</t>
  </si>
  <si>
    <t xml:space="preserve">1618932599210921</t>
  </si>
  <si>
    <t xml:space="preserve">120250187510670341</t>
  </si>
  <si>
    <t xml:space="preserve">27124850637142668</t>
  </si>
  <si>
    <t xml:space="preserve">120253373075980341</t>
  </si>
  <si>
    <t xml:space="preserve">Age Cathing up EXPERIENCE THE ULTIMATE 10-IN-1 NMN FORMULA (4)</t>
  </si>
  <si>
    <t xml:space="preserve">1389013306759090</t>
  </si>
  <si>
    <t xml:space="preserve">120252759238350341</t>
  </si>
  <si>
    <t xml:space="preserve">986562223880149_brand</t>
  </si>
  <si>
    <t xml:space="preserve">46. Static Recreations J | 27Jul</t>
  </si>
  <si>
    <t xml:space="preserve">1570825371073375</t>
  </si>
  <si>
    <t xml:space="preserve">120249481191300341</t>
  </si>
  <si>
    <t xml:space="preserve">123. June 2 USA 13-15</t>
  </si>
  <si>
    <t xml:space="preserve">3651041351720735</t>
  </si>
  <si>
    <t xml:space="preserve">120241945993530341</t>
  </si>
  <si>
    <t xml:space="preserve">Jan 17 USA Awareness - 1-3</t>
  </si>
  <si>
    <t xml:space="preserve">2026-01-16</t>
  </si>
  <si>
    <t xml:space="preserve">1430764332086389</t>
  </si>
  <si>
    <t xml:space="preserve">120252692802280341</t>
  </si>
  <si>
    <t xml:space="preserve">7655206271162846495.final</t>
  </si>
  <si>
    <t xml:space="preserve">1473293244609947</t>
  </si>
  <si>
    <t xml:space="preserve">120252692806120341</t>
  </si>
  <si>
    <t xml:space="preserve">4. Woman &amp; Pill - 7</t>
  </si>
  <si>
    <t xml:space="preserve">38. Woman &amp; Pill | 24Jul</t>
  </si>
  <si>
    <t xml:space="preserve">1669134090811094</t>
  </si>
  <si>
    <t xml:space="preserve">120249493498250341</t>
  </si>
  <si>
    <t xml:space="preserve">8. June 3 USA 1-3</t>
  </si>
  <si>
    <t xml:space="preserve">1314319303534228</t>
  </si>
  <si>
    <t xml:space="preserve">120252759525150341</t>
  </si>
  <si>
    <t xml:space="preserve">4</t>
  </si>
  <si>
    <t xml:space="preserve">1333096539034299</t>
  </si>
  <si>
    <t xml:space="preserve">120252759524500341</t>
  </si>
  <si>
    <t xml:space="preserve">3</t>
  </si>
  <si>
    <t xml:space="preserve">1999478390695945</t>
  </si>
  <si>
    <t xml:space="preserve">120252620506760341</t>
  </si>
  <si>
    <t xml:space="preserve">Sale Ends Today (9)</t>
  </si>
  <si>
    <t xml:space="preserve">2443241046188886</t>
  </si>
  <si>
    <t xml:space="preserve">120252128230740341</t>
  </si>
  <si>
    <t xml:space="preserve">7. UGC - 16 (A)</t>
  </si>
  <si>
    <t xml:space="preserve">11. UGC | 5Jul</t>
  </si>
  <si>
    <t xml:space="preserve">3753348468151563</t>
  </si>
  <si>
    <t xml:space="preserve">120246424579190341</t>
  </si>
  <si>
    <t xml:space="preserve">- Video - Ad - 12</t>
  </si>
  <si>
    <t xml:space="preserve">87. April 1 USA 10-12</t>
  </si>
  <si>
    <t xml:space="preserve">992775330078178</t>
  </si>
  <si>
    <t xml:space="preserve">120250188043200341</t>
  </si>
  <si>
    <t xml:space="preserve">28. June 10 USA 19-21</t>
  </si>
  <si>
    <t xml:space="preserve">1546962140358169</t>
  </si>
  <si>
    <t xml:space="preserve">120252853155330341</t>
  </si>
  <si>
    <t xml:space="preserve">7646996775143853326.final</t>
  </si>
  <si>
    <t xml:space="preserve">906517695312210</t>
  </si>
  <si>
    <t xml:space="preserve">120252444902500341</t>
  </si>
  <si>
    <t xml:space="preserve">20. 5939 plays - 3.23% eng</t>
  </si>
  <si>
    <t xml:space="preserve">30. Jul 14 USA - 10-12</t>
  </si>
  <si>
    <t xml:space="preserve">1005848419086730</t>
  </si>
  <si>
    <t xml:space="preserve">120245907056810341</t>
  </si>
  <si>
    <t xml:space="preserve">- Video - Ad - 17</t>
  </si>
  <si>
    <t xml:space="preserve">926223310242274</t>
  </si>
  <si>
    <t xml:space="preserve">120242733176320341</t>
  </si>
  <si>
    <t xml:space="preserve">753931870697081</t>
  </si>
  <si>
    <t xml:space="preserve">120248744345800341</t>
  </si>
  <si>
    <t xml:space="preserve">1001515288913544</t>
  </si>
  <si>
    <t xml:space="preserve">120248163161790341</t>
  </si>
  <si>
    <t xml:space="preserve">1373931781242376</t>
  </si>
  <si>
    <t xml:space="preserve">120249838105800341</t>
  </si>
  <si>
    <t xml:space="preserve">1580761223428825</t>
  </si>
  <si>
    <t xml:space="preserve">120246424579170341</t>
  </si>
  <si>
    <t xml:space="preserve">90. April 1 USA 19-21</t>
  </si>
  <si>
    <t xml:space="preserve">1683699965980313</t>
  </si>
  <si>
    <t xml:space="preserve">120252759528830341</t>
  </si>
  <si>
    <t xml:space="preserve">10</t>
  </si>
  <si>
    <t xml:space="preserve">42. New 10 UGC 10 | 27Jul</t>
  </si>
  <si>
    <t xml:space="preserve">1837984843844963</t>
  </si>
  <si>
    <t xml:space="preserve">120252126808460341</t>
  </si>
  <si>
    <t xml:space="preserve">4. Woman Progress - 11 (B)</t>
  </si>
  <si>
    <t xml:space="preserve">3961231394010892</t>
  </si>
  <si>
    <t xml:space="preserve">120245593982950341</t>
  </si>
  <si>
    <t xml:space="preserve">71. March 24 USA 4-6</t>
  </si>
  <si>
    <t xml:space="preserve">1703063361068930</t>
  </si>
  <si>
    <t xml:space="preserve">120253458733040341</t>
  </si>
  <si>
    <t xml:space="preserve">919865577280036</t>
  </si>
  <si>
    <t xml:space="preserve">120245643475550341</t>
  </si>
  <si>
    <t xml:space="preserve">- Video - Ad - 5</t>
  </si>
  <si>
    <t xml:space="preserve">74. March 24 USA - 4-6</t>
  </si>
  <si>
    <t xml:space="preserve">1466595925251770</t>
  </si>
  <si>
    <t xml:space="preserve">120252620376390341</t>
  </si>
  <si>
    <t xml:space="preserve">862787513180054_brand</t>
  </si>
  <si>
    <t xml:space="preserve">27. Static Recreations C | 21Jul</t>
  </si>
  <si>
    <t xml:space="preserve">4422677074639440</t>
  </si>
  <si>
    <t xml:space="preserve">120248744330480341</t>
  </si>
  <si>
    <t xml:space="preserve">987187927264657</t>
  </si>
  <si>
    <t xml:space="preserve">120253888153260341</t>
  </si>
  <si>
    <t xml:space="preserve">16. 20260910_NotPlasticSurgery_V1</t>
  </si>
  <si>
    <t xml:space="preserve">1392292622386292</t>
  </si>
  <si>
    <t xml:space="preserve">120245594344350341</t>
  </si>
  <si>
    <t xml:space="preserve">76. March 24 USA 19-21</t>
  </si>
  <si>
    <t xml:space="preserve">4393656754246604</t>
  </si>
  <si>
    <t xml:space="preserve">120245907056680341</t>
  </si>
  <si>
    <t xml:space="preserve">1304015554984361</t>
  </si>
  <si>
    <t xml:space="preserve">120245863593340341</t>
  </si>
  <si>
    <t xml:space="preserve">81. March 28 USA - 4-6</t>
  </si>
  <si>
    <t xml:space="preserve">2739087263127523</t>
  </si>
  <si>
    <t xml:space="preserve">120252444841110341</t>
  </si>
  <si>
    <t xml:space="preserve">10. Kumar Edit - 3</t>
  </si>
  <si>
    <t xml:space="preserve">15. Kumar Edit | 14Jul</t>
  </si>
  <si>
    <t xml:space="preserve">1818279882483610</t>
  </si>
  <si>
    <t xml:space="preserve">120254095841210341</t>
  </si>
  <si>
    <t xml:space="preserve">012_7649879091587386655</t>
  </si>
  <si>
    <t xml:space="preserve">5. Sep 23 USA 10-12</t>
  </si>
  <si>
    <t xml:space="preserve">1850245805966850</t>
  </si>
  <si>
    <t xml:space="preserve">120252444823020341</t>
  </si>
  <si>
    <t xml:space="preserve">54. 3649 plays - 1.64% eng</t>
  </si>
  <si>
    <t xml:space="preserve">1806429300338819</t>
  </si>
  <si>
    <t xml:space="preserve">120243687807200341</t>
  </si>
  <si>
    <t xml:space="preserve">38. Mar 3 USA - 1-3</t>
  </si>
  <si>
    <t xml:space="preserve">3813123375650471</t>
  </si>
  <si>
    <t xml:space="preserve">120252759237990341</t>
  </si>
  <si>
    <t xml:space="preserve">971318019268441_brand</t>
  </si>
  <si>
    <t xml:space="preserve">1656861268710877</t>
  </si>
  <si>
    <t xml:space="preserve">120252620481790341</t>
  </si>
  <si>
    <t xml:space="preserve">2(5)</t>
  </si>
  <si>
    <t xml:space="preserve">22. New 9 UGC 1-3 | 21Jul</t>
  </si>
  <si>
    <t xml:space="preserve">4427707144153925</t>
  </si>
  <si>
    <t xml:space="preserve">120250188040780341</t>
  </si>
  <si>
    <t xml:space="preserve">26. June 10 USA 13-15</t>
  </si>
  <si>
    <t xml:space="preserve">991772753572449</t>
  </si>
  <si>
    <t xml:space="preserve">120253373059200341</t>
  </si>
  <si>
    <t xml:space="preserve">13</t>
  </si>
  <si>
    <t xml:space="preserve">1352648163744257</t>
  </si>
  <si>
    <t xml:space="preserve">120254006863520341</t>
  </si>
  <si>
    <t xml:space="preserve">139. 20260918_Static_V1 (7)</t>
  </si>
  <si>
    <t xml:space="preserve">1073044688911782</t>
  </si>
  <si>
    <t xml:space="preserve">120254383442580341</t>
  </si>
  <si>
    <t xml:space="preserve">12. 20260925_MostFakedNMN_V1</t>
  </si>
  <si>
    <t xml:space="preserve">78__Broad_USA_Creative_testing – Copy 6</t>
  </si>
  <si>
    <t xml:space="preserve">2026-10-09</t>
  </si>
  <si>
    <t xml:space="preserve">1766146144595395</t>
  </si>
  <si>
    <t xml:space="preserve">120250187505440341</t>
  </si>
  <si>
    <t xml:space="preserve">2411019829394135</t>
  </si>
  <si>
    <t xml:space="preserve">120250188041640341</t>
  </si>
  <si>
    <t xml:space="preserve">27. June 10 USA 16-18</t>
  </si>
  <si>
    <t xml:space="preserve">1427813065994166</t>
  </si>
  <si>
    <t xml:space="preserve">120243088393460341</t>
  </si>
  <si>
    <t xml:space="preserve">15. Feb 17 USA - 10-12</t>
  </si>
  <si>
    <t xml:space="preserve">2026-02-16</t>
  </si>
  <si>
    <t xml:space="preserve">1595279558407968</t>
  </si>
  <si>
    <t xml:space="preserve">120248163142300341</t>
  </si>
  <si>
    <t xml:space="preserve">4514674145455380</t>
  </si>
  <si>
    <t xml:space="preserve">120253155074670341</t>
  </si>
  <si>
    <t xml:space="preserve">8. Long form</t>
  </si>
  <si>
    <t xml:space="preserve">1099515676073187</t>
  </si>
  <si>
    <t xml:space="preserve">120251028165590341</t>
  </si>
  <si>
    <t xml:space="preserve">33. June 19 USA 13-15</t>
  </si>
  <si>
    <t xml:space="preserve">933052949742804</t>
  </si>
  <si>
    <t xml:space="preserve">120253940562070341</t>
  </si>
  <si>
    <t xml:space="preserve">18. 20260914__V1 (6)</t>
  </si>
  <si>
    <t xml:space="preserve">1798644201318402</t>
  </si>
  <si>
    <t xml:space="preserve">120252128233250341</t>
  </si>
  <si>
    <t xml:space="preserve">7. UGC - 17 (B)</t>
  </si>
  <si>
    <t xml:space="preserve">2414299049065275</t>
  </si>
  <si>
    <t xml:space="preserve">120244732474360341</t>
  </si>
  <si>
    <t xml:space="preserve">63. March 20 USA 1-3</t>
  </si>
  <si>
    <t xml:space="preserve">2026-03-23</t>
  </si>
  <si>
    <t xml:space="preserve">949376997551909</t>
  </si>
  <si>
    <t xml:space="preserve">120251028016400341</t>
  </si>
  <si>
    <t xml:space="preserve">- Image - Ad - 2</t>
  </si>
  <si>
    <t xml:space="preserve">1040817328383592</t>
  </si>
  <si>
    <t xml:space="preserve">120254362457980341</t>
  </si>
  <si>
    <t xml:space="preserve">6. 20260923_PriceDropped_V1 (2)</t>
  </si>
  <si>
    <t xml:space="preserve">69__Broad_USA_Creative_testing – Copy</t>
  </si>
  <si>
    <t xml:space="preserve">1571200654234149</t>
  </si>
  <si>
    <t xml:space="preserve">120252128308650341</t>
  </si>
  <si>
    <t xml:space="preserve">33. 7798 plays - 2.46% eng</t>
  </si>
  <si>
    <t xml:space="preserve">984141571294451</t>
  </si>
  <si>
    <t xml:space="preserve">120253235154410341</t>
  </si>
  <si>
    <t xml:space="preserve">41</t>
  </si>
  <si>
    <t xml:space="preserve">1744874496832004</t>
  </si>
  <si>
    <t xml:space="preserve">120253458733060341</t>
  </si>
  <si>
    <t xml:space="preserve">2(1)</t>
  </si>
  <si>
    <t xml:space="preserve">1688348592226581</t>
  </si>
  <si>
    <t xml:space="preserve">120252620412570341</t>
  </si>
  <si>
    <t xml:space="preserve">827131563432928_brand</t>
  </si>
  <si>
    <t xml:space="preserve">1585386656455452</t>
  </si>
  <si>
    <t xml:space="preserve">120243088393370341</t>
  </si>
  <si>
    <t xml:space="preserve">17. Feb 17 USA - 16-18</t>
  </si>
  <si>
    <t xml:space="preserve">1302128828408622</t>
  </si>
  <si>
    <t xml:space="preserve">120253155064370341</t>
  </si>
  <si>
    <t xml:space="preserve">2(3)</t>
  </si>
  <si>
    <t xml:space="preserve">2422753788133874</t>
  </si>
  <si>
    <t xml:space="preserve">120250187513700341</t>
  </si>
  <si>
    <t xml:space="preserve">1014960277586475</t>
  </si>
  <si>
    <t xml:space="preserve">120254005369680341</t>
  </si>
  <si>
    <t xml:space="preserve">115. 20260917_PlasticSurgery_V1</t>
  </si>
  <si>
    <t xml:space="preserve">1559391478826664</t>
  </si>
  <si>
    <t xml:space="preserve">120245650660690341</t>
  </si>
  <si>
    <t xml:space="preserve">1469968101176373</t>
  </si>
  <si>
    <t xml:space="preserve">120243390597540341</t>
  </si>
  <si>
    <t xml:space="preserve">1242754553963445</t>
  </si>
  <si>
    <t xml:space="preserve">120252128303150341</t>
  </si>
  <si>
    <t xml:space="preserve">16. 54301 plays - 2.86% eng</t>
  </si>
  <si>
    <t xml:space="preserve">4335300413402617</t>
  </si>
  <si>
    <t xml:space="preserve">120244411919660341</t>
  </si>
  <si>
    <t xml:space="preserve">64. March 16 USA - 16-18</t>
  </si>
  <si>
    <t xml:space="preserve">2113870956045993</t>
  </si>
  <si>
    <t xml:space="preserve">120250187511880341</t>
  </si>
  <si>
    <t xml:space="preserve">1369234891804356</t>
  </si>
  <si>
    <t xml:space="preserve">120243678381760341</t>
  </si>
  <si>
    <t xml:space="preserve">33. Feb 28 USA 16-18</t>
  </si>
  <si>
    <t xml:space="preserve">1419182352692744</t>
  </si>
  <si>
    <t xml:space="preserve">120251913284360341</t>
  </si>
  <si>
    <t xml:space="preserve">5. Pixar Style - 19</t>
  </si>
  <si>
    <t xml:space="preserve">5. Pixar Style Story | 30Jun</t>
  </si>
  <si>
    <t xml:space="preserve">2026-06-30</t>
  </si>
  <si>
    <t xml:space="preserve">1507710724014585</t>
  </si>
  <si>
    <t xml:space="preserve">120243675089880341</t>
  </si>
  <si>
    <t xml:space="preserve">33. Feb 28 USA - 7-9</t>
  </si>
  <si>
    <t xml:space="preserve">2046977559248885</t>
  </si>
  <si>
    <t xml:space="preserve">120248935165620341</t>
  </si>
  <si>
    <t xml:space="preserve">1557822652375349</t>
  </si>
  <si>
    <t xml:space="preserve">120252692803870341</t>
  </si>
  <si>
    <t xml:space="preserve">7657332303588281614.final</t>
  </si>
  <si>
    <t xml:space="preserve">848358365023798</t>
  </si>
  <si>
    <t xml:space="preserve">120248303683300341</t>
  </si>
  <si>
    <t xml:space="preserve">1720028735854471</t>
  </si>
  <si>
    <t xml:space="preserve">120252672750840341</t>
  </si>
  <si>
    <t xml:space="preserve">1372305608056585_brand</t>
  </si>
  <si>
    <t xml:space="preserve">143. July 23 USA 7-9</t>
  </si>
  <si>
    <t xml:space="preserve">1016379294435412</t>
  </si>
  <si>
    <t xml:space="preserve">120249083820470341</t>
  </si>
  <si>
    <t xml:space="preserve">1262132949052655</t>
  </si>
  <si>
    <t xml:space="preserve">120243996504820341</t>
  </si>
  <si>
    <t xml:space="preserve">14. March 6 (13. Feb 17 USA - 4-6)</t>
  </si>
  <si>
    <t xml:space="preserve">2026-03-06</t>
  </si>
  <si>
    <t xml:space="preserve">1206810977949370</t>
  </si>
  <si>
    <t xml:space="preserve">120248829146310341</t>
  </si>
  <si>
    <t xml:space="preserve">1285568970445485</t>
  </si>
  <si>
    <t xml:space="preserve">120252444909640341</t>
  </si>
  <si>
    <t xml:space="preserve">40. 7409 plays - 2.29% eng</t>
  </si>
  <si>
    <t xml:space="preserve">33. Jul 14 USA - 19-21</t>
  </si>
  <si>
    <t xml:space="preserve">1970285926958660</t>
  </si>
  <si>
    <t xml:space="preserve">120252759233020341</t>
  </si>
  <si>
    <t xml:space="preserve">777789181935112_brand</t>
  </si>
  <si>
    <t xml:space="preserve">43. Static Recreations G | 27Jul</t>
  </si>
  <si>
    <t xml:space="preserve">1667626667677532</t>
  </si>
  <si>
    <t xml:space="preserve">120245650660700341</t>
  </si>
  <si>
    <t xml:space="preserve">- Video - Ad -20</t>
  </si>
  <si>
    <t xml:space="preserve">79. March 24 USA - 19-21</t>
  </si>
  <si>
    <t xml:space="preserve">2142900283230217</t>
  </si>
  <si>
    <t xml:space="preserve">120241639407510341</t>
  </si>
  <si>
    <t xml:space="preserve">120249481151300341</t>
  </si>
  <si>
    <t xml:space="preserve">1002967395712945</t>
  </si>
  <si>
    <t xml:space="preserve">120252620354710341</t>
  </si>
  <si>
    <t xml:space="preserve">25643592455246320_brand</t>
  </si>
  <si>
    <t xml:space="preserve">4503532779973174</t>
  </si>
  <si>
    <t xml:space="preserve">120248163143360341</t>
  </si>
  <si>
    <t xml:space="preserve">2328204174371512</t>
  </si>
  <si>
    <t xml:space="preserve">120251590903480341</t>
  </si>
  <si>
    <t xml:space="preserve">19.(4. Jan 23 USA GLP1 - 1-3 )</t>
  </si>
  <si>
    <t xml:space="preserve">1026833336512800</t>
  </si>
  <si>
    <t xml:space="preserve">120252853145780341</t>
  </si>
  <si>
    <t xml:space="preserve">7644684332879187213.final</t>
  </si>
  <si>
    <t xml:space="preserve">1737441184166680</t>
  </si>
  <si>
    <t xml:space="preserve">120253928488720341</t>
  </si>
  <si>
    <t xml:space="preserve">3B. 20260911_AfterResults_V1</t>
  </si>
  <si>
    <t xml:space="preserve">1449433567074241</t>
  </si>
  <si>
    <t xml:space="preserve">120248744320650341</t>
  </si>
  <si>
    <t xml:space="preserve">1655980988994205</t>
  </si>
  <si>
    <t xml:space="preserve">120250188028620341</t>
  </si>
  <si>
    <t xml:space="preserve">25. June 10 USA 10-12</t>
  </si>
  <si>
    <t xml:space="preserve">1504391267514166</t>
  </si>
  <si>
    <t xml:space="preserve">120252444822690341</t>
  </si>
  <si>
    <t xml:space="preserve">39. 4945 plays - 2.43% eng</t>
  </si>
  <si>
    <t xml:space="preserve">3850364225104722</t>
  </si>
  <si>
    <t xml:space="preserve">120253373055380341</t>
  </si>
  <si>
    <t xml:space="preserve">1862649641370742</t>
  </si>
  <si>
    <t xml:space="preserve">120245594344370341</t>
  </si>
  <si>
    <t xml:space="preserve">73. March 24 USA 10-12</t>
  </si>
  <si>
    <t xml:space="preserve">1509642480684424</t>
  </si>
  <si>
    <t xml:space="preserve">120249839024910341</t>
  </si>
  <si>
    <t xml:space="preserve">1718715202596563</t>
  </si>
  <si>
    <t xml:space="preserve">120252853151790341</t>
  </si>
  <si>
    <t xml:space="preserve">7646994545439280415.final</t>
  </si>
  <si>
    <t xml:space="preserve">1051000624131944</t>
  </si>
  <si>
    <t xml:space="preserve">120251028095430341</t>
  </si>
  <si>
    <t xml:space="preserve">31. June 19 USA 7-9</t>
  </si>
  <si>
    <t xml:space="preserve">862770440220927</t>
  </si>
  <si>
    <t xml:space="preserve">120252853146620341</t>
  </si>
  <si>
    <t xml:space="preserve">7644729727319690510.final</t>
  </si>
  <si>
    <t xml:space="preserve">1930292580968115</t>
  </si>
  <si>
    <t xml:space="preserve">120252444819790341</t>
  </si>
  <si>
    <t xml:space="preserve">13. Doctor INFO - 4(2) (1)</t>
  </si>
  <si>
    <t xml:space="preserve">16. Doctor INFO | 14Jul</t>
  </si>
  <si>
    <t xml:space="preserve">1059796343398205</t>
  </si>
  <si>
    <t xml:space="preserve">120248163144420341</t>
  </si>
  <si>
    <t xml:space="preserve">1657876688581795</t>
  </si>
  <si>
    <t xml:space="preserve">120253886723060341</t>
  </si>
  <si>
    <t xml:space="preserve">9. 20260908_NADvsNMN_V1</t>
  </si>
  <si>
    <t xml:space="preserve">1096290566254472</t>
  </si>
  <si>
    <t xml:space="preserve">120251577571700341</t>
  </si>
  <si>
    <t xml:space="preserve">5.(2. Jan 17 (Nov 28 USA BOF 7-9)</t>
  </si>
  <si>
    <t xml:space="preserve">1524868786096467</t>
  </si>
  <si>
    <t xml:space="preserve">120252692806670341</t>
  </si>
  <si>
    <t xml:space="preserve">4. Woman &amp; Pill - 9</t>
  </si>
  <si>
    <t xml:space="preserve">1585243823227537</t>
  </si>
  <si>
    <t xml:space="preserve">120252620403040341</t>
  </si>
  <si>
    <t xml:space="preserve">1768018344205970_brand</t>
  </si>
  <si>
    <t xml:space="preserve">29. Static Recreations E | 21Jul</t>
  </si>
  <si>
    <t xml:space="preserve">2226269538137445</t>
  </si>
  <si>
    <t xml:space="preserve">120242172729200341</t>
  </si>
  <si>
    <t xml:space="preserve">Jan 23 USA Anti Ageing - 1-3</t>
  </si>
  <si>
    <t xml:space="preserve">2026-01-23</t>
  </si>
  <si>
    <t xml:space="preserve">1437441511238824</t>
  </si>
  <si>
    <t xml:space="preserve">120252759232710341</t>
  </si>
  <si>
    <t xml:space="preserve">724672484000828_brand</t>
  </si>
  <si>
    <t xml:space="preserve">918383720597876</t>
  </si>
  <si>
    <t xml:space="preserve">120253848681290341</t>
  </si>
  <si>
    <t xml:space="preserve">11. 20260905_ItsNotPlastic_V1</t>
  </si>
  <si>
    <t xml:space="preserve">1763681581727524</t>
  </si>
  <si>
    <t xml:space="preserve">120242859011410341</t>
  </si>
  <si>
    <t xml:space="preserve">7. Feb 9 USA 13-15</t>
  </si>
  <si>
    <t xml:space="preserve">928683546363969</t>
  </si>
  <si>
    <t xml:space="preserve">120252672760220341</t>
  </si>
  <si>
    <t xml:space="preserve">2140852273403435_brand</t>
  </si>
  <si>
    <t xml:space="preserve">144. July 23 USA 10-12</t>
  </si>
  <si>
    <t xml:space="preserve">2149809492232251</t>
  </si>
  <si>
    <t xml:space="preserve">120252759233660341</t>
  </si>
  <si>
    <t xml:space="preserve">788297644247495_brand</t>
  </si>
  <si>
    <t xml:space="preserve">4443881489184223</t>
  </si>
  <si>
    <t xml:space="preserve">120254022413450341</t>
  </si>
  <si>
    <t xml:space="preserve">152. 20260918_FakeWarning_V1</t>
  </si>
  <si>
    <t xml:space="preserve">1623667495911053</t>
  </si>
  <si>
    <t xml:space="preserve">120254022413520341</t>
  </si>
  <si>
    <t xml:space="preserve">146. 20260918_Exposed_V1</t>
  </si>
  <si>
    <t xml:space="preserve">1418939730185922</t>
  </si>
  <si>
    <t xml:space="preserve">120252853134510341</t>
  </si>
  <si>
    <t xml:space="preserve">47. New 7 UGC 1-3 | 30Jul</t>
  </si>
  <si>
    <t xml:space="preserve">1756345912047182</t>
  </si>
  <si>
    <t xml:space="preserve">120253155088710341</t>
  </si>
  <si>
    <t xml:space="preserve">7</t>
  </si>
  <si>
    <t xml:space="preserve">120252444908850341</t>
  </si>
  <si>
    <t xml:space="preserve">30. 9946 plays - 2.52% eng</t>
  </si>
  <si>
    <t xml:space="preserve">32. Jul 14 USA - 16-18</t>
  </si>
  <si>
    <t xml:space="preserve">2528210704364496</t>
  </si>
  <si>
    <t xml:space="preserve">120252692801010341</t>
  </si>
  <si>
    <t xml:space="preserve">65. 3286 plays - 0.73% eng</t>
  </si>
  <si>
    <t xml:space="preserve">3947958108833872</t>
  </si>
  <si>
    <t xml:space="preserve">120253458734580341</t>
  </si>
  <si>
    <t xml:space="preserve">5.png</t>
  </si>
  <si>
    <t xml:space="preserve">2029870627642781</t>
  </si>
  <si>
    <t xml:space="preserve">120248829124460341</t>
  </si>
  <si>
    <t xml:space="preserve">4426580154255069</t>
  </si>
  <si>
    <t xml:space="preserve">120252126809690341</t>
  </si>
  <si>
    <t xml:space="preserve">5. Lines Red - 14 (B)</t>
  </si>
  <si>
    <t xml:space="preserve">1012944258181966</t>
  </si>
  <si>
    <t xml:space="preserve">120248303382790341</t>
  </si>
  <si>
    <t xml:space="preserve">2019416042268402</t>
  </si>
  <si>
    <t xml:space="preserve">120248744322200341</t>
  </si>
  <si>
    <t xml:space="preserve">2233198054131037</t>
  </si>
  <si>
    <t xml:space="preserve">120252620346760341</t>
  </si>
  <si>
    <t xml:space="preserve">2347313642402190_brand</t>
  </si>
  <si>
    <t xml:space="preserve">3004101299948268</t>
  </si>
  <si>
    <t xml:space="preserve">120249083520340341</t>
  </si>
  <si>
    <t xml:space="preserve">113. May 30 USA 4-6</t>
  </si>
  <si>
    <t xml:space="preserve">1539794037561316</t>
  </si>
  <si>
    <t xml:space="preserve">120244406032510341</t>
  </si>
  <si>
    <t xml:space="preserve">59. March 16 USA - 1-3</t>
  </si>
  <si>
    <t xml:space="preserve">1565290251199574</t>
  </si>
  <si>
    <t xml:space="preserve">120254397769690341</t>
  </si>
  <si>
    <t xml:space="preserve">15. 20260926_Only4hrsLeft_V1</t>
  </si>
  <si>
    <t xml:space="preserve">79__Broad_USA_Creative_testing – Copy 7</t>
  </si>
  <si>
    <t xml:space="preserve">2026-10-10</t>
  </si>
  <si>
    <t xml:space="preserve">1081271904904324</t>
  </si>
  <si>
    <t xml:space="preserve">120249838112530341</t>
  </si>
  <si>
    <t xml:space="preserve">2274873873253704</t>
  </si>
  <si>
    <t xml:space="preserve">120254095835220341</t>
  </si>
  <si>
    <t xml:space="preserve">003_7655372023887154463</t>
  </si>
  <si>
    <t xml:space="preserve">2. Sep 23 USA 1-3</t>
  </si>
  <si>
    <t xml:space="preserve">4407358919533159</t>
  </si>
  <si>
    <t xml:space="preserve">120249839028900341</t>
  </si>
  <si>
    <t xml:space="preserve">1583469483390053</t>
  </si>
  <si>
    <t xml:space="preserve">120252620397480341</t>
  </si>
  <si>
    <t xml:space="preserve">1651337385935562_brand</t>
  </si>
  <si>
    <t xml:space="preserve">1796361491531450</t>
  </si>
  <si>
    <t xml:space="preserve">120252672754240341</t>
  </si>
  <si>
    <t xml:space="preserve">3(3)</t>
  </si>
  <si>
    <t xml:space="preserve">146. July 23 USA 16-18</t>
  </si>
  <si>
    <t xml:space="preserve">1520822013391341</t>
  </si>
  <si>
    <t xml:space="preserve">120251994280660341</t>
  </si>
  <si>
    <t xml:space="preserve">1. 3 Bottle Offer - 2 (P3)</t>
  </si>
  <si>
    <t xml:space="preserve">1551901063005472</t>
  </si>
  <si>
    <t xml:space="preserve">120248935202260341</t>
  </si>
  <si>
    <t xml:space="preserve">1915173485811556</t>
  </si>
  <si>
    <t xml:space="preserve">120252444830010341</t>
  </si>
  <si>
    <t xml:space="preserve">13. Doctor INFO - 5(1) (1)</t>
  </si>
  <si>
    <t xml:space="preserve">1392127396117592</t>
  </si>
  <si>
    <t xml:space="preserve">120254005369660341</t>
  </si>
  <si>
    <t xml:space="preserve">111. 20260915_FakeNMNs_V1</t>
  </si>
  <si>
    <t xml:space="preserve">1716368026095179</t>
  </si>
  <si>
    <t xml:space="preserve">120254004925780341</t>
  </si>
  <si>
    <t xml:space="preserve">105. 20260915_DoesItMatter_V1</t>
  </si>
  <si>
    <t xml:space="preserve">1471222451545600</t>
  </si>
  <si>
    <t xml:space="preserve">120248935171650341</t>
  </si>
  <si>
    <t xml:space="preserve">2. May 28 USA 4-6</t>
  </si>
  <si>
    <t xml:space="preserve">1509546427484270</t>
  </si>
  <si>
    <t xml:space="preserve">120253373068100341</t>
  </si>
  <si>
    <t xml:space="preserve">21</t>
  </si>
  <si>
    <t xml:space="preserve">1011777348156870</t>
  </si>
  <si>
    <t xml:space="preserve">120242543622630341</t>
  </si>
  <si>
    <t xml:space="preserve">Feb 3 USA 10-12</t>
  </si>
  <si>
    <t xml:space="preserve">747625108028914</t>
  </si>
  <si>
    <t xml:space="preserve">120244732639580341</t>
  </si>
  <si>
    <t xml:space="preserve">68. March 20 USA 16-18</t>
  </si>
  <si>
    <t xml:space="preserve">1429666629171591</t>
  </si>
  <si>
    <t xml:space="preserve">120252620408150341</t>
  </si>
  <si>
    <t xml:space="preserve">1807525876886029_brand</t>
  </si>
  <si>
    <t xml:space="preserve">1623396756017198</t>
  </si>
  <si>
    <t xml:space="preserve">120245863491590341</t>
  </si>
  <si>
    <t xml:space="preserve">80. March 28 USA - 1-3</t>
  </si>
  <si>
    <t xml:space="preserve">1273007598289574</t>
  </si>
  <si>
    <t xml:space="preserve">120245863685860341</t>
  </si>
  <si>
    <t xml:space="preserve">81. March 28 USA - 7-9</t>
  </si>
  <si>
    <t xml:space="preserve">2117765865832634</t>
  </si>
  <si>
    <t xml:space="preserve">120250187510130341</t>
  </si>
  <si>
    <t xml:space="preserve">1926750364551339</t>
  </si>
  <si>
    <t xml:space="preserve">120244046902150341</t>
  </si>
  <si>
    <t xml:space="preserve">48. March 8 USA - 10-12</t>
  </si>
  <si>
    <t xml:space="preserve">2706627826365562</t>
  </si>
  <si>
    <t xml:space="preserve">120254005369760341</t>
  </si>
  <si>
    <t xml:space="preserve">110. 20260917_IdoThisEveryDayV_V1</t>
  </si>
  <si>
    <t xml:space="preserve">1563102284942719</t>
  </si>
  <si>
    <t xml:space="preserve">120245954054600341</t>
  </si>
  <si>
    <t xml:space="preserve">4168931966574723</t>
  </si>
  <si>
    <t xml:space="preserve">120252759527000341</t>
  </si>
  <si>
    <t xml:space="preserve">2655443308222481</t>
  </si>
  <si>
    <t xml:space="preserve">120252692805670341</t>
  </si>
  <si>
    <t xml:space="preserve">7663561944040738062</t>
  </si>
  <si>
    <t xml:space="preserve">37. New 15 UGC 13-15 | 24Jul</t>
  </si>
  <si>
    <t xml:space="preserve">1549802623491359</t>
  </si>
  <si>
    <t xml:space="preserve">120253928915530341</t>
  </si>
  <si>
    <t xml:space="preserve">14B. 20260911_BryanJohnsonSuggestion_V1</t>
  </si>
  <si>
    <t xml:space="preserve">2640143443084740</t>
  </si>
  <si>
    <t xml:space="preserve">120254095849840341</t>
  </si>
  <si>
    <t xml:space="preserve">024_7657413799669927198</t>
  </si>
  <si>
    <t xml:space="preserve">9. Sep 23 USA 22-24</t>
  </si>
  <si>
    <t xml:space="preserve">921623717339521</t>
  </si>
  <si>
    <t xml:space="preserve">120250188035100341</t>
  </si>
  <si>
    <t xml:space="preserve">23. June 10 USA 4-6</t>
  </si>
  <si>
    <t xml:space="preserve">1453235119903177</t>
  </si>
  <si>
    <t xml:space="preserve">120248935178490341</t>
  </si>
  <si>
    <t xml:space="preserve">2313352669495284</t>
  </si>
  <si>
    <t xml:space="preserve">120252620496440341</t>
  </si>
  <si>
    <t xml:space="preserve">5(6)</t>
  </si>
  <si>
    <t xml:space="preserve">23. New 9 UGC 4-6 | 21Jul</t>
  </si>
  <si>
    <t xml:space="preserve">1013202888167158</t>
  </si>
  <si>
    <t xml:space="preserve">120244046902220341</t>
  </si>
  <si>
    <t xml:space="preserve">46. March 8 USA - 4-6</t>
  </si>
  <si>
    <t xml:space="preserve">2300155503803454</t>
  </si>
  <si>
    <t xml:space="preserve">120252692800820341</t>
  </si>
  <si>
    <t xml:space="preserve">64. 4286 plays - 0.84% eng</t>
  </si>
  <si>
    <t xml:space="preserve">27794461263519049</t>
  </si>
  <si>
    <t xml:space="preserve">120248935204710341</t>
  </si>
  <si>
    <t xml:space="preserve">1353330973368977</t>
  </si>
  <si>
    <t xml:space="preserve">120252692805270341</t>
  </si>
  <si>
    <t xml:space="preserve">7663522467087928590</t>
  </si>
  <si>
    <t xml:space="preserve">1576441257606170</t>
  </si>
  <si>
    <t xml:space="preserve">120252692806060341</t>
  </si>
  <si>
    <t xml:space="preserve">7663628802462993678</t>
  </si>
  <si>
    <t xml:space="preserve">2140029359876023</t>
  </si>
  <si>
    <t xml:space="preserve">120252692804180341</t>
  </si>
  <si>
    <t xml:space="preserve">7657361531243367711.final</t>
  </si>
  <si>
    <t xml:space="preserve">27695850346721759</t>
  </si>
  <si>
    <t xml:space="preserve">120254363135400341</t>
  </si>
  <si>
    <t xml:space="preserve">6. 20260923_Static_V (14)</t>
  </si>
  <si>
    <t xml:space="preserve">74__Broad_USA_Creative_testing – Copy 2</t>
  </si>
  <si>
    <t xml:space="preserve">2305920150163322</t>
  </si>
  <si>
    <t xml:space="preserve">120252620379060341</t>
  </si>
  <si>
    <t xml:space="preserve">921538244206659_brand</t>
  </si>
  <si>
    <t xml:space="preserve">1695815618310822</t>
  </si>
  <si>
    <t xml:space="preserve">120242853273870341</t>
  </si>
  <si>
    <t xml:space="preserve">1980670212851405</t>
  </si>
  <si>
    <t xml:space="preserve">120246424579230341</t>
  </si>
  <si>
    <t xml:space="preserve">- Video - Ad - 11</t>
  </si>
  <si>
    <t xml:space="preserve">1675096650157135</t>
  </si>
  <si>
    <t xml:space="preserve">120253235158290341</t>
  </si>
  <si>
    <t xml:space="preserve">ChatGPT Image Aug 7, 2026, 11_53_03 PM</t>
  </si>
  <si>
    <t xml:space="preserve">1739421883871606</t>
  </si>
  <si>
    <t xml:space="preserve">120249481207340341</t>
  </si>
  <si>
    <t xml:space="preserve">1423148596237932</t>
  </si>
  <si>
    <t xml:space="preserve">120248744326120341</t>
  </si>
  <si>
    <t xml:space="preserve">2262162087888500</t>
  </si>
  <si>
    <t xml:space="preserve">120248163150590341</t>
  </si>
  <si>
    <t xml:space="preserve">2393471654463024</t>
  </si>
  <si>
    <t xml:space="preserve">120252692802100341</t>
  </si>
  <si>
    <t xml:space="preserve">7647904212357106957.final</t>
  </si>
  <si>
    <t xml:space="preserve">1095691706218366</t>
  </si>
  <si>
    <t xml:space="preserve">120242297950620341</t>
  </si>
  <si>
    <t xml:space="preserve">22. Jan 26 USA BOF 10-12</t>
  </si>
  <si>
    <t xml:space="preserve">1574340127101403</t>
  </si>
  <si>
    <t xml:space="preserve">120252672760980341</t>
  </si>
  <si>
    <t xml:space="preserve">3979074725719390</t>
  </si>
  <si>
    <t xml:space="preserve">120253235148500341</t>
  </si>
  <si>
    <t xml:space="preserve">35</t>
  </si>
  <si>
    <t xml:space="preserve">1707215000568495</t>
  </si>
  <si>
    <t xml:space="preserve">120251588692340341</t>
  </si>
  <si>
    <t xml:space="preserve">15.(31. Feb 28 USA - 1-3 )</t>
  </si>
  <si>
    <t xml:space="preserve">4428967390699287</t>
  </si>
  <si>
    <t xml:space="preserve">120242733176370341</t>
  </si>
  <si>
    <t xml:space="preserve">825100697219799</t>
  </si>
  <si>
    <t xml:space="preserve">120252853136820341</t>
  </si>
  <si>
    <t xml:space="preserve">49. New 7 UGC 7 | 30Jul</t>
  </si>
  <si>
    <t xml:space="preserve">2073495783295856</t>
  </si>
  <si>
    <t xml:space="preserve">120252692806260341</t>
  </si>
  <si>
    <t xml:space="preserve">4. Woman &amp; Pill - 8</t>
  </si>
  <si>
    <t xml:space="preserve">4330846947180613</t>
  </si>
  <si>
    <t xml:space="preserve">120251994281700341</t>
  </si>
  <si>
    <t xml:space="preserve">1. 3 Bottle Offer - 3 (P4)</t>
  </si>
  <si>
    <t xml:space="preserve">1495283951917656</t>
  </si>
  <si>
    <t xml:space="preserve">120252128305840341</t>
  </si>
  <si>
    <t xml:space="preserve">25. 13275 plays - 2.7% eng</t>
  </si>
  <si>
    <t xml:space="preserve">986570577478171</t>
  </si>
  <si>
    <t xml:space="preserve">120254004739440341</t>
  </si>
  <si>
    <t xml:space="preserve">86. 20260916_Statics_v1 (10)</t>
  </si>
  <si>
    <t xml:space="preserve">1062975793222103</t>
  </si>
  <si>
    <t xml:space="preserve">120243390597570341</t>
  </si>
  <si>
    <t xml:space="preserve">26. Feb 23 USA 16-18</t>
  </si>
  <si>
    <t xml:space="preserve">702042866232670</t>
  </si>
  <si>
    <t xml:space="preserve">120245650660650341</t>
  </si>
  <si>
    <t xml:space="preserve">- Video - Ad -11</t>
  </si>
  <si>
    <t xml:space="preserve">4381778265300699</t>
  </si>
  <si>
    <t xml:space="preserve">120243678381720341</t>
  </si>
  <si>
    <t xml:space="preserve">32. Feb 28 USA 13-15</t>
  </si>
  <si>
    <t xml:space="preserve">34081846021430711</t>
  </si>
  <si>
    <t xml:space="preserve">120248935223480341</t>
  </si>
  <si>
    <t xml:space="preserve">1987734648770473</t>
  </si>
  <si>
    <t xml:space="preserve">120252128235640341</t>
  </si>
  <si>
    <t xml:space="preserve">7. UGC - 18 (C)</t>
  </si>
  <si>
    <t xml:space="preserve">876566848382313</t>
  </si>
  <si>
    <t xml:space="preserve">120246424579360341</t>
  </si>
  <si>
    <t xml:space="preserve">961519386514096</t>
  </si>
  <si>
    <t xml:space="preserve">120251994349080341</t>
  </si>
  <si>
    <t xml:space="preserve">62. 4822 plays - 0.95% eng</t>
  </si>
  <si>
    <t xml:space="preserve">3. IG Reels B | 30Jun</t>
  </si>
  <si>
    <t xml:space="preserve">1666910311721529</t>
  </si>
  <si>
    <t xml:space="preserve">120245643475540341</t>
  </si>
  <si>
    <t xml:space="preserve">- Video - Ad - 4</t>
  </si>
  <si>
    <t xml:space="preserve">1626097321962297</t>
  </si>
  <si>
    <t xml:space="preserve">120244047830870341</t>
  </si>
  <si>
    <t xml:space="preserve">43. March 8 USA 4-6</t>
  </si>
  <si>
    <t xml:space="preserve">1831505037513991</t>
  </si>
  <si>
    <t xml:space="preserve">120244047831030341</t>
  </si>
  <si>
    <t xml:space="preserve">1670225427227917</t>
  </si>
  <si>
    <t xml:space="preserve">120249839115420341</t>
  </si>
  <si>
    <t xml:space="preserve">20. June 7 USA 16-18</t>
  </si>
  <si>
    <t xml:space="preserve">4086068575024249</t>
  </si>
  <si>
    <t xml:space="preserve">120252672764550341</t>
  </si>
  <si>
    <t xml:space="preserve">2045270859437508</t>
  </si>
  <si>
    <t xml:space="preserve">120248950353200341</t>
  </si>
  <si>
    <t xml:space="preserve">2026-05-29</t>
  </si>
  <si>
    <t xml:space="preserve">1289745746667000</t>
  </si>
  <si>
    <t xml:space="preserve">120249481170430341</t>
  </si>
  <si>
    <t xml:space="preserve">1681767669737464</t>
  </si>
  <si>
    <t xml:space="preserve">120245643253370341</t>
  </si>
  <si>
    <t xml:space="preserve">73. March 24 USA - 1-3</t>
  </si>
  <si>
    <t xml:space="preserve">2085817315298131</t>
  </si>
  <si>
    <t xml:space="preserve">120248303900480341</t>
  </si>
  <si>
    <t xml:space="preserve">92. May 21 USA - 19-21</t>
  </si>
  <si>
    <t xml:space="preserve">971065555546846</t>
  </si>
  <si>
    <t xml:space="preserve">120242378569610341</t>
  </si>
  <si>
    <t xml:space="preserve">21. Jan 29 USA Human 1-3</t>
  </si>
  <si>
    <t xml:space="preserve">2026-01-28</t>
  </si>
  <si>
    <t xml:space="preserve">839488655812345</t>
  </si>
  <si>
    <t xml:space="preserve">120246424579250341</t>
  </si>
  <si>
    <t xml:space="preserve">- Video - Ad -6</t>
  </si>
  <si>
    <t xml:space="preserve">85. April 1 USA 4-6</t>
  </si>
  <si>
    <t xml:space="preserve">2672360836479578</t>
  </si>
  <si>
    <t xml:space="preserve">120245643253360341</t>
  </si>
  <si>
    <t xml:space="preserve">1012096894718063</t>
  </si>
  <si>
    <t xml:space="preserve">120253848681210341</t>
  </si>
  <si>
    <t xml:space="preserve">2. 20260902_KimKExplainer_V1</t>
  </si>
  <si>
    <t xml:space="preserve">1618019423274546</t>
  </si>
  <si>
    <t xml:space="preserve">120253235142630341</t>
  </si>
  <si>
    <t xml:space="preserve">1(10)</t>
  </si>
  <si>
    <t xml:space="preserve">1424852039491664</t>
  </si>
  <si>
    <t xml:space="preserve">120241899050020341</t>
  </si>
  <si>
    <t xml:space="preserve">Jan 16 USA Awareness - 1-3</t>
  </si>
  <si>
    <t xml:space="preserve">4320764441533174</t>
  </si>
  <si>
    <t xml:space="preserve">120254383442780341</t>
  </si>
  <si>
    <t xml:space="preserve">8. 20260925_AntiAgingBanned_V1</t>
  </si>
  <si>
    <t xml:space="preserve">1786401915726626</t>
  </si>
  <si>
    <t xml:space="preserve">120248163159430341</t>
  </si>
  <si>
    <t xml:space="preserve">1564681234989564</t>
  </si>
  <si>
    <t xml:space="preserve">120253373060310341</t>
  </si>
  <si>
    <t xml:space="preserve">14</t>
  </si>
  <si>
    <t xml:space="preserve">1052106580908231</t>
  </si>
  <si>
    <t xml:space="preserve">120253235146500341</t>
  </si>
  <si>
    <t xml:space="preserve">1564481882140637</t>
  </si>
  <si>
    <t xml:space="preserve">120252444903770341</t>
  </si>
  <si>
    <t xml:space="preserve">21. 16043 plays - 2.84% eng</t>
  </si>
  <si>
    <t xml:space="preserve">4460048037601187</t>
  </si>
  <si>
    <t xml:space="preserve">120252692800010341</t>
  </si>
  <si>
    <t xml:space="preserve">49. 4542 plays - 1.72% eng</t>
  </si>
  <si>
    <t xml:space="preserve">1034075569135095</t>
  </si>
  <si>
    <t xml:space="preserve">120245907056800341</t>
  </si>
  <si>
    <t xml:space="preserve">- Video - Ad - 10</t>
  </si>
  <si>
    <t xml:space="preserve">80. March 28 USA 10-12</t>
  </si>
  <si>
    <t xml:space="preserve">989607103664592</t>
  </si>
  <si>
    <t xml:space="preserve">120253373078110341</t>
  </si>
  <si>
    <t xml:space="preserve">Age Cathing up EXPERIENCE THE ULTIMATE 10-IN-1 NMN FORMULA</t>
  </si>
  <si>
    <t xml:space="preserve">1361732272238308</t>
  </si>
  <si>
    <t xml:space="preserve">120244223761040341</t>
  </si>
  <si>
    <t xml:space="preserve">53. Mar 12 USA - 10-12</t>
  </si>
  <si>
    <t xml:space="preserve">2139774289931147</t>
  </si>
  <si>
    <t xml:space="preserve">120254022413560341</t>
  </si>
  <si>
    <t xml:space="preserve">153. 20260918_AntiAgingBanned_V1</t>
  </si>
  <si>
    <t xml:space="preserve">1718376143623121</t>
  </si>
  <si>
    <t xml:space="preserve">120248921077490341</t>
  </si>
  <si>
    <t xml:space="preserve">1566938888342526</t>
  </si>
  <si>
    <t xml:space="preserve">120245650660760341</t>
  </si>
  <si>
    <t xml:space="preserve">26466804212930551</t>
  </si>
  <si>
    <t xml:space="preserve">120254095840270341</t>
  </si>
  <si>
    <t xml:space="preserve">010_7664751376697740558</t>
  </si>
  <si>
    <t xml:space="preserve">4. Sep 23 USA 7-9</t>
  </si>
  <si>
    <t xml:space="preserve">1927036788272073</t>
  </si>
  <si>
    <t xml:space="preserve">120243675089820341</t>
  </si>
  <si>
    <t xml:space="preserve">1220028283549798</t>
  </si>
  <si>
    <t xml:space="preserve">120248829149070341</t>
  </si>
  <si>
    <t xml:space="preserve">1004482285307781</t>
  </si>
  <si>
    <t xml:space="preserve">120253888409580341</t>
  </si>
  <si>
    <t xml:space="preserve">34. 20260910_WeareSorry_V2 (2)</t>
  </si>
  <si>
    <t xml:space="preserve">1933344188071131</t>
  </si>
  <si>
    <t xml:space="preserve">120251994344280341</t>
  </si>
  <si>
    <t xml:space="preserve">44. 3470 plays - 2.19% eng</t>
  </si>
  <si>
    <t xml:space="preserve">1030769779429554</t>
  </si>
  <si>
    <t xml:space="preserve">120243088393490341</t>
  </si>
  <si>
    <t xml:space="preserve">16. Feb 17 USA - 13-15</t>
  </si>
  <si>
    <t xml:space="preserve">2382494248887017</t>
  </si>
  <si>
    <t xml:space="preserve">120248163152580341</t>
  </si>
  <si>
    <t xml:space="preserve">1663858398232045</t>
  </si>
  <si>
    <t xml:space="preserve">120253888409550341</t>
  </si>
  <si>
    <t xml:space="preserve">28. 20260909_Essentials_V1 (2)</t>
  </si>
  <si>
    <t xml:space="preserve">1084035197820781</t>
  </si>
  <si>
    <t xml:space="preserve">120245650660710341</t>
  </si>
  <si>
    <t xml:space="preserve">- Video - Ad -18</t>
  </si>
  <si>
    <t xml:space="preserve">719221754550054</t>
  </si>
  <si>
    <t xml:space="preserve">120241945863520341</t>
  </si>
  <si>
    <t xml:space="preserve">Jan 17 USA BOF - 4-6</t>
  </si>
  <si>
    <t xml:space="preserve">1254752306497247</t>
  </si>
  <si>
    <t xml:space="preserve">120244223330000341</t>
  </si>
  <si>
    <t xml:space="preserve">4493529774267725</t>
  </si>
  <si>
    <t xml:space="preserve">120254006863530341</t>
  </si>
  <si>
    <t xml:space="preserve">140. 20260918_Static_V1 (8)</t>
  </si>
  <si>
    <t xml:space="preserve">3407164696257130</t>
  </si>
  <si>
    <t xml:space="preserve">120249493532320341</t>
  </si>
  <si>
    <t xml:space="preserve">998240226274142</t>
  </si>
  <si>
    <t xml:space="preserve">120248303699210341</t>
  </si>
  <si>
    <t xml:space="preserve">88. May 21 USA - 7-9</t>
  </si>
  <si>
    <t xml:space="preserve">970899188994103</t>
  </si>
  <si>
    <t xml:space="preserve">120253886723170341</t>
  </si>
  <si>
    <t xml:space="preserve">2. 20260903_LastDayofCrazyPriceDrop_V1</t>
  </si>
  <si>
    <t xml:space="preserve">1974141686603197</t>
  </si>
  <si>
    <t xml:space="preserve">120249839107830341</t>
  </si>
  <si>
    <t xml:space="preserve">17. June 7 USA 7-9</t>
  </si>
  <si>
    <t xml:space="preserve">1026986206561345</t>
  </si>
  <si>
    <t xml:space="preserve">120243675061280341</t>
  </si>
  <si>
    <t xml:space="preserve">32. Feb 28 USA - 4-6</t>
  </si>
  <si>
    <t xml:space="preserve">1991636611384022</t>
  </si>
  <si>
    <t xml:space="preserve">120253850125770341</t>
  </si>
  <si>
    <t xml:space="preserve">14. 20260903_GoodbyeAfternoonCrash_V1</t>
  </si>
  <si>
    <t xml:space="preserve">1963948651117636</t>
  </si>
  <si>
    <t xml:space="preserve">120243384740620341</t>
  </si>
  <si>
    <t xml:space="preserve">27. Feb 23 USA - 13-15</t>
  </si>
  <si>
    <t xml:space="preserve">2100630557417116</t>
  </si>
  <si>
    <t xml:space="preserve">120253888409410341</t>
  </si>
  <si>
    <t xml:space="preserve">21. 20260908_Buy3Get3_V2 (2)</t>
  </si>
  <si>
    <t xml:space="preserve">2822221301504391</t>
  </si>
  <si>
    <t xml:space="preserve">120252759528000341</t>
  </si>
  <si>
    <t xml:space="preserve">2252762682146025</t>
  </si>
  <si>
    <t xml:space="preserve">120252853166310341</t>
  </si>
  <si>
    <t xml:space="preserve">48. New 7 UGC 4-6 | 30Jul</t>
  </si>
  <si>
    <t xml:space="preserve">1394854932505875</t>
  </si>
  <si>
    <t xml:space="preserve">120253926673800341</t>
  </si>
  <si>
    <t xml:space="preserve">4B. 20260911_AntiAgingAfter1Month_V1</t>
  </si>
  <si>
    <t xml:space="preserve">1118222710875227</t>
  </si>
  <si>
    <t xml:space="preserve">120244779647300341</t>
  </si>
  <si>
    <t xml:space="preserve">16. March 24 (23. Feb 23 USA 7-9) - 1 Video</t>
  </si>
  <si>
    <t xml:space="preserve">2026-03-24</t>
  </si>
  <si>
    <t xml:space="preserve">1452416369838193</t>
  </si>
  <si>
    <t xml:space="preserve">120254383442700341</t>
  </si>
  <si>
    <t xml:space="preserve">15. 20260925_MassiveSale_V1</t>
  </si>
  <si>
    <t xml:space="preserve">952960421224602</t>
  </si>
  <si>
    <t xml:space="preserve">120253155096050341</t>
  </si>
  <si>
    <t xml:space="preserve">120254363474270341</t>
  </si>
  <si>
    <t xml:space="preserve">11. 20260923_Static_V (21)</t>
  </si>
  <si>
    <t xml:space="preserve">76__Broad_USA_Creative_testing – Copy 4</t>
  </si>
  <si>
    <t xml:space="preserve">1415994943265400</t>
  </si>
  <si>
    <t xml:space="preserve">120245593982930341</t>
  </si>
  <si>
    <t xml:space="preserve">944246448572622</t>
  </si>
  <si>
    <t xml:space="preserve">120242859011310341</t>
  </si>
  <si>
    <t xml:space="preserve">1411275987344029</t>
  </si>
  <si>
    <t xml:space="preserve">120249083766120341</t>
  </si>
  <si>
    <t xml:space="preserve">117. May 30 USA 16-18</t>
  </si>
  <si>
    <t xml:space="preserve">1009147115178847</t>
  </si>
  <si>
    <t xml:space="preserve">120246424579390341</t>
  </si>
  <si>
    <t xml:space="preserve">- Video - Ad - 18</t>
  </si>
  <si>
    <t xml:space="preserve">89. April 1 USA 16-18</t>
  </si>
  <si>
    <t xml:space="preserve">831108776122825</t>
  </si>
  <si>
    <t xml:space="preserve">120254383319850341</t>
  </si>
  <si>
    <t xml:space="preserve">01. prime-nmn-meta-ad</t>
  </si>
  <si>
    <t xml:space="preserve">2076345482986712</t>
  </si>
  <si>
    <t xml:space="preserve">120245594344420341</t>
  </si>
  <si>
    <t xml:space="preserve">1489059916284951</t>
  </si>
  <si>
    <t xml:space="preserve">120253458733010341</t>
  </si>
  <si>
    <t xml:space="preserve">2056215278344236</t>
  </si>
  <si>
    <t xml:space="preserve">120249083808290341</t>
  </si>
  <si>
    <t xml:space="preserve">27132424603062424</t>
  </si>
  <si>
    <t xml:space="preserve">120253458732930341</t>
  </si>
  <si>
    <t xml:space="preserve">5(1)</t>
  </si>
  <si>
    <t xml:space="preserve">1409495254361364</t>
  </si>
  <si>
    <t xml:space="preserve">120243384331280341</t>
  </si>
  <si>
    <t xml:space="preserve">29. Feb 23 USA - 19-21</t>
  </si>
  <si>
    <t xml:space="preserve">1312786037357583</t>
  </si>
  <si>
    <t xml:space="preserve">120245907056840341</t>
  </si>
  <si>
    <t xml:space="preserve">- Video - Ad - 13</t>
  </si>
  <si>
    <t xml:space="preserve">1237031134877024</t>
  </si>
  <si>
    <t xml:space="preserve">120253852659510341</t>
  </si>
  <si>
    <t xml:space="preserve">29A. 20260909_WonderingCelebrityLooks_V1</t>
  </si>
  <si>
    <t xml:space="preserve">1417201680554931</t>
  </si>
  <si>
    <t xml:space="preserve">120253373083860341</t>
  </si>
  <si>
    <t xml:space="preserve">No Needles no complicated routine (1)</t>
  </si>
  <si>
    <t xml:space="preserve">1824662532031739</t>
  </si>
  <si>
    <t xml:space="preserve">120248744234900341</t>
  </si>
  <si>
    <t xml:space="preserve">2084666935789473</t>
  </si>
  <si>
    <t xml:space="preserve">120245955488470341</t>
  </si>
  <si>
    <t xml:space="preserve">78. March 28 USA 4-6</t>
  </si>
  <si>
    <t xml:space="preserve">834110433080085</t>
  </si>
  <si>
    <t xml:space="preserve">120243088393520341</t>
  </si>
  <si>
    <t xml:space="preserve">14. Feb 17 USA - 7-9</t>
  </si>
  <si>
    <t xml:space="preserve">1220211690260635</t>
  </si>
  <si>
    <t xml:space="preserve">120254004925860341</t>
  </si>
  <si>
    <t xml:space="preserve">100. 20260916_NotComplainingt_V1</t>
  </si>
  <si>
    <t xml:space="preserve">1312170547531143</t>
  </si>
  <si>
    <t xml:space="preserve">120253235159290341</t>
  </si>
  <si>
    <t xml:space="preserve">ChatGPT Image Aug 7, 2026, 11_57_37 PM</t>
  </si>
  <si>
    <t xml:space="preserve">1604812691199055</t>
  </si>
  <si>
    <t xml:space="preserve">120248303852550341</t>
  </si>
  <si>
    <t xml:space="preserve">90. May 21 USA - 13-15</t>
  </si>
  <si>
    <t xml:space="preserve">1217515010335878</t>
  </si>
  <si>
    <t xml:space="preserve">120244732639640341</t>
  </si>
  <si>
    <t xml:space="preserve">66. March 20 USA 10-12</t>
  </si>
  <si>
    <t xml:space="preserve">27114773154792215</t>
  </si>
  <si>
    <t xml:space="preserve">120249083673330341</t>
  </si>
  <si>
    <t xml:space="preserve">973241192114851</t>
  </si>
  <si>
    <t xml:space="preserve">120252672763790341</t>
  </si>
  <si>
    <t xml:space="preserve">1361252862509146_brand</t>
  </si>
  <si>
    <t xml:space="preserve">142. July 23 USA 4-6</t>
  </si>
  <si>
    <t xml:space="preserve">3355011688019645</t>
  </si>
  <si>
    <t xml:space="preserve">120244008318360341</t>
  </si>
  <si>
    <t xml:space="preserve">45. March 8 USA - 1-3</t>
  </si>
  <si>
    <t xml:space="preserve">4437089226525773</t>
  </si>
  <si>
    <t xml:space="preserve">120249838090490341</t>
  </si>
  <si>
    <t xml:space="preserve">1584052990391790</t>
  </si>
  <si>
    <t xml:space="preserve">120251994335210341</t>
  </si>
  <si>
    <t xml:space="preserve">6. Chrona VS NMN - 17 (P3)</t>
  </si>
  <si>
    <t xml:space="preserve">6. Chrona VS NMN | 30Jun</t>
  </si>
  <si>
    <t xml:space="preserve">1545922013645380</t>
  </si>
  <si>
    <t xml:space="preserve">120252444909260341</t>
  </si>
  <si>
    <t xml:space="preserve">36. 184184 plays - 1.75% eng</t>
  </si>
  <si>
    <t xml:space="preserve">3201102456753578</t>
  </si>
  <si>
    <t xml:space="preserve">120253926673760341</t>
  </si>
  <si>
    <t xml:space="preserve">10B. 20260911_OnlySupplemetYouNeed_V1</t>
  </si>
  <si>
    <t xml:space="preserve">1751188372875566</t>
  </si>
  <si>
    <t xml:space="preserve">120253703127000341</t>
  </si>
  <si>
    <t xml:space="preserve">8. 20260902_DavidSinclairNAD_V1</t>
  </si>
  <si>
    <t xml:space="preserve">3179350485592829</t>
  </si>
  <si>
    <t xml:space="preserve">120248744236290341</t>
  </si>
  <si>
    <t xml:space="preserve">1370753565074294</t>
  </si>
  <si>
    <t xml:space="preserve">120244413721430341</t>
  </si>
  <si>
    <t xml:space="preserve">1388057736335470</t>
  </si>
  <si>
    <t xml:space="preserve">120242729771960341</t>
  </si>
  <si>
    <t xml:space="preserve">1. Feb 6 USA - 10-12</t>
  </si>
  <si>
    <t xml:space="preserve">1408345317737624</t>
  </si>
  <si>
    <t xml:space="preserve">120249083734400341</t>
  </si>
  <si>
    <t xml:space="preserve">973693395585495</t>
  </si>
  <si>
    <t xml:space="preserve">120253929165030341</t>
  </si>
  <si>
    <t xml:space="preserve">21B. 20260911_Antagingbundle_V1</t>
  </si>
  <si>
    <t xml:space="preserve">931334696229469</t>
  </si>
  <si>
    <t xml:space="preserve">120243091077340341</t>
  </si>
  <si>
    <t xml:space="preserve">18. Feb 17 USA 16-18</t>
  </si>
  <si>
    <t xml:space="preserve">2026-02-17</t>
  </si>
  <si>
    <t xml:space="preserve">1485739729786483</t>
  </si>
  <si>
    <t xml:space="preserve">120243091077300341</t>
  </si>
  <si>
    <t xml:space="preserve">19. Feb 17 USA 19-21</t>
  </si>
  <si>
    <t xml:space="preserve">724036193979353</t>
  </si>
  <si>
    <t xml:space="preserve">120249083475920341</t>
  </si>
  <si>
    <t xml:space="preserve">112. May 30 USA 1-3</t>
  </si>
  <si>
    <t xml:space="preserve">2812233572463327</t>
  </si>
  <si>
    <t xml:space="preserve">120242854938560341</t>
  </si>
  <si>
    <t xml:space="preserve">5. Feb 9 USA - 4-6</t>
  </si>
  <si>
    <t xml:space="preserve">2002914863992695</t>
  </si>
  <si>
    <t xml:space="preserve">120249083562110341</t>
  </si>
  <si>
    <t xml:space="preserve">989424697119923</t>
  </si>
  <si>
    <t xml:space="preserve">120254362458000341</t>
  </si>
  <si>
    <t xml:space="preserve">4. 20260923_WhiteboardExplainer_V1</t>
  </si>
  <si>
    <t xml:space="preserve">1496959748925270</t>
  </si>
  <si>
    <t xml:space="preserve">120253458734690341</t>
  </si>
  <si>
    <t xml:space="preserve">6.png</t>
  </si>
  <si>
    <t xml:space="preserve">2549513682137204</t>
  </si>
  <si>
    <t xml:space="preserve">120254363474290341</t>
  </si>
  <si>
    <t xml:space="preserve">12. 20260923_Static_V  (5)</t>
  </si>
  <si>
    <t xml:space="preserve">1762634418343663</t>
  </si>
  <si>
    <t xml:space="preserve">120253458734450341</t>
  </si>
  <si>
    <t xml:space="preserve">11.png</t>
  </si>
  <si>
    <t xml:space="preserve">4460669110883856</t>
  </si>
  <si>
    <t xml:space="preserve">120253886723090341</t>
  </si>
  <si>
    <t xml:space="preserve">11. 20260905_FountainOfYouthSupplement_V1</t>
  </si>
  <si>
    <t xml:space="preserve">1860748032275057</t>
  </si>
  <si>
    <t xml:space="preserve">120253235153410341</t>
  </si>
  <si>
    <t xml:space="preserve">40</t>
  </si>
  <si>
    <t xml:space="preserve">1577714424017482</t>
  </si>
  <si>
    <t xml:space="preserve">120245954054630341</t>
  </si>
  <si>
    <t xml:space="preserve">1508339440629827</t>
  </si>
  <si>
    <t xml:space="preserve">120254004739410341</t>
  </si>
  <si>
    <t xml:space="preserve">80. 20260916_Statics_v1 (3)</t>
  </si>
  <si>
    <t xml:space="preserve">961298242977799</t>
  </si>
  <si>
    <t xml:space="preserve">120253848681270341</t>
  </si>
  <si>
    <t xml:space="preserve">8. 20260903_OnSaleNow_V2</t>
  </si>
  <si>
    <t xml:space="preserve">1941498160159034</t>
  </si>
  <si>
    <t xml:space="preserve">120246424579180341</t>
  </si>
  <si>
    <t xml:space="preserve">951539747633106</t>
  </si>
  <si>
    <t xml:space="preserve">120244047831020341</t>
  </si>
  <si>
    <t xml:space="preserve">1799581584055865</t>
  </si>
  <si>
    <t xml:space="preserve">120254362386350341</t>
  </si>
  <si>
    <t xml:space="preserve">2. 20260923_DoctorExplained_V1</t>
  </si>
  <si>
    <t xml:space="preserve">2206556290293665</t>
  </si>
  <si>
    <t xml:space="preserve">120244047830980341</t>
  </si>
  <si>
    <t xml:space="preserve">48. March 8 USA 19-21</t>
  </si>
  <si>
    <t xml:space="preserve">914401608230026</t>
  </si>
  <si>
    <t xml:space="preserve">120245594344430341</t>
  </si>
  <si>
    <t xml:space="preserve">74. March 24 USA 13-15</t>
  </si>
  <si>
    <t xml:space="preserve">1997788537835546</t>
  </si>
  <si>
    <t xml:space="preserve">120249083609290341</t>
  </si>
  <si>
    <t xml:space="preserve">1529338782280345</t>
  </si>
  <si>
    <t xml:space="preserve">120248303810220341</t>
  </si>
  <si>
    <t xml:space="preserve">89. May 21 USA - 10-12</t>
  </si>
  <si>
    <t xml:space="preserve">964542729698024</t>
  </si>
  <si>
    <t xml:space="preserve">120253458734640341</t>
  </si>
  <si>
    <t xml:space="preserve">4.png</t>
  </si>
  <si>
    <t xml:space="preserve">1413278534240623</t>
  </si>
  <si>
    <t xml:space="preserve">120248163163940341</t>
  </si>
  <si>
    <t xml:space="preserve">2837124223325479</t>
  </si>
  <si>
    <t xml:space="preserve">120254397769820341</t>
  </si>
  <si>
    <t xml:space="preserve">8. 20260926_Static_v (8)</t>
  </si>
  <si>
    <t xml:space="preserve">1621639759341307</t>
  </si>
  <si>
    <t xml:space="preserve">120245650660750341</t>
  </si>
  <si>
    <t xml:space="preserve">- Video - Ad - 9</t>
  </si>
  <si>
    <t xml:space="preserve">75. March 24 USA - 7-9</t>
  </si>
  <si>
    <t xml:space="preserve">26579428918319856</t>
  </si>
  <si>
    <t xml:space="preserve">120245593315090341</t>
  </si>
  <si>
    <t xml:space="preserve">70. March 24 USA 1-3</t>
  </si>
  <si>
    <t xml:space="preserve">2026-04-07</t>
  </si>
  <si>
    <t xml:space="preserve">2053650562224571</t>
  </si>
  <si>
    <t xml:space="preserve">120253940561980341</t>
  </si>
  <si>
    <t xml:space="preserve">20. 20260914__V1 (8)</t>
  </si>
  <si>
    <t xml:space="preserve">2308605369874154</t>
  </si>
  <si>
    <t xml:space="preserve">120249083572010341</t>
  </si>
  <si>
    <t xml:space="preserve">1560118168961125</t>
  </si>
  <si>
    <t xml:space="preserve">120254397769850341</t>
  </si>
  <si>
    <t xml:space="preserve">15. 20260926_Static_v (15)</t>
  </si>
  <si>
    <t xml:space="preserve">1622681009255805</t>
  </si>
  <si>
    <t xml:space="preserve">120249083758860341</t>
  </si>
  <si>
    <t xml:space="preserve">1722501732526054</t>
  </si>
  <si>
    <t xml:space="preserve">120249838108910341</t>
  </si>
  <si>
    <t xml:space="preserve">1470174745127623</t>
  </si>
  <si>
    <t xml:space="preserve">120245864050320341</t>
  </si>
  <si>
    <t xml:space="preserve">85. March 28 USA - 19-21</t>
  </si>
  <si>
    <t xml:space="preserve">1275243047484254</t>
  </si>
  <si>
    <t xml:space="preserve">120253458733890341</t>
  </si>
  <si>
    <t xml:space="preserve">2619749638441743</t>
  </si>
  <si>
    <t xml:space="preserve">120253850540880341</t>
  </si>
  <si>
    <t xml:space="preserve">17A. 20260909_LimitedOffer_V1</t>
  </si>
  <si>
    <t xml:space="preserve">2972974166371611</t>
  </si>
  <si>
    <t xml:space="preserve">120248829141480341</t>
  </si>
  <si>
    <t xml:space="preserve">105. May 27 USA 1-3</t>
  </si>
  <si>
    <t xml:space="preserve">1607937640288037</t>
  </si>
  <si>
    <t xml:space="preserve">120244222390190341</t>
  </si>
  <si>
    <t xml:space="preserve">55. March 12 USA - 10-12</t>
  </si>
  <si>
    <t xml:space="preserve">2026-03-11</t>
  </si>
  <si>
    <t xml:space="preserve">1290616326318123</t>
  </si>
  <si>
    <t xml:space="preserve">120243699655590341</t>
  </si>
  <si>
    <t xml:space="preserve">39. Mar 3 USA - 4-6</t>
  </si>
  <si>
    <t xml:space="preserve">963422792696882</t>
  </si>
  <si>
    <t xml:space="preserve">120253850540790341</t>
  </si>
  <si>
    <t xml:space="preserve">3A. 20260905_BoostCellularEnergy_V1</t>
  </si>
  <si>
    <t xml:space="preserve">899457336333892</t>
  </si>
  <si>
    <t xml:space="preserve">120253926673830341</t>
  </si>
  <si>
    <t xml:space="preserve">9B. 20260911_NADorNMN_V1</t>
  </si>
  <si>
    <t xml:space="preserve">1099173425940818</t>
  </si>
  <si>
    <t xml:space="preserve">120244047831070341</t>
  </si>
  <si>
    <t xml:space="preserve">951143664104842</t>
  </si>
  <si>
    <t xml:space="preserve">120253458733980341</t>
  </si>
  <si>
    <t xml:space="preserve">2288804121524569</t>
  </si>
  <si>
    <t xml:space="preserve">120248744324070341</t>
  </si>
  <si>
    <t xml:space="preserve">919361184471157</t>
  </si>
  <si>
    <t xml:space="preserve">120245594344390341</t>
  </si>
  <si>
    <t xml:space="preserve">1297418615789783</t>
  </si>
  <si>
    <t xml:space="preserve">120249083680810341</t>
  </si>
  <si>
    <t xml:space="preserve">1402754781661736</t>
  </si>
  <si>
    <t xml:space="preserve">120251028048330341</t>
  </si>
  <si>
    <t xml:space="preserve">30. June 19 USA 4-6</t>
  </si>
  <si>
    <t xml:space="preserve">984292304593843</t>
  </si>
  <si>
    <t xml:space="preserve">120253848681260341</t>
  </si>
  <si>
    <t xml:space="preserve">7. 20260903_OnSaleNow_V1</t>
  </si>
  <si>
    <t xml:space="preserve">28643148642039911</t>
  </si>
  <si>
    <t xml:space="preserve">120241811707810341</t>
  </si>
  <si>
    <t xml:space="preserve">Awareness - Video - Ad - 3</t>
  </si>
  <si>
    <t xml:space="preserve">Jan 14 USA Awareness</t>
  </si>
  <si>
    <t xml:space="preserve">2026-01-13</t>
  </si>
  <si>
    <t xml:space="preserve">1817298402304297</t>
  </si>
  <si>
    <t xml:space="preserve">120242859011170341</t>
  </si>
  <si>
    <t xml:space="preserve">4. Feb 9 USA 4-6</t>
  </si>
  <si>
    <t xml:space="preserve">663219003514880</t>
  </si>
  <si>
    <t xml:space="preserve">120253940037350341</t>
  </si>
  <si>
    <t xml:space="preserve">12. 20260914_DiscountTonight_V1</t>
  </si>
  <si>
    <t xml:space="preserve">1763795911608387</t>
  </si>
  <si>
    <t xml:space="preserve">120254383319870341</t>
  </si>
  <si>
    <t xml:space="preserve">3. prime-nmn-meta-ad-01</t>
  </si>
  <si>
    <t xml:space="preserve">1816268503028481</t>
  </si>
  <si>
    <t xml:space="preserve">120242297950700341</t>
  </si>
  <si>
    <t xml:space="preserve">4321593854763104</t>
  </si>
  <si>
    <t xml:space="preserve">120253373077150341</t>
  </si>
  <si>
    <t xml:space="preserve">Age Cathing up EXPERIENCE THE ULTIMATE 10-IN-1 NMN FORMULA (5)</t>
  </si>
  <si>
    <t xml:space="preserve">1755927202317162</t>
  </si>
  <si>
    <t xml:space="preserve">120244046902270341</t>
  </si>
  <si>
    <t xml:space="preserve">47. March 8 USA - 7-9</t>
  </si>
  <si>
    <t xml:space="preserve">4539527912935024</t>
  </si>
  <si>
    <t xml:space="preserve">120245955488450341</t>
  </si>
  <si>
    <t xml:space="preserve">857926013981378</t>
  </si>
  <si>
    <t xml:space="preserve">120243390597620341</t>
  </si>
  <si>
    <t xml:space="preserve">23. Feb 23 USA 7-9</t>
  </si>
  <si>
    <t xml:space="preserve">1408476927641907</t>
  </si>
  <si>
    <t xml:space="preserve">120253458733920341</t>
  </si>
  <si>
    <t xml:space="preserve">6(1)</t>
  </si>
  <si>
    <t xml:space="preserve">1036732292569328</t>
  </si>
  <si>
    <t xml:space="preserve">120246424579200341</t>
  </si>
  <si>
    <t xml:space="preserve">2014654392760828</t>
  </si>
  <si>
    <t xml:space="preserve">120253848681230341</t>
  </si>
  <si>
    <t xml:space="preserve">4. 20260902_PriceDropped_V1 (2)</t>
  </si>
  <si>
    <t xml:space="preserve">2234799987310955</t>
  </si>
  <si>
    <t xml:space="preserve">120248935222420341</t>
  </si>
  <si>
    <t xml:space="preserve">1985854712022624</t>
  </si>
  <si>
    <t xml:space="preserve">120243085828130341</t>
  </si>
  <si>
    <t xml:space="preserve">12. Feb 17 USA - 1-3</t>
  </si>
  <si>
    <t xml:space="preserve">1119349213582668</t>
  </si>
  <si>
    <t xml:space="preserve">120249481220120341</t>
  </si>
  <si>
    <t xml:space="preserve">125. June 2 USA 19-21</t>
  </si>
  <si>
    <t xml:space="preserve">930815066654747</t>
  </si>
  <si>
    <t xml:space="preserve">120241811707820341</t>
  </si>
  <si>
    <t xml:space="preserve">Awareness - Video - Ad - 1</t>
  </si>
  <si>
    <t xml:space="preserve">1222209999974560</t>
  </si>
  <si>
    <t xml:space="preserve">120251913285230341</t>
  </si>
  <si>
    <t xml:space="preserve">5. Pixar Style - 21</t>
  </si>
  <si>
    <t xml:space="preserve">1354293556803795</t>
  </si>
  <si>
    <t xml:space="preserve">120252853134170341</t>
  </si>
  <si>
    <t xml:space="preserve">944018618722442</t>
  </si>
  <si>
    <t xml:space="preserve">120254449954170341</t>
  </si>
  <si>
    <t xml:space="preserve">6. 20260921_TheFix_V1</t>
  </si>
  <si>
    <t xml:space="preserve">1037705499293720</t>
  </si>
  <si>
    <t xml:space="preserve">120254004925760341</t>
  </si>
  <si>
    <t xml:space="preserve">101. 20260916_NotGonnaLast_V1</t>
  </si>
  <si>
    <t xml:space="preserve">1385186589931895</t>
  </si>
  <si>
    <t xml:space="preserve">120249839112550341</t>
  </si>
  <si>
    <t xml:space="preserve">1649945279629650</t>
  </si>
  <si>
    <t xml:space="preserve">120242729747380341</t>
  </si>
  <si>
    <t xml:space="preserve">2. Feb 6 USA - 4-6</t>
  </si>
  <si>
    <t xml:space="preserve">1945771610153592</t>
  </si>
  <si>
    <t xml:space="preserve">120253458733860341</t>
  </si>
  <si>
    <t xml:space="preserve">1034966679245347</t>
  </si>
  <si>
    <t xml:space="preserve">120249839036250341</t>
  </si>
  <si>
    <t xml:space="preserve">1034080849276434</t>
  </si>
  <si>
    <t xml:space="preserve">120244223761030341</t>
  </si>
  <si>
    <t xml:space="preserve">56. Mar 12 USA - 19-21</t>
  </si>
  <si>
    <t xml:space="preserve">1756546179063356</t>
  </si>
  <si>
    <t xml:space="preserve">120254004925750341</t>
  </si>
  <si>
    <t xml:space="preserve">99. 20260916_CouponsDoNot_V1</t>
  </si>
  <si>
    <t xml:space="preserve">2448413098900823</t>
  </si>
  <si>
    <t xml:space="preserve">120253235147940341</t>
  </si>
  <si>
    <t xml:space="preserve">34</t>
  </si>
  <si>
    <t xml:space="preserve">2054428075279446</t>
  </si>
  <si>
    <t xml:space="preserve">120249839022530341</t>
  </si>
  <si>
    <t xml:space="preserve">2579190169205964</t>
  </si>
  <si>
    <t xml:space="preserve">120253928915520341</t>
  </si>
  <si>
    <t xml:space="preserve">13B. 20260911_Podcast_V1</t>
  </si>
  <si>
    <t xml:space="preserve">1001034552955772</t>
  </si>
  <si>
    <t xml:space="preserve">120253458734040341</t>
  </si>
  <si>
    <t xml:space="preserve">1.png</t>
  </si>
  <si>
    <t xml:space="preserve">1355204310117875</t>
  </si>
  <si>
    <t xml:space="preserve">120245864050350341</t>
  </si>
  <si>
    <t xml:space="preserve">84. March 28 USA - 16-18</t>
  </si>
  <si>
    <t xml:space="preserve">1460447868339626</t>
  </si>
  <si>
    <t xml:space="preserve">120249839110230341</t>
  </si>
  <si>
    <t xml:space="preserve">826275040326096</t>
  </si>
  <si>
    <t xml:space="preserve">120253235146680341</t>
  </si>
  <si>
    <t xml:space="preserve">3(2)</t>
  </si>
  <si>
    <t xml:space="preserve">2941479662864302</t>
  </si>
  <si>
    <t xml:space="preserve">120254494686020341</t>
  </si>
  <si>
    <t xml:space="preserve">2. 20260924_USGovUsesNMN_V1</t>
  </si>
  <si>
    <t xml:space="preserve">81__Broad_USA_Creative_testing – 16-10-26</t>
  </si>
  <si>
    <t xml:space="preserve">2026-10-15</t>
  </si>
  <si>
    <t xml:space="preserve">1330291402415215</t>
  </si>
  <si>
    <t xml:space="preserve">120251998592250341</t>
  </si>
  <si>
    <t xml:space="preserve">07. 4334 plays - 5.63% eng</t>
  </si>
  <si>
    <t xml:space="preserve">1007617165302598</t>
  </si>
  <si>
    <t xml:space="preserve">120253235162480341</t>
  </si>
  <si>
    <t xml:space="preserve">Untitled design (4)</t>
  </si>
  <si>
    <t xml:space="preserve">2426897214499390</t>
  </si>
  <si>
    <t xml:space="preserve">120252444843610341</t>
  </si>
  <si>
    <t xml:space="preserve">13. Doctor INFO - 6(2)</t>
  </si>
  <si>
    <t xml:space="preserve">1584522180018783</t>
  </si>
  <si>
    <t xml:space="preserve">120245650660740341</t>
  </si>
  <si>
    <t xml:space="preserve">- Video - Ad -10</t>
  </si>
  <si>
    <t xml:space="preserve">2328301560982914</t>
  </si>
  <si>
    <t xml:space="preserve">120248829143270341</t>
  </si>
  <si>
    <t xml:space="preserve">106. May 27 USA 4-6</t>
  </si>
  <si>
    <t xml:space="preserve">1343135311034999</t>
  </si>
  <si>
    <t xml:space="preserve">120253458734620341</t>
  </si>
  <si>
    <t xml:space="preserve">2.png</t>
  </si>
  <si>
    <t xml:space="preserve">1053638897650580</t>
  </si>
  <si>
    <t xml:space="preserve">120248744343380341</t>
  </si>
  <si>
    <t xml:space="preserve">2457283828036925</t>
  </si>
  <si>
    <t xml:space="preserve">120254095847720341</t>
  </si>
  <si>
    <t xml:space="preserve">020_7662853086238625054</t>
  </si>
  <si>
    <t xml:space="preserve">892236507158387</t>
  </si>
  <si>
    <t xml:space="preserve">120242543622660341</t>
  </si>
  <si>
    <t xml:space="preserve">Feb 3 USA 13-15</t>
  </si>
  <si>
    <t xml:space="preserve">1564967608121817</t>
  </si>
  <si>
    <t xml:space="preserve">120249839118510341</t>
  </si>
  <si>
    <t xml:space="preserve">2070915986853523</t>
  </si>
  <si>
    <t xml:space="preserve">120253938888440341</t>
  </si>
  <si>
    <t xml:space="preserve">5. 20260914_NMNVsNAD_V2</t>
  </si>
  <si>
    <t xml:space="preserve">1076858341995697</t>
  </si>
  <si>
    <t xml:space="preserve">120252620418480341</t>
  </si>
  <si>
    <t xml:space="preserve">844181855072309_brand</t>
  </si>
  <si>
    <t xml:space="preserve">1348488626798909</t>
  </si>
  <si>
    <t xml:space="preserve">120253155055690341</t>
  </si>
  <si>
    <t xml:space="preserve">1 (5)</t>
  </si>
  <si>
    <t xml:space="preserve">1361153246105466</t>
  </si>
  <si>
    <t xml:space="preserve">120252853165310341</t>
  </si>
  <si>
    <t xml:space="preserve">4468208693325421</t>
  </si>
  <si>
    <t xml:space="preserve">120253702623750341</t>
  </si>
  <si>
    <t xml:space="preserve">9. 20260902_DadEnergyCrash_V1</t>
  </si>
  <si>
    <t xml:space="preserve">1075747895050380</t>
  </si>
  <si>
    <t xml:space="preserve">120253945429260341</t>
  </si>
  <si>
    <t xml:space="preserve">51A. Woman_pushing_garden_wheelbarrow_202608210057</t>
  </si>
  <si>
    <t xml:space="preserve">66. Broad_USA_Creative Testing – 15-09-26 - Static Only</t>
  </si>
  <si>
    <t xml:space="preserve">1398261811809849</t>
  </si>
  <si>
    <t xml:space="preserve">120253373069340341</t>
  </si>
  <si>
    <t xml:space="preserve">1361933699394687</t>
  </si>
  <si>
    <t xml:space="preserve">120242729747390341</t>
  </si>
  <si>
    <t xml:space="preserve">894262033492145</t>
  </si>
  <si>
    <t xml:space="preserve">120248935175260341</t>
  </si>
  <si>
    <t xml:space="preserve">2086155935579398</t>
  </si>
  <si>
    <t xml:space="preserve">120253155066140341</t>
  </si>
  <si>
    <t xml:space="preserve">1683585912716057</t>
  </si>
  <si>
    <t xml:space="preserve">120246424579340341</t>
  </si>
  <si>
    <t xml:space="preserve">- Video - Ad - 19</t>
  </si>
  <si>
    <t xml:space="preserve">1476206190620150</t>
  </si>
  <si>
    <t xml:space="preserve">120242733176360341</t>
  </si>
  <si>
    <t xml:space="preserve">1224435559205872</t>
  </si>
  <si>
    <t xml:space="preserve">120253373071780341</t>
  </si>
  <si>
    <t xml:space="preserve">4102684229866310</t>
  </si>
  <si>
    <t xml:space="preserve">120248303866190341</t>
  </si>
  <si>
    <t xml:space="preserve">91. May 21 USA - 16-18</t>
  </si>
  <si>
    <t xml:space="preserve">1782015879444138</t>
  </si>
  <si>
    <t xml:space="preserve">120248829137410341</t>
  </si>
  <si>
    <t xml:space="preserve">1525430095804950</t>
  </si>
  <si>
    <t xml:space="preserve">120253235160720341</t>
  </si>
  <si>
    <t xml:space="preserve">ChatGPT Image Aug 8, 2026, 12_00_03 AM</t>
  </si>
  <si>
    <t xml:space="preserve">28232751043027216</t>
  </si>
  <si>
    <t xml:space="preserve">120252672758850341</t>
  </si>
  <si>
    <t xml:space="preserve">1610267100520445_brand</t>
  </si>
  <si>
    <t xml:space="preserve">1696407661579668</t>
  </si>
  <si>
    <t xml:space="preserve">120248935183840341</t>
  </si>
  <si>
    <t xml:space="preserve">1792307732132213</t>
  </si>
  <si>
    <t xml:space="preserve">120254449923220341</t>
  </si>
  <si>
    <t xml:space="preserve">2. 20260921_SideEffects_V1</t>
  </si>
  <si>
    <t xml:space="preserve">4575874462739975</t>
  </si>
  <si>
    <t xml:space="preserve">120254023965500341</t>
  </si>
  <si>
    <t xml:space="preserve">157. 20260918_BloodWorkToProove_V3 – Copy</t>
  </si>
  <si>
    <t xml:space="preserve">1090933343489401</t>
  </si>
  <si>
    <t xml:space="preserve">120253373070400341</t>
  </si>
  <si>
    <t xml:space="preserve">4.1</t>
  </si>
  <si>
    <t xml:space="preserve">1301464611886639</t>
  </si>
  <si>
    <t xml:space="preserve">120253948464890341</t>
  </si>
  <si>
    <t xml:space="preserve">72B. Wooden_end-table_in_sunroom_202608202257</t>
  </si>
  <si>
    <t xml:space="preserve">2485961441892644</t>
  </si>
  <si>
    <t xml:space="preserve">120253458734410341</t>
  </si>
  <si>
    <t xml:space="preserve">12.png</t>
  </si>
  <si>
    <t xml:space="preserve">925038870654449</t>
  </si>
  <si>
    <t xml:space="preserve">120254450039210341</t>
  </si>
  <si>
    <t xml:space="preserve">11. 20260921_Podcast_V1</t>
  </si>
  <si>
    <t xml:space="preserve">1421929810056802</t>
  </si>
  <si>
    <t xml:space="preserve">120248829123500341</t>
  </si>
  <si>
    <t xml:space="preserve">4476309472602840</t>
  </si>
  <si>
    <t xml:space="preserve">120251028289260341</t>
  </si>
  <si>
    <t xml:space="preserve">34. June 19 USA 16-18</t>
  </si>
  <si>
    <t xml:space="preserve">989363417059378</t>
  </si>
  <si>
    <t xml:space="preserve">120246424579220341</t>
  </si>
  <si>
    <t xml:space="preserve">2049327412668062</t>
  </si>
  <si>
    <t xml:space="preserve">120245594344480341</t>
  </si>
  <si>
    <t xml:space="preserve">1673347020364337</t>
  </si>
  <si>
    <t xml:space="preserve">120254005369730341</t>
  </si>
  <si>
    <t xml:space="preserve">125. 20260917_FlashSale_V1</t>
  </si>
  <si>
    <t xml:space="preserve">2275724776539818</t>
  </si>
  <si>
    <t xml:space="preserve">120249083665950341</t>
  </si>
  <si>
    <t xml:space="preserve">1524847942615502</t>
  </si>
  <si>
    <t xml:space="preserve">120249083512860341</t>
  </si>
  <si>
    <t xml:space="preserve">1530077842097280</t>
  </si>
  <si>
    <t xml:space="preserve">120245864050240341</t>
  </si>
  <si>
    <t xml:space="preserve">1668511817704938</t>
  </si>
  <si>
    <t xml:space="preserve">120245650660680341</t>
  </si>
  <si>
    <t xml:space="preserve">1516018236521167</t>
  </si>
  <si>
    <t xml:space="preserve">120251028291520341</t>
  </si>
  <si>
    <t xml:space="preserve">1187969436792241</t>
  </si>
  <si>
    <t xml:space="preserve">120249839033000341</t>
  </si>
  <si>
    <t xml:space="preserve">1025095056767586</t>
  </si>
  <si>
    <t xml:space="preserve">120253155073390341</t>
  </si>
  <si>
    <t xml:space="preserve">6(2)</t>
  </si>
  <si>
    <t xml:space="preserve">1066308279385718</t>
  </si>
  <si>
    <t xml:space="preserve">120253155068020341</t>
  </si>
  <si>
    <t xml:space="preserve">4(3)</t>
  </si>
  <si>
    <t xml:space="preserve">2277419512996138</t>
  </si>
  <si>
    <t xml:space="preserve">120251028120860341</t>
  </si>
  <si>
    <t xml:space="preserve">32. June 19 USA 10-12</t>
  </si>
  <si>
    <t xml:space="preserve">1003755572571599</t>
  </si>
  <si>
    <t xml:space="preserve">120254363135390341</t>
  </si>
  <si>
    <t xml:space="preserve">4. 20260923_Static_V (11)</t>
  </si>
  <si>
    <t xml:space="preserve">2306238813509428</t>
  </si>
  <si>
    <t xml:space="preserve">120244732607560341</t>
  </si>
  <si>
    <t xml:space="preserve">64. March 20 USA 4-6</t>
  </si>
  <si>
    <t xml:space="preserve">1430679318511959</t>
  </si>
  <si>
    <t xml:space="preserve">120253886723150341</t>
  </si>
  <si>
    <t xml:space="preserve">4. 20260909_ShoelaceExplanation_V1</t>
  </si>
  <si>
    <t xml:space="preserve">1413059677423636</t>
  </si>
  <si>
    <t xml:space="preserve">120249839064910341</t>
  </si>
  <si>
    <t xml:space="preserve">1468790868331773</t>
  </si>
  <si>
    <t xml:space="preserve">120254362639440341</t>
  </si>
  <si>
    <t xml:space="preserve">10. 20260923_rejuvenated_V1</t>
  </si>
  <si>
    <t xml:space="preserve">71__Broad_USA_Creative_testing – Copy</t>
  </si>
  <si>
    <t xml:space="preserve">1243700651284297</t>
  </si>
  <si>
    <t xml:space="preserve">120253886723130341</t>
  </si>
  <si>
    <t xml:space="preserve">6. 20260910_GrandmaLooks20_V1</t>
  </si>
  <si>
    <t xml:space="preserve">1049665674495447</t>
  </si>
  <si>
    <t xml:space="preserve">120253926673750341</t>
  </si>
  <si>
    <t xml:space="preserve">8B. 20260911_ExposingNMNScam_V1</t>
  </si>
  <si>
    <t xml:space="preserve">1081424454630753</t>
  </si>
  <si>
    <t xml:space="preserve">120245864033240341</t>
  </si>
  <si>
    <t xml:space="preserve">82. March 28 USA - 10-12</t>
  </si>
  <si>
    <t xml:space="preserve">1934406230584826</t>
  </si>
  <si>
    <t xml:space="preserve">120252672760570341</t>
  </si>
  <si>
    <t xml:space="preserve">27420071210951016_brand</t>
  </si>
  <si>
    <t xml:space="preserve">145. July 23 USA 13-15</t>
  </si>
  <si>
    <t xml:space="preserve">1356341386609225</t>
  </si>
  <si>
    <t xml:space="preserve">120254005369780341</t>
  </si>
  <si>
    <t xml:space="preserve">113. 20260915_Recovery_V1</t>
  </si>
  <si>
    <t xml:space="preserve">1983947612104382</t>
  </si>
  <si>
    <t xml:space="preserve">120249481139670341</t>
  </si>
  <si>
    <t xml:space="preserve">1747589120020663</t>
  </si>
  <si>
    <t xml:space="preserve">120252672766380341</t>
  </si>
  <si>
    <t xml:space="preserve">27550239257948212_brand</t>
  </si>
  <si>
    <t xml:space="preserve">1921574371857531</t>
  </si>
  <si>
    <t xml:space="preserve">120246424579370341</t>
  </si>
  <si>
    <t xml:space="preserve">- Video - Ad - 20</t>
  </si>
  <si>
    <t xml:space="preserve">2004540210136570</t>
  </si>
  <si>
    <t xml:space="preserve">120254494611150341</t>
  </si>
  <si>
    <t xml:space="preserve">8. 20260924_90dayNMNResult_V2</t>
  </si>
  <si>
    <t xml:space="preserve">904810302578468</t>
  </si>
  <si>
    <t xml:space="preserve">120248829123780341</t>
  </si>
  <si>
    <t xml:space="preserve">1824085818553678</t>
  </si>
  <si>
    <t xml:space="preserve">120249493543900341</t>
  </si>
  <si>
    <t xml:space="preserve">1960383772018855</t>
  </si>
  <si>
    <t xml:space="preserve">120246424579310341</t>
  </si>
  <si>
    <t xml:space="preserve">2338441856635676</t>
  </si>
  <si>
    <t xml:space="preserve">120245594344360341</t>
  </si>
  <si>
    <t xml:space="preserve">1658488252264147</t>
  </si>
  <si>
    <t xml:space="preserve">120249481227680341</t>
  </si>
  <si>
    <t xml:space="preserve">1022633217107397</t>
  </si>
  <si>
    <t xml:space="preserve">120242172729230341</t>
  </si>
  <si>
    <t xml:space="preserve">Jan 23 USA Skincare - 1-3</t>
  </si>
  <si>
    <t xml:space="preserve">1788459768488489</t>
  </si>
  <si>
    <t xml:space="preserve">120252444900620341</t>
  </si>
  <si>
    <t xml:space="preserve">13. 47689 plays - 3.6% eng</t>
  </si>
  <si>
    <t xml:space="preserve">1536640074821784</t>
  </si>
  <si>
    <t xml:space="preserve">120253458733830341</t>
  </si>
  <si>
    <t xml:space="preserve">1336493418239547</t>
  </si>
  <si>
    <t xml:space="preserve">120244413721390341</t>
  </si>
  <si>
    <t xml:space="preserve">61. March 16 USA 16-18</t>
  </si>
  <si>
    <t xml:space="preserve">26198980049712857</t>
  </si>
  <si>
    <t xml:space="preserve">120243088393450341</t>
  </si>
  <si>
    <t xml:space="preserve">13. Feb 17 USA - 4-6</t>
  </si>
  <si>
    <t xml:space="preserve">1987729185144468</t>
  </si>
  <si>
    <t xml:space="preserve">120252620382450341</t>
  </si>
  <si>
    <t xml:space="preserve">981617441248108_brand</t>
  </si>
  <si>
    <t xml:space="preserve">1399877088703404</t>
  </si>
  <si>
    <t xml:space="preserve">120253373075360341</t>
  </si>
  <si>
    <t xml:space="preserve">Age Cathing up EXPERIENCE THE ULTIMATE 10-IN-1 NMN FORMULA (1)</t>
  </si>
  <si>
    <t xml:space="preserve">1040890402100263</t>
  </si>
  <si>
    <t xml:space="preserve">120243675089770341</t>
  </si>
  <si>
    <t xml:space="preserve">35. Feb 28 USA - 13-15</t>
  </si>
  <si>
    <t xml:space="preserve">3008585875998498</t>
  </si>
  <si>
    <t xml:space="preserve">120254362866010341</t>
  </si>
  <si>
    <t xml:space="preserve">2. 20260923_Static_V  (3)</t>
  </si>
  <si>
    <t xml:space="preserve">73__Broad_USA_Creative_testing – Copy</t>
  </si>
  <si>
    <t xml:space="preserve">1470914198217860</t>
  </si>
  <si>
    <t xml:space="preserve">120248163154910341</t>
  </si>
  <si>
    <t xml:space="preserve">1616707882777022</t>
  </si>
  <si>
    <t xml:space="preserve">120254449935360341</t>
  </si>
  <si>
    <t xml:space="preserve">5. 20260921_DailyRoutine_V1</t>
  </si>
  <si>
    <t xml:space="preserve">1090652050508691</t>
  </si>
  <si>
    <t xml:space="preserve">120254021605560341</t>
  </si>
  <si>
    <t xml:space="preserve">10. 20260902_DoctorExplainsTMG_V1 – Copy</t>
  </si>
  <si>
    <t xml:space="preserve">120244406032540341</t>
  </si>
  <si>
    <t xml:space="preserve">838296115945622</t>
  </si>
  <si>
    <t xml:space="preserve">120242732644520341</t>
  </si>
  <si>
    <t xml:space="preserve">Feb 6 USA 1-3</t>
  </si>
  <si>
    <t xml:space="preserve">1265369468822706</t>
  </si>
  <si>
    <t xml:space="preserve">120252620493090341</t>
  </si>
  <si>
    <t xml:space="preserve">4(7)</t>
  </si>
  <si>
    <t xml:space="preserve">1036695182626070</t>
  </si>
  <si>
    <t xml:space="preserve">120244223761230341</t>
  </si>
  <si>
    <t xml:space="preserve">1782704422686233</t>
  </si>
  <si>
    <t xml:space="preserve">120254397769800341</t>
  </si>
  <si>
    <t xml:space="preserve">2. 20260926_Static_v (2)</t>
  </si>
  <si>
    <t xml:space="preserve">2249197472322269</t>
  </si>
  <si>
    <t xml:space="preserve">120254095839500341</t>
  </si>
  <si>
    <t xml:space="preserve">009_7670916909059067167</t>
  </si>
  <si>
    <t xml:space="preserve">2170736583509307</t>
  </si>
  <si>
    <t xml:space="preserve">120249493506480341</t>
  </si>
  <si>
    <t xml:space="preserve">984307204523116</t>
  </si>
  <si>
    <t xml:space="preserve">120249493498850341</t>
  </si>
  <si>
    <t xml:space="preserve">2831068757225591</t>
  </si>
  <si>
    <t xml:space="preserve">120254005369700341</t>
  </si>
  <si>
    <t xml:space="preserve">120. 20260917_WifeAgingReverse_V2</t>
  </si>
  <si>
    <t xml:space="preserve">2141174629940968</t>
  </si>
  <si>
    <t xml:space="preserve">120253235144570341</t>
  </si>
  <si>
    <t xml:space="preserve">2(11)</t>
  </si>
  <si>
    <t xml:space="preserve">1856382669018205</t>
  </si>
  <si>
    <t xml:space="preserve">120254022413530341</t>
  </si>
  <si>
    <t xml:space="preserve">147. 20260918_After1month_V1</t>
  </si>
  <si>
    <t xml:space="preserve">991749717260829</t>
  </si>
  <si>
    <t xml:space="preserve">120254022413510341</t>
  </si>
  <si>
    <t xml:space="preserve">145. 20260918_Supersoldier_V1</t>
  </si>
  <si>
    <t xml:space="preserve">2610838902685170</t>
  </si>
  <si>
    <t xml:space="preserve">120253850376670341</t>
  </si>
  <si>
    <t xml:space="preserve">24. 20260903_NMNCalender_V1</t>
  </si>
  <si>
    <t xml:space="preserve">1061927689927214</t>
  </si>
  <si>
    <t xml:space="preserve">120253938888420341</t>
  </si>
  <si>
    <t xml:space="preserve">3. 20260914_ReverseAging_V1</t>
  </si>
  <si>
    <t xml:space="preserve">1083719287640519</t>
  </si>
  <si>
    <t xml:space="preserve">120253235149230341</t>
  </si>
  <si>
    <t xml:space="preserve">36</t>
  </si>
  <si>
    <t xml:space="preserve">1081367417647714</t>
  </si>
  <si>
    <t xml:space="preserve">120253850540960341</t>
  </si>
  <si>
    <t xml:space="preserve">25A. 20260909_IfYouLookLikeThis_V1</t>
  </si>
  <si>
    <t xml:space="preserve">2251697515680932</t>
  </si>
  <si>
    <t xml:space="preserve">120253888409560341</t>
  </si>
  <si>
    <t xml:space="preserve">30. 20260909_SimpleRoutine_V1 (2)</t>
  </si>
  <si>
    <t xml:space="preserve">1429778619039691</t>
  </si>
  <si>
    <t xml:space="preserve">120254095838030341</t>
  </si>
  <si>
    <t xml:space="preserve">007_7656988136089636110</t>
  </si>
  <si>
    <t xml:space="preserve">3. Sep 23 USA 4-6</t>
  </si>
  <si>
    <t xml:space="preserve">4508864282707066</t>
  </si>
  <si>
    <t xml:space="preserve">120254023462700341</t>
  </si>
  <si>
    <t xml:space="preserve">165. 20260918_V (5)</t>
  </si>
  <si>
    <t xml:space="preserve">2269224906955150</t>
  </si>
  <si>
    <t xml:space="preserve">120248935213570341</t>
  </si>
  <si>
    <t xml:space="preserve">1665090991276717</t>
  </si>
  <si>
    <t xml:space="preserve">120252444907470341</t>
  </si>
  <si>
    <t xml:space="preserve">26. 4677 plays - 2.93% eng</t>
  </si>
  <si>
    <t xml:space="preserve">2887207164956470</t>
  </si>
  <si>
    <t xml:space="preserve">120253848681280341</t>
  </si>
  <si>
    <t xml:space="preserve">9. 20260903_OnSaleNow_V3</t>
  </si>
  <si>
    <t xml:space="preserve">1610916960728650</t>
  </si>
  <si>
    <t xml:space="preserve">120252620500280341</t>
  </si>
  <si>
    <t xml:space="preserve">6(7)</t>
  </si>
  <si>
    <t xml:space="preserve">1028557076253862</t>
  </si>
  <si>
    <t xml:space="preserve">120254362521350341</t>
  </si>
  <si>
    <t xml:space="preserve">9. 20260923_Checkout_V1</t>
  </si>
  <si>
    <t xml:space="preserve">70__Broad_USA_Creative_testing</t>
  </si>
  <si>
    <t xml:space="preserve">2177679879792004</t>
  </si>
  <si>
    <t xml:space="preserve">120253155054770341</t>
  </si>
  <si>
    <t xml:space="preserve">1 (3)</t>
  </si>
  <si>
    <t xml:space="preserve">1364053215180972</t>
  </si>
  <si>
    <t xml:space="preserve">120254449939740341</t>
  </si>
  <si>
    <t xml:space="preserve">4. 20260921_Exposed_V1</t>
  </si>
  <si>
    <t xml:space="preserve">1672660780871999</t>
  </si>
  <si>
    <t xml:space="preserve">120245955488460341</t>
  </si>
  <si>
    <t xml:space="preserve">952004807591371</t>
  </si>
  <si>
    <t xml:space="preserve">120254362866000341</t>
  </si>
  <si>
    <t xml:space="preserve">1. 20260923_Static_V  (1)</t>
  </si>
  <si>
    <t xml:space="preserve">2759446894510767</t>
  </si>
  <si>
    <t xml:space="preserve">120254095838720341</t>
  </si>
  <si>
    <t xml:space="preserve">008_7667754582759525646</t>
  </si>
  <si>
    <t xml:space="preserve">2066267810694561</t>
  </si>
  <si>
    <t xml:space="preserve">120253944260040341</t>
  </si>
  <si>
    <t xml:space="preserve">11A. Woman_replacing_cluttered_pill_b…_202608210129</t>
  </si>
  <si>
    <t xml:space="preserve">1071590712421590</t>
  </si>
  <si>
    <t xml:space="preserve">120253848681220341</t>
  </si>
  <si>
    <t xml:space="preserve">3. 20260902_EveryoneAsksMySecret_V1</t>
  </si>
  <si>
    <t xml:space="preserve">27884703761229450</t>
  </si>
  <si>
    <t xml:space="preserve">120253850540940341</t>
  </si>
  <si>
    <t xml:space="preserve">12A. 20260908_TscoreSucks_V1</t>
  </si>
  <si>
    <t xml:space="preserve">1597890655119687</t>
  </si>
  <si>
    <t xml:space="preserve">120253938888460341</t>
  </si>
  <si>
    <t xml:space="preserve">7. 20260914_CardWontDecline_V1</t>
  </si>
  <si>
    <t xml:space="preserve">1657061976213822</t>
  </si>
  <si>
    <t xml:space="preserve">120253929165060341</t>
  </si>
  <si>
    <t xml:space="preserve">27B. 20260911_Productshot_V1</t>
  </si>
  <si>
    <t xml:space="preserve">2103411200262481</t>
  </si>
  <si>
    <t xml:space="preserve">120251028111250341</t>
  </si>
  <si>
    <t xml:space="preserve">1717722969383045</t>
  </si>
  <si>
    <t xml:space="preserve">120249083554330341</t>
  </si>
  <si>
    <t xml:space="preserve">1320851449969261</t>
  </si>
  <si>
    <t xml:space="preserve">120254397769930341</t>
  </si>
  <si>
    <t xml:space="preserve">9. 20260926_Static_v (9)</t>
  </si>
  <si>
    <t xml:space="preserve">1139746995186424</t>
  </si>
  <si>
    <t xml:space="preserve">120253888409430341</t>
  </si>
  <si>
    <t xml:space="preserve">25. 20260909_6TimesthePromise_V1 (2)</t>
  </si>
  <si>
    <t xml:space="preserve">923828470799852</t>
  </si>
  <si>
    <t xml:space="preserve">120249083727700341</t>
  </si>
  <si>
    <t xml:space="preserve">1440150951474579</t>
  </si>
  <si>
    <t xml:space="preserve">120254004925830341</t>
  </si>
  <si>
    <t xml:space="preserve">96. 20260916_SideEffect_V1</t>
  </si>
  <si>
    <t xml:space="preserve">1811487970007707</t>
  </si>
  <si>
    <t xml:space="preserve">120252444828880341</t>
  </si>
  <si>
    <t xml:space="preserve">10. Kumar Edit - 2</t>
  </si>
  <si>
    <t xml:space="preserve">1499018608216270</t>
  </si>
  <si>
    <t xml:space="preserve">120252672750130341</t>
  </si>
  <si>
    <t xml:space="preserve">1298241072298303_brand</t>
  </si>
  <si>
    <t xml:space="preserve">907991075066255</t>
  </si>
  <si>
    <t xml:space="preserve">120253888409490341</t>
  </si>
  <si>
    <t xml:space="preserve">37. 20260910_uNeverHadBotox_V2</t>
  </si>
  <si>
    <t xml:space="preserve">3283916751816316</t>
  </si>
  <si>
    <t xml:space="preserve">120253703126960341</t>
  </si>
  <si>
    <t xml:space="preserve">4. 20260902_StopBuyingRandomAntiAging_V1</t>
  </si>
  <si>
    <t xml:space="preserve">1072418682191632</t>
  </si>
  <si>
    <t xml:space="preserve">120253849728240341</t>
  </si>
  <si>
    <t xml:space="preserve">12. 20260905_FixedSkinForever_V1</t>
  </si>
  <si>
    <t xml:space="preserve">979997835111979</t>
  </si>
  <si>
    <t xml:space="preserve">120252853135120341</t>
  </si>
  <si>
    <t xml:space="preserve">1370377711105366</t>
  </si>
  <si>
    <t xml:space="preserve">120254005369740341</t>
  </si>
  <si>
    <t xml:space="preserve">108. 20260915_NMNSCAM_V1</t>
  </si>
  <si>
    <t xml:space="preserve">1049489001243040</t>
  </si>
  <si>
    <t xml:space="preserve">120249493493380341</t>
  </si>
  <si>
    <t xml:space="preserve">1459969339215025</t>
  </si>
  <si>
    <t xml:space="preserve">120241718519690341</t>
  </si>
  <si>
    <t xml:space="preserve">Dec 24 USA Skincare - 1-3</t>
  </si>
  <si>
    <t xml:space="preserve">2026-01-10</t>
  </si>
  <si>
    <t xml:space="preserve">1998837627351261</t>
  </si>
  <si>
    <t xml:space="preserve">120245863593350341</t>
  </si>
  <si>
    <t xml:space="preserve">26446325761692890</t>
  </si>
  <si>
    <t xml:space="preserve">120253926673790341</t>
  </si>
  <si>
    <t xml:space="preserve">5B. 20260911_EverydayIntakeChanges_V2</t>
  </si>
  <si>
    <t xml:space="preserve">1699736444418655</t>
  </si>
  <si>
    <t xml:space="preserve">120254021124570341</t>
  </si>
  <si>
    <t xml:space="preserve">116. 20260917_AdmittedonLiveTV_V1 – Copy</t>
  </si>
  <si>
    <t xml:space="preserve">1.. Broad_USA_Creative Testing</t>
  </si>
  <si>
    <t xml:space="preserve">1894579914846449</t>
  </si>
  <si>
    <t xml:space="preserve">120253888409420341</t>
  </si>
  <si>
    <t xml:space="preserve">23. 20260908_MisunderstoodNMN_V1 (2)</t>
  </si>
  <si>
    <t xml:space="preserve">1933706427743884</t>
  </si>
  <si>
    <t xml:space="preserve">120254006863560341</t>
  </si>
  <si>
    <t xml:space="preserve">130. 20260919_3face_v1</t>
  </si>
  <si>
    <t xml:space="preserve">1318322593582120</t>
  </si>
  <si>
    <t xml:space="preserve">120253850540840341</t>
  </si>
  <si>
    <t xml:space="preserve">13A. 20260908_UndertheRecovery_V1</t>
  </si>
  <si>
    <t xml:space="preserve">4560748167575066</t>
  </si>
  <si>
    <t xml:space="preserve">120254363135380341</t>
  </si>
  <si>
    <t xml:space="preserve">5. 20260923_Static_V (12)</t>
  </si>
  <si>
    <t xml:space="preserve">4440886592793083</t>
  </si>
  <si>
    <t xml:space="preserve">120245863491600341</t>
  </si>
  <si>
    <t xml:space="preserve">1970079010280244</t>
  </si>
  <si>
    <t xml:space="preserve">120249481164090341</t>
  </si>
  <si>
    <t xml:space="preserve">1699914161046514</t>
  </si>
  <si>
    <t xml:space="preserve">120248829157410341</t>
  </si>
  <si>
    <t xml:space="preserve">26773481615656947</t>
  </si>
  <si>
    <t xml:space="preserve">120253703127030341</t>
  </si>
  <si>
    <t xml:space="preserve">1. 20260902_PharmacistNADScam_V1 – Copy 2</t>
  </si>
  <si>
    <t xml:space="preserve">1759721951812417</t>
  </si>
  <si>
    <t xml:space="preserve">120249839075060341</t>
  </si>
  <si>
    <t xml:space="preserve">2444169526031929</t>
  </si>
  <si>
    <t xml:space="preserve">120252672755750341</t>
  </si>
  <si>
    <t xml:space="preserve">4475358249416738_brand</t>
  </si>
  <si>
    <t xml:space="preserve">2251099989047580</t>
  </si>
  <si>
    <t xml:space="preserve">120254006863570341</t>
  </si>
  <si>
    <t xml:space="preserve">132. 20260919_Summer_v1</t>
  </si>
  <si>
    <t xml:space="preserve">4362629120734491</t>
  </si>
  <si>
    <t xml:space="preserve">120252692802850341</t>
  </si>
  <si>
    <t xml:space="preserve">7657077117221440782.final</t>
  </si>
  <si>
    <t xml:space="preserve">1701597371056037</t>
  </si>
  <si>
    <t xml:space="preserve">120254004925790341</t>
  </si>
  <si>
    <t xml:space="preserve">107. 20260915_WhywasNMNBanned_V1</t>
  </si>
  <si>
    <t xml:space="preserve">1417651813885320</t>
  </si>
  <si>
    <t xml:space="preserve">120253235145830341</t>
  </si>
  <si>
    <t xml:space="preserve">2(12)</t>
  </si>
  <si>
    <t xml:space="preserve">4353174388277852</t>
  </si>
  <si>
    <t xml:space="preserve">120252444817160341</t>
  </si>
  <si>
    <t xml:space="preserve">10. Kumar Edit - 1</t>
  </si>
  <si>
    <t xml:space="preserve">1348054536746439</t>
  </si>
  <si>
    <t xml:space="preserve">120253155067250341</t>
  </si>
  <si>
    <t xml:space="preserve">2230709224164111</t>
  </si>
  <si>
    <t xml:space="preserve">120254095847170341</t>
  </si>
  <si>
    <t xml:space="preserve">019_7669216874537782542</t>
  </si>
  <si>
    <t xml:space="preserve">2841399949561678</t>
  </si>
  <si>
    <t xml:space="preserve">120253155072060341</t>
  </si>
  <si>
    <t xml:space="preserve">5(2)</t>
  </si>
  <si>
    <t xml:space="preserve">4103175409815212</t>
  </si>
  <si>
    <t xml:space="preserve">120245594344340341</t>
  </si>
  <si>
    <t xml:space="preserve">1668236214361291</t>
  </si>
  <si>
    <t xml:space="preserve">120254095842490341</t>
  </si>
  <si>
    <t xml:space="preserve">014_7667003737294048525</t>
  </si>
  <si>
    <t xml:space="preserve">6. Sep 23 USA 13-15</t>
  </si>
  <si>
    <t xml:space="preserve">937823505581008</t>
  </si>
  <si>
    <t xml:space="preserve">120249083504510341</t>
  </si>
  <si>
    <t xml:space="preserve">1232453662140757</t>
  </si>
  <si>
    <t xml:space="preserve">120241678466050341</t>
  </si>
  <si>
    <t xml:space="preserve">Skincare - Video - Ad - 2</t>
  </si>
  <si>
    <t xml:space="preserve">Dec 5  USA  Skincare - 1-3</t>
  </si>
  <si>
    <t xml:space="preserve">2026-01-09</t>
  </si>
  <si>
    <t xml:space="preserve">3917031615099552</t>
  </si>
  <si>
    <t xml:space="preserve">120254095841530341</t>
  </si>
  <si>
    <t xml:space="preserve">012_7661339503755300110</t>
  </si>
  <si>
    <t xml:space="preserve">1763544268291431</t>
  </si>
  <si>
    <t xml:space="preserve">120242167627780341</t>
  </si>
  <si>
    <t xml:space="preserve">Jan 23 USA Awareness - 1-3</t>
  </si>
  <si>
    <t xml:space="preserve">26643894205210773</t>
  </si>
  <si>
    <t xml:space="preserve">120253940561970341</t>
  </si>
  <si>
    <t xml:space="preserve">19. 20260914__V1 (7)</t>
  </si>
  <si>
    <t xml:space="preserve">4301809353463292</t>
  </si>
  <si>
    <t xml:space="preserve">120249493546220341</t>
  </si>
  <si>
    <t xml:space="preserve">1450566443510727</t>
  </si>
  <si>
    <t xml:space="preserve">120241946306090341</t>
  </si>
  <si>
    <t xml:space="preserve">Jan 17 USA Anti Ageing - 1-3</t>
  </si>
  <si>
    <t xml:space="preserve">1947295502876155</t>
  </si>
  <si>
    <t xml:space="preserve">120253235143420341</t>
  </si>
  <si>
    <t xml:space="preserve">1(11)</t>
  </si>
  <si>
    <t xml:space="preserve">1933482497343550</t>
  </si>
  <si>
    <t xml:space="preserve">120245124159580341</t>
  </si>
  <si>
    <t xml:space="preserve">6. Bid cap</t>
  </si>
  <si>
    <t xml:space="preserve">1. March 30 USA</t>
  </si>
  <si>
    <t xml:space="preserve">2026-03-30</t>
  </si>
  <si>
    <t xml:space="preserve">1572399630655837</t>
  </si>
  <si>
    <t xml:space="preserve">120244411919680341</t>
  </si>
  <si>
    <t xml:space="preserve">63. March 16 USA - 13-15</t>
  </si>
  <si>
    <t xml:space="preserve">949031431637890</t>
  </si>
  <si>
    <t xml:space="preserve">120253888409530341</t>
  </si>
  <si>
    <t xml:space="preserve">24. 20260908_OneCapsuleRitual_V1 (2)</t>
  </si>
  <si>
    <t xml:space="preserve">2582479822173651</t>
  </si>
  <si>
    <t xml:space="preserve">120254021570000341</t>
  </si>
  <si>
    <t xml:space="preserve">5. 20260902_PodcastExplainer_V1 – Copy</t>
  </si>
  <si>
    <t xml:space="preserve">120245955044940341</t>
  </si>
  <si>
    <t xml:space="preserve">3042888499235774</t>
  </si>
  <si>
    <t xml:space="preserve">120242383846410341</t>
  </si>
  <si>
    <t xml:space="preserve">Jan 29 USA Human 19-21</t>
  </si>
  <si>
    <t xml:space="preserve">887326510371959</t>
  </si>
  <si>
    <t xml:space="preserve">120253850352230341</t>
  </si>
  <si>
    <t xml:space="preserve">23. 20260903_NMN+Reverstrol_V1</t>
  </si>
  <si>
    <t xml:space="preserve">2065503527484746</t>
  </si>
  <si>
    <t xml:space="preserve">120248935218260341</t>
  </si>
  <si>
    <t xml:space="preserve">997453826162893</t>
  </si>
  <si>
    <t xml:space="preserve">120253155067120341</t>
  </si>
  <si>
    <t xml:space="preserve">1771395500517981</t>
  </si>
  <si>
    <t xml:space="preserve">120251028128610341</t>
  </si>
  <si>
    <t xml:space="preserve">- Image - Ad - 1</t>
  </si>
  <si>
    <t xml:space="preserve">1277576950839820</t>
  </si>
  <si>
    <t xml:space="preserve">120254397769790341</t>
  </si>
  <si>
    <t xml:space="preserve">14. 20260926_NMNBundle_V1</t>
  </si>
  <si>
    <t xml:space="preserve">1472475414698678</t>
  </si>
  <si>
    <t xml:space="preserve">120253458734010341</t>
  </si>
  <si>
    <t xml:space="preserve">10.png</t>
  </si>
  <si>
    <t xml:space="preserve">1083052967516161</t>
  </si>
  <si>
    <t xml:space="preserve">120254449975170341</t>
  </si>
  <si>
    <t xml:space="preserve">7. 20260921_Exposed_V2</t>
  </si>
  <si>
    <t xml:space="preserve">1455185936503995</t>
  </si>
  <si>
    <t xml:space="preserve">120254383442570341</t>
  </si>
  <si>
    <t xml:space="preserve">9. 20260925_BryanJohnsonSuggestion_V1</t>
  </si>
  <si>
    <t xml:space="preserve">2397733427701883</t>
  </si>
  <si>
    <t xml:space="preserve">120252620474780341</t>
  </si>
  <si>
    <t xml:space="preserve">1(5)</t>
  </si>
  <si>
    <t xml:space="preserve">1010188331645179</t>
  </si>
  <si>
    <t xml:space="preserve">120245907056760341</t>
  </si>
  <si>
    <t xml:space="preserve">2177589806408027</t>
  </si>
  <si>
    <t xml:space="preserve">120253944260150341</t>
  </si>
  <si>
    <t xml:space="preserve">12A. Woman_preparing_salad_in_kitchen_202608210121</t>
  </si>
  <si>
    <t xml:space="preserve">2136869027042107</t>
  </si>
  <si>
    <t xml:space="preserve">120253888409400341</t>
  </si>
  <si>
    <t xml:space="preserve">19. 20260905_ParentsAge_V12 (2)</t>
  </si>
  <si>
    <t xml:space="preserve">1495176705973841</t>
  </si>
  <si>
    <t xml:space="preserve">120251028009530341</t>
  </si>
  <si>
    <t xml:space="preserve">955417114167488</t>
  </si>
  <si>
    <t xml:space="preserve">120245594344470341</t>
  </si>
  <si>
    <t xml:space="preserve">26010172398660364</t>
  </si>
  <si>
    <t xml:space="preserve">120254021569940341</t>
  </si>
  <si>
    <t xml:space="preserve">1. 20260902_GaveWhatToOurSpecialForces_V1 – Copy</t>
  </si>
  <si>
    <t xml:space="preserve">120254004739430341</t>
  </si>
  <si>
    <t xml:space="preserve">84. 20260916_Statics_v1 (8)</t>
  </si>
  <si>
    <t xml:space="preserve">1077162118512665</t>
  </si>
  <si>
    <t xml:space="preserve">120252672762620341</t>
  </si>
  <si>
    <t xml:space="preserve">1279231165266375_brand</t>
  </si>
  <si>
    <t xml:space="preserve">1953361768613570</t>
  </si>
  <si>
    <t xml:space="preserve">120249481098210341</t>
  </si>
  <si>
    <t xml:space="preserve">1017858157339827</t>
  </si>
  <si>
    <t xml:space="preserve">120249839027960341</t>
  </si>
  <si>
    <t xml:space="preserve">2076050526356995</t>
  </si>
  <si>
    <t xml:space="preserve">120252620387850341</t>
  </si>
  <si>
    <t xml:space="preserve">851592524178088_brand</t>
  </si>
  <si>
    <t xml:space="preserve">2204849823640534</t>
  </si>
  <si>
    <t xml:space="preserve">120253850540850341</t>
  </si>
  <si>
    <t xml:space="preserve">14A. 20260908_UndertheRecovery_V2</t>
  </si>
  <si>
    <t xml:space="preserve">1861317998188566</t>
  </si>
  <si>
    <t xml:space="preserve">120248829147790341</t>
  </si>
  <si>
    <t xml:space="preserve">826804330188140</t>
  </si>
  <si>
    <t xml:space="preserve">120253155053550341</t>
  </si>
  <si>
    <t xml:space="preserve">1 (2)</t>
  </si>
  <si>
    <t xml:space="preserve">1061188869656605</t>
  </si>
  <si>
    <t xml:space="preserve">120249839078390341</t>
  </si>
  <si>
    <t xml:space="preserve">1308714980811274</t>
  </si>
  <si>
    <t xml:space="preserve">120253944260160341</t>
  </si>
  <si>
    <t xml:space="preserve">14A. Supplement_product_marketing_com…_202608210121</t>
  </si>
  <si>
    <t xml:space="preserve">2290853031702226</t>
  </si>
  <si>
    <t xml:space="preserve">120253703124930341</t>
  </si>
  <si>
    <t xml:space="preserve">2. 20260902_NMNvsNADResearcher_V1</t>
  </si>
  <si>
    <t xml:space="preserve">2934172960265751</t>
  </si>
  <si>
    <t xml:space="preserve">120245594344440341</t>
  </si>
  <si>
    <t xml:space="preserve">1482844983229307</t>
  </si>
  <si>
    <t xml:space="preserve">120253944260120341</t>
  </si>
  <si>
    <t xml:space="preserve">7A. Comparing_NMN_product_quality_fe…_202608210130</t>
  </si>
  <si>
    <t xml:space="preserve">27916134594732702</t>
  </si>
  <si>
    <t xml:space="preserve">120253850303290341</t>
  </si>
  <si>
    <t xml:space="preserve">20. 20260903_MadebyCardiologist_V1</t>
  </si>
  <si>
    <t xml:space="preserve">1066081473081755</t>
  </si>
  <si>
    <t xml:space="preserve">120249493545340341</t>
  </si>
  <si>
    <t xml:space="preserve">2227131251444494</t>
  </si>
  <si>
    <t xml:space="preserve">120254006863460341</t>
  </si>
  <si>
    <t xml:space="preserve">131. 20260919_Solo_v1</t>
  </si>
  <si>
    <t xml:space="preserve">1743795960208989</t>
  </si>
  <si>
    <t xml:space="preserve">120245594344400341</t>
  </si>
  <si>
    <t xml:space="preserve">969805672168765</t>
  </si>
  <si>
    <t xml:space="preserve">120242729772020341</t>
  </si>
  <si>
    <t xml:space="preserve">Feb 6 USA - 13-15</t>
  </si>
  <si>
    <t xml:space="preserve">1499116995477606</t>
  </si>
  <si>
    <t xml:space="preserve">120254006863580341</t>
  </si>
  <si>
    <t xml:space="preserve">134. 20260918_Static_V1 (2)</t>
  </si>
  <si>
    <t xml:space="preserve">1789799982222505</t>
  </si>
  <si>
    <t xml:space="preserve">120253928946120341</t>
  </si>
  <si>
    <t xml:space="preserve">16B. 20260911_AlreadyDoing_V1</t>
  </si>
  <si>
    <t xml:space="preserve">1718687652573765</t>
  </si>
  <si>
    <t xml:space="preserve">120254397769660341</t>
  </si>
  <si>
    <t xml:space="preserve">7. 20260926_FDA_V1</t>
  </si>
  <si>
    <t xml:space="preserve">1087605140678455</t>
  </si>
  <si>
    <t xml:space="preserve">120254362457990341</t>
  </si>
  <si>
    <t xml:space="preserve">5. 20260923_NADBooster_V1</t>
  </si>
  <si>
    <t xml:space="preserve">2183426195854046</t>
  </si>
  <si>
    <t xml:space="preserve">120251028299140341</t>
  </si>
  <si>
    <t xml:space="preserve">35. June 19 USA 19-21</t>
  </si>
  <si>
    <t xml:space="preserve">1357496546588068</t>
  </si>
  <si>
    <t xml:space="preserve">120254095844180341</t>
  </si>
  <si>
    <t xml:space="preserve">016_7649257700315925790</t>
  </si>
  <si>
    <t xml:space="preserve">7. Sep 23 USA 16-18</t>
  </si>
  <si>
    <t xml:space="preserve">1101788939214322</t>
  </si>
  <si>
    <t xml:space="preserve">120242383846360341</t>
  </si>
  <si>
    <t xml:space="preserve">Jan 29 USA Human 4-6</t>
  </si>
  <si>
    <t xml:space="preserve">1974493170082671</t>
  </si>
  <si>
    <t xml:space="preserve">120254004739500341</t>
  </si>
  <si>
    <t xml:space="preserve">77. 20260916_Statics_v1 (4) (1) – Copy</t>
  </si>
  <si>
    <t xml:space="preserve">1056758553649133</t>
  </si>
  <si>
    <t xml:space="preserve">120254095834610341</t>
  </si>
  <si>
    <t xml:space="preserve">002_7658847966169484558</t>
  </si>
  <si>
    <t xml:space="preserve">1071409075948213</t>
  </si>
  <si>
    <t xml:space="preserve">120252444907880341</t>
  </si>
  <si>
    <t xml:space="preserve">28. 3120 plays - 2.92% eng</t>
  </si>
  <si>
    <t xml:space="preserve">1056170363556763</t>
  </si>
  <si>
    <t xml:space="preserve">120254450017760341</t>
  </si>
  <si>
    <t xml:space="preserve">8. 20260921_BestDuo_V1</t>
  </si>
  <si>
    <t xml:space="preserve">1894963751748907</t>
  </si>
  <si>
    <t xml:space="preserve">120253940562010341</t>
  </si>
  <si>
    <t xml:space="preserve">23. 20260914__V1 (12)</t>
  </si>
  <si>
    <t xml:space="preserve">2139923453255192</t>
  </si>
  <si>
    <t xml:space="preserve">120250188034210341</t>
  </si>
  <si>
    <t xml:space="preserve">22. June 10 USA 1-3</t>
  </si>
  <si>
    <t xml:space="preserve">1498851851241051</t>
  </si>
  <si>
    <t xml:space="preserve">120250188030130341</t>
  </si>
  <si>
    <t xml:space="preserve">2561546677597976</t>
  </si>
  <si>
    <t xml:space="preserve">120254004925810341</t>
  </si>
  <si>
    <t xml:space="preserve">94. 20260915_WhyTakeNMN_V1</t>
  </si>
  <si>
    <t xml:space="preserve">2366255530856519</t>
  </si>
  <si>
    <t xml:space="preserve">120251028040130341</t>
  </si>
  <si>
    <t xml:space="preserve">1679837096636344</t>
  </si>
  <si>
    <t xml:space="preserve">120253938888470341</t>
  </si>
  <si>
    <t xml:space="preserve">8. 20260914_NMNSCAM_V1</t>
  </si>
  <si>
    <t xml:space="preserve">972299529226205</t>
  </si>
  <si>
    <t xml:space="preserve">120252672765370341</t>
  </si>
  <si>
    <t xml:space="preserve">27209757431996330_brand</t>
  </si>
  <si>
    <t xml:space="preserve">1300886312123563</t>
  </si>
  <si>
    <t xml:space="preserve">120253938888520341</t>
  </si>
  <si>
    <t xml:space="preserve">9. 20260914_DoctorAdvice_V2</t>
  </si>
  <si>
    <t xml:space="preserve">1788991275456388</t>
  </si>
  <si>
    <t xml:space="preserve">120253929165140341</t>
  </si>
  <si>
    <t xml:space="preserve">22B. 20260911_DontBuy_V1</t>
  </si>
  <si>
    <t xml:space="preserve">1455428876507864</t>
  </si>
  <si>
    <t xml:space="preserve">120253850057390341</t>
  </si>
  <si>
    <t xml:space="preserve">13. 20260903_DocAdvise_V1</t>
  </si>
  <si>
    <t xml:space="preserve">1779179616456060</t>
  </si>
  <si>
    <t xml:space="preserve">120248829173570341</t>
  </si>
  <si>
    <t xml:space="preserve">1788343652573275</t>
  </si>
  <si>
    <t xml:space="preserve">120254383442750341</t>
  </si>
  <si>
    <t xml:space="preserve">14. prime-nmn-meta-ad-14</t>
  </si>
  <si>
    <t xml:space="preserve">29107526232267925</t>
  </si>
  <si>
    <t xml:space="preserve">120250188024170341</t>
  </si>
  <si>
    <t xml:space="preserve">930043196759326</t>
  </si>
  <si>
    <t xml:space="preserve">120254023462730341</t>
  </si>
  <si>
    <t xml:space="preserve">168. 20260918_V (8)</t>
  </si>
  <si>
    <t xml:space="preserve">2986182321739751</t>
  </si>
  <si>
    <t xml:space="preserve">120243384740640341</t>
  </si>
  <si>
    <t xml:space="preserve">28. Feb 23 USA - 16-18</t>
  </si>
  <si>
    <t xml:space="preserve">1940124567381597</t>
  </si>
  <si>
    <t xml:space="preserve">120254095852730341</t>
  </si>
  <si>
    <t xml:space="preserve">029_7683668878148259102</t>
  </si>
  <si>
    <t xml:space="preserve">1663793435170869</t>
  </si>
  <si>
    <t xml:space="preserve">120248829163120341</t>
  </si>
  <si>
    <t xml:space="preserve">1258497499442321</t>
  </si>
  <si>
    <t xml:space="preserve">120254397769840341</t>
  </si>
  <si>
    <t xml:space="preserve">13. 20260926_Static_v (13)</t>
  </si>
  <si>
    <t xml:space="preserve">28602279836066176</t>
  </si>
  <si>
    <t xml:space="preserve">120250188019050341</t>
  </si>
  <si>
    <t xml:space="preserve">979106761773357</t>
  </si>
  <si>
    <t xml:space="preserve">120254021605550341</t>
  </si>
  <si>
    <t xml:space="preserve">3. 20260902_ReadReviewsBeforeBuying_V1 – Copy</t>
  </si>
  <si>
    <t xml:space="preserve">120254362639450341</t>
  </si>
  <si>
    <t xml:space="preserve">11. 20260923_Teacher_V1</t>
  </si>
  <si>
    <t xml:space="preserve">1408449638101744</t>
  </si>
  <si>
    <t xml:space="preserve">120254006434110341</t>
  </si>
  <si>
    <t xml:space="preserve">127. 20260919_Byebye_v1</t>
  </si>
  <si>
    <t xml:space="preserve">28556907033968279</t>
  </si>
  <si>
    <t xml:space="preserve">120243675089870341</t>
  </si>
  <si>
    <t xml:space="preserve">37. Feb 28 USA - 19-21</t>
  </si>
  <si>
    <t xml:space="preserve">1929178451298060</t>
  </si>
  <si>
    <t xml:space="preserve">120249838117900341</t>
  </si>
  <si>
    <t xml:space="preserve">2031700451057419</t>
  </si>
  <si>
    <t xml:space="preserve">120248935219410341</t>
  </si>
  <si>
    <t xml:space="preserve">2884867215184915</t>
  </si>
  <si>
    <t xml:space="preserve">120253155055400341</t>
  </si>
  <si>
    <t xml:space="preserve">1 (4)</t>
  </si>
  <si>
    <t xml:space="preserve">1380800614006239</t>
  </si>
  <si>
    <t xml:space="preserve">120253852708540341</t>
  </si>
  <si>
    <t xml:space="preserve">31A. 20260909_TFixInsulineProlem_V1</t>
  </si>
  <si>
    <t xml:space="preserve">1789688975792964</t>
  </si>
  <si>
    <t xml:space="preserve">120253926673780341</t>
  </si>
  <si>
    <t xml:space="preserve">6B. 20260911_AfterResults_V2</t>
  </si>
  <si>
    <t xml:space="preserve">2918474965188357</t>
  </si>
  <si>
    <t xml:space="preserve">120254095836660341</t>
  </si>
  <si>
    <t xml:space="preserve">005_7663907671895985422</t>
  </si>
  <si>
    <t xml:space="preserve">1092903093293298</t>
  </si>
  <si>
    <t xml:space="preserve">120253850394840341</t>
  </si>
  <si>
    <t xml:space="preserve">25. 20260903_Precursor_V1</t>
  </si>
  <si>
    <t xml:space="preserve">1098524489327139</t>
  </si>
  <si>
    <t xml:space="preserve">120252759235070341</t>
  </si>
  <si>
    <t xml:space="preserve">880723007653880_brand</t>
  </si>
  <si>
    <t xml:space="preserve">1677585387480673</t>
  </si>
  <si>
    <t xml:space="preserve">120253888409390341</t>
  </si>
  <si>
    <t xml:space="preserve">38. 20260910_Warehouse_V1</t>
  </si>
  <si>
    <t xml:space="preserve">1076367541431498</t>
  </si>
  <si>
    <t xml:space="preserve">120254004739470341</t>
  </si>
  <si>
    <t xml:space="preserve">89. 20260916_Statics_v1 (13)</t>
  </si>
  <si>
    <t xml:space="preserve">2085840265382173</t>
  </si>
  <si>
    <t xml:space="preserve">120252853135710341</t>
  </si>
  <si>
    <t xml:space="preserve">1792021278615138</t>
  </si>
  <si>
    <t xml:space="preserve">120254383442660341</t>
  </si>
  <si>
    <t xml:space="preserve">4. 20260925_DontWasteMoney_V1</t>
  </si>
  <si>
    <t xml:space="preserve">1774482550810725</t>
  </si>
  <si>
    <t xml:space="preserve">120253940562060341</t>
  </si>
  <si>
    <t xml:space="preserve">17. 20260914__V1 (5)</t>
  </si>
  <si>
    <t xml:space="preserve">1537672334782273</t>
  </si>
  <si>
    <t xml:space="preserve">120254021651380341</t>
  </si>
  <si>
    <t xml:space="preserve">5. 20260914_NMNVsNAD_V2 – Copy 2</t>
  </si>
  <si>
    <t xml:space="preserve">120249493550640341</t>
  </si>
  <si>
    <t xml:space="preserve">1525628775677566</t>
  </si>
  <si>
    <t xml:space="preserve">120254004847790341</t>
  </si>
  <si>
    <t xml:space="preserve">92. 20260917_HollywoodUsesNMN_V2</t>
  </si>
  <si>
    <t xml:space="preserve">1756439552169760</t>
  </si>
  <si>
    <t xml:space="preserve">120249481232290341</t>
  </si>
  <si>
    <t xml:space="preserve">27035482576136730</t>
  </si>
  <si>
    <t xml:space="preserve">120252672758230341</t>
  </si>
  <si>
    <t xml:space="preserve">1354127383307719_brand</t>
  </si>
  <si>
    <t xml:space="preserve">1979624149361733</t>
  </si>
  <si>
    <t xml:space="preserve">120254004925890341</t>
  </si>
  <si>
    <t xml:space="preserve">106. 20260917_CoffeeAin_thitting_V1</t>
  </si>
  <si>
    <t xml:space="preserve">1031398213267866</t>
  </si>
  <si>
    <t xml:space="preserve">120253235161830341</t>
  </si>
  <si>
    <t xml:space="preserve">ChatGPT Image Aug 8, 2026, 12_03_25 AM</t>
  </si>
  <si>
    <t xml:space="preserve">28988201730770482</t>
  </si>
  <si>
    <t xml:space="preserve">120253703127020341</t>
  </si>
  <si>
    <t xml:space="preserve">11. 20260902_EnergyDrinkVsNMN_V1</t>
  </si>
  <si>
    <t xml:space="preserve">1841974700545997</t>
  </si>
  <si>
    <t xml:space="preserve">120253373074170341</t>
  </si>
  <si>
    <t xml:space="preserve">75% OFF</t>
  </si>
  <si>
    <t xml:space="preserve">1409451201077705</t>
  </si>
  <si>
    <t xml:space="preserve">Age</t>
  </si>
  <si>
    <t xml:space="preserve">Share of spend</t>
  </si>
  <si>
    <t xml:space="preserve">35-44</t>
  </si>
  <si>
    <t xml:space="preserve">45-54</t>
  </si>
  <si>
    <t xml:space="preserve">55-64</t>
  </si>
  <si>
    <t xml:space="preserve">65+</t>
  </si>
  <si>
    <t xml:space="preserve">Source: Meta Ads age breakdown for the 24 tier A–C ads, 16 Apr–16 Oct 2026. Under-35 (~$5k spend) omitted. Gender split not available (Meta returned partial rows).</t>
  </si>
  <si>
    <t xml:space="preserve">Angle (from ad/file name)</t>
  </si>
  <si>
    <t xml:space="preserve">Active now</t>
  </si>
  <si>
    <t xml:space="preserve">Read</t>
  </si>
  <si>
    <t xml:space="preserve">MilitaryTakesWhat</t>
  </si>
  <si>
    <t xml:space="preserve">IsNADAScam</t>
  </si>
  <si>
    <t xml:space="preserve">SuperHumans</t>
  </si>
  <si>
    <t xml:space="preserve">USGovUsesNMN</t>
  </si>
  <si>
    <t xml:space="preserve">KattExposedHollywood</t>
  </si>
  <si>
    <t xml:space="preserve">DoctorExplainsTMG</t>
  </si>
  <si>
    <t xml:space="preserve">MassiveSale</t>
  </si>
  <si>
    <t xml:space="preserve">MillitarySuperSoldier</t>
  </si>
  <si>
    <t xml:space="preserve">MostFakedNMN</t>
  </si>
  <si>
    <t xml:space="preserve">DontGrab2</t>
  </si>
  <si>
    <t xml:space="preserve">GaveWhatToOurSpecialForces</t>
  </si>
  <si>
    <t xml:space="preserve">NeverMeant</t>
  </si>
  <si>
    <t xml:space="preserve">PodcastExplainer</t>
  </si>
  <si>
    <t xml:space="preserve">DocMDAdvice</t>
  </si>
  <si>
    <t xml:space="preserve">Static</t>
  </si>
  <si>
    <t xml:space="preserve">Only4hrsLeft</t>
  </si>
  <si>
    <t xml:space="preserve">ReadReviewsBeforeBuying</t>
  </si>
  <si>
    <t xml:space="preserve">AdmittedonLiveTV</t>
  </si>
  <si>
    <t xml:space="preserve">AntiAgingOnSteroids</t>
  </si>
  <si>
    <t xml:space="preserve">WarningReaction</t>
  </si>
  <si>
    <t xml:space="preserve">FixAging</t>
  </si>
  <si>
    <t xml:space="preserve">FDA</t>
  </si>
  <si>
    <t xml:space="preserve">EndsSoon</t>
  </si>
  <si>
    <t xml:space="preserve">CaptAmerica</t>
  </si>
  <si>
    <t xml:space="preserve">HerSecret</t>
  </si>
  <si>
    <t xml:space="preserve">BloodWorkToProove</t>
  </si>
  <si>
    <t xml:space="preserve">90dayNMNResult</t>
  </si>
  <si>
    <t xml:space="preserve">Buy3Get3</t>
  </si>
  <si>
    <t xml:space="preserve">DoubleDiscount</t>
  </si>
  <si>
    <t xml:space="preserve">AntiAgingBanned</t>
  </si>
  <si>
    <t xml:space="preserve">IfYouSymptomChecklist</t>
  </si>
  <si>
    <t xml:space="preserve">HiddenInformation</t>
  </si>
  <si>
    <t xml:space="preserve">IDontLook40</t>
  </si>
  <si>
    <t xml:space="preserve">NADvsNMN</t>
  </si>
  <si>
    <t xml:space="preserve">FallEndSale</t>
  </si>
  <si>
    <t xml:space="preserve">JustSaid</t>
  </si>
  <si>
    <t xml:space="preserve">NADPeopleDidnotTellYou</t>
  </si>
  <si>
    <t xml:space="preserve">PriceDropped</t>
  </si>
  <si>
    <t xml:space="preserve">NotPlasticSurgery</t>
  </si>
  <si>
    <t xml:space="preserve">PlasticSurgery</t>
  </si>
  <si>
    <t xml:space="preserve">Exposed</t>
  </si>
  <si>
    <t xml:space="preserve">AfterResults</t>
  </si>
  <si>
    <t xml:space="preserve">ItsNotPlastic</t>
  </si>
  <si>
    <t xml:space="preserve">FakeWarning</t>
  </si>
  <si>
    <t xml:space="preserve">BryanJohnsonSuggestion</t>
  </si>
  <si>
    <t xml:space="preserve">FakeNMNs</t>
  </si>
  <si>
    <t xml:space="preserve">DoesItMatter</t>
  </si>
  <si>
    <t xml:space="preserve">IdoThisEveryDayV</t>
  </si>
  <si>
    <t xml:space="preserve">OnSaleNow</t>
  </si>
  <si>
    <t xml:space="preserve">KimKExplainer</t>
  </si>
  <si>
    <t xml:space="preserve">WeareSorry</t>
  </si>
  <si>
    <t xml:space="preserve">Essentials</t>
  </si>
  <si>
    <t xml:space="preserve">LastDayofCrazyPriceDrop</t>
  </si>
  <si>
    <t xml:space="preserve">GoodbyeAfternoonCrash</t>
  </si>
  <si>
    <t xml:space="preserve">AntiAgingAfter1Month</t>
  </si>
  <si>
    <t xml:space="preserve">WonderingCelebrityLooks</t>
  </si>
  <si>
    <t xml:space="preserve">NotComplainingt</t>
  </si>
  <si>
    <t xml:space="preserve">Podcast</t>
  </si>
  <si>
    <t xml:space="preserve">OnlySupplemetYouNeed</t>
  </si>
  <si>
    <t xml:space="preserve">DavidSinclairNAD</t>
  </si>
  <si>
    <t xml:space="preserve">Antagingbundle</t>
  </si>
  <si>
    <t xml:space="preserve">WhiteboardExplainer</t>
  </si>
  <si>
    <t xml:space="preserve">FountainOfYouthSupplement</t>
  </si>
  <si>
    <t xml:space="preserve">DoctorExplained</t>
  </si>
  <si>
    <t xml:space="preserve">LimitedOffer</t>
  </si>
  <si>
    <t xml:space="preserve">BoostCellularEnergy</t>
  </si>
  <si>
    <t xml:space="preserve">NADorNMN</t>
  </si>
  <si>
    <t xml:space="preserve">DiscountTonight</t>
  </si>
  <si>
    <t xml:space="preserve">NMNVsNAD</t>
  </si>
  <si>
    <t xml:space="preserve">TheFix</t>
  </si>
  <si>
    <t xml:space="preserve">NotGonnaLast</t>
  </si>
  <si>
    <t xml:space="preserve">CouponsDoNot</t>
  </si>
  <si>
    <t xml:space="preserve">DadEnergyCrash</t>
  </si>
  <si>
    <t xml:space="preserve">SideEffects</t>
  </si>
  <si>
    <t xml:space="preserve">FlashSale</t>
  </si>
  <si>
    <t xml:space="preserve">ShoelaceExplanation</t>
  </si>
  <si>
    <t xml:space="preserve">rejuvenated</t>
  </si>
  <si>
    <t xml:space="preserve">GrandmaLooks20</t>
  </si>
  <si>
    <t xml:space="preserve">ExposingNMNScam</t>
  </si>
  <si>
    <t xml:space="preserve">Recovery</t>
  </si>
  <si>
    <t xml:space="preserve">UndertheRecovery</t>
  </si>
  <si>
    <t xml:space="preserve">NMNSCAM</t>
  </si>
  <si>
    <t xml:space="preserve">DailyRoutine</t>
  </si>
  <si>
    <t xml:space="preserve">WifeAgingReverse</t>
  </si>
  <si>
    <t xml:space="preserve">After1month</t>
  </si>
  <si>
    <t xml:space="preserve">Supersoldier</t>
  </si>
  <si>
    <t xml:space="preserve">NMNCalender</t>
  </si>
  <si>
    <t xml:space="preserve">ReverseAging</t>
  </si>
  <si>
    <t xml:space="preserve">IfYouLookLikeThis</t>
  </si>
  <si>
    <t xml:space="preserve">SimpleRoutine</t>
  </si>
  <si>
    <t xml:space="preserve">Checkout</t>
  </si>
  <si>
    <t xml:space="preserve">EveryoneAsksMySecret</t>
  </si>
  <si>
    <t xml:space="preserve">TscoreSucks</t>
  </si>
  <si>
    <t xml:space="preserve">CardWontDecline</t>
  </si>
  <si>
    <t xml:space="preserve">Productshot</t>
  </si>
  <si>
    <t xml:space="preserve">6TimesthePromise</t>
  </si>
  <si>
    <t xml:space="preserve">SideEffect</t>
  </si>
  <si>
    <t xml:space="preserve">uNeverHadBotox</t>
  </si>
  <si>
    <t xml:space="preserve">StopBuyingRandomAntiAging</t>
  </si>
  <si>
    <t xml:space="preserve">FixedSkinForever</t>
  </si>
  <si>
    <t xml:space="preserve">EverydayIntakeChanges</t>
  </si>
  <si>
    <t xml:space="preserve">MisunderstoodNMN</t>
  </si>
  <si>
    <t xml:space="preserve">PharmacistNADScam</t>
  </si>
  <si>
    <t xml:space="preserve">WhywasNMNBanned</t>
  </si>
  <si>
    <t xml:space="preserve">OneCapsuleRitual</t>
  </si>
  <si>
    <t xml:space="preserve">NMNBundle</t>
  </si>
  <si>
    <t xml:space="preserve">ParentsAge</t>
  </si>
  <si>
    <t xml:space="preserve">NMNvsNADResearcher</t>
  </si>
  <si>
    <t xml:space="preserve">MadebyCardiologist</t>
  </si>
  <si>
    <t xml:space="preserve">AlreadyDoing</t>
  </si>
  <si>
    <t xml:space="preserve">NADBooster</t>
  </si>
  <si>
    <t xml:space="preserve">BestDuo</t>
  </si>
  <si>
    <t xml:space="preserve">WhyTakeNMN</t>
  </si>
  <si>
    <t xml:space="preserve">DoctorAdvice</t>
  </si>
  <si>
    <t xml:space="preserve">DontBuy</t>
  </si>
  <si>
    <t xml:space="preserve">DocAdvise</t>
  </si>
  <si>
    <t xml:space="preserve">Teacher</t>
  </si>
  <si>
    <t xml:space="preserve">TFixInsulineProlem</t>
  </si>
  <si>
    <t xml:space="preserve">Precursor</t>
  </si>
  <si>
    <t xml:space="preserve">Warehouse</t>
  </si>
  <si>
    <t xml:space="preserve">DontWasteMoney</t>
  </si>
  <si>
    <t xml:space="preserve">HollywoodUsesNMN</t>
  </si>
  <si>
    <t xml:space="preserve">CoffeeAin_thitting</t>
  </si>
  <si>
    <t xml:space="preserve">EnergyDrinkVsNMN</t>
  </si>
  <si>
    <t xml:space="preserve">Covers ads whose name contains a dated file name (YYYYMMDD_Angle_V#), mostly Sept–Oct 2026 tests. Source: Meta Ads, 16 Apr–16 Oct 2026.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</si>
</sst>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0.00\x"/>
    <numFmt numFmtId="168" formatCode="\$#,##0.00"/>
    <numFmt numFmtId="169" formatCode="0.00%"/>
    <numFmt numFmtId="170" formatCode="0.00"/>
    <numFmt numFmtId="171" formatCode="0"/>
    <numFmt numFmtId="172" formatCode="0%"/>
    <numFmt numFmtId="173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DDEBF7"/>
      </patternFill>
    </fill>
    <fill>
      <patternFill patternType="solid">
        <fgColor rgb="FF1F3A5F"/>
        <bgColor rgb="FF333333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432627.08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n">
        <v>7180</v>
      </c>
    </row>
    <row r="7" customFormat="false" ht="15" hidden="false" customHeight="false" outlineLevel="0" collapsed="false">
      <c r="A7" s="4" t="s">
        <v>6</v>
      </c>
      <c r="B7" s="5" t="n">
        <v>438530.28</v>
      </c>
    </row>
    <row r="8" customFormat="false" ht="15" hidden="false" customHeight="false" outlineLevel="0" collapsed="false">
      <c r="A8" s="4" t="s">
        <v>7</v>
      </c>
      <c r="B8" s="8" t="n">
        <f aca="false">B7/B5</f>
        <v>1.01364500807485</v>
      </c>
    </row>
    <row r="9" customFormat="false" ht="15" hidden="false" customHeight="false" outlineLevel="0" collapsed="false">
      <c r="A9" s="4" t="s">
        <v>8</v>
      </c>
      <c r="B9" s="9" t="n">
        <f aca="false">B5/B6</f>
        <v>60.2544679665738</v>
      </c>
    </row>
    <row r="10" customFormat="false" ht="15" hidden="false" customHeight="false" outlineLevel="0" collapsed="false">
      <c r="A10" s="4" t="s">
        <v>9</v>
      </c>
      <c r="B10" s="7" t="n">
        <v>4078096</v>
      </c>
    </row>
    <row r="11" customFormat="false" ht="15" hidden="false" customHeight="false" outlineLevel="0" collapsed="false">
      <c r="A11" s="4" t="s">
        <v>10</v>
      </c>
      <c r="B11" s="9" t="n">
        <v>106.09</v>
      </c>
    </row>
    <row r="12" customFormat="false" ht="15" hidden="false" customHeight="false" outlineLevel="0" collapsed="false">
      <c r="A12" s="4" t="s">
        <v>11</v>
      </c>
      <c r="B12" s="10" t="n">
        <v>0.04281</v>
      </c>
    </row>
    <row r="13" customFormat="false" ht="15" hidden="false" customHeight="false" outlineLevel="0" collapsed="false">
      <c r="A13" s="4" t="s">
        <v>12</v>
      </c>
      <c r="B13" s="11" t="n">
        <v>3.97</v>
      </c>
    </row>
    <row r="14" customFormat="false" ht="15" hidden="false" customHeight="false" outlineLevel="0" collapsed="false">
      <c r="A14" s="4" t="s">
        <v>13</v>
      </c>
      <c r="B14" s="7" t="n">
        <v>14635</v>
      </c>
    </row>
    <row r="15" customFormat="false" ht="15" hidden="false" customHeight="false" outlineLevel="0" collapsed="false">
      <c r="A15" s="4" t="s">
        <v>14</v>
      </c>
      <c r="B15" s="7" t="n">
        <v>18196</v>
      </c>
    </row>
    <row r="17" customFormat="false" ht="15" hidden="false" customHeight="false" outlineLevel="0" collapsed="false">
      <c r="A17" s="3" t="s">
        <v>15</v>
      </c>
    </row>
    <row r="18" customFormat="false" ht="15" hidden="false" customHeight="false" outlineLevel="0" collapsed="false">
      <c r="A18" s="4" t="s">
        <v>16</v>
      </c>
      <c r="B18" s="12" t="n">
        <v>1000</v>
      </c>
      <c r="C18" s="6" t="s">
        <v>17</v>
      </c>
    </row>
    <row r="19" customFormat="false" ht="15" hidden="false" customHeight="false" outlineLevel="0" collapsed="false">
      <c r="A19" s="4" t="s">
        <v>18</v>
      </c>
      <c r="B19" s="13" t="n">
        <v>20</v>
      </c>
      <c r="C19" s="6" t="s">
        <v>19</v>
      </c>
    </row>
    <row r="20" customFormat="false" ht="15" hidden="false" customHeight="false" outlineLevel="0" collapsed="false">
      <c r="A20" s="4" t="s">
        <v>20</v>
      </c>
      <c r="B20" s="14" t="n">
        <v>1.3</v>
      </c>
      <c r="C20" s="6" t="s">
        <v>21</v>
      </c>
    </row>
    <row r="21" customFormat="false" ht="15" hidden="false" customHeight="false" outlineLevel="0" collapsed="false">
      <c r="A21" s="4" t="s">
        <v>22</v>
      </c>
      <c r="B21" s="14" t="n">
        <v>1.1</v>
      </c>
      <c r="C21" s="6" t="s">
        <v>23</v>
      </c>
    </row>
    <row r="22" customFormat="false" ht="15" hidden="false" customHeight="false" outlineLevel="0" collapsed="false">
      <c r="A22" s="4" t="s">
        <v>24</v>
      </c>
      <c r="B22" s="12" t="n">
        <v>10000</v>
      </c>
      <c r="C22" s="6" t="s">
        <v>25</v>
      </c>
    </row>
    <row r="23" customFormat="false" ht="15" hidden="false" customHeight="false" outlineLevel="0" collapsed="false">
      <c r="A23" s="4" t="s">
        <v>26</v>
      </c>
      <c r="B23" s="14" t="n">
        <v>1</v>
      </c>
      <c r="C23" s="6" t="s">
        <v>27</v>
      </c>
    </row>
    <row r="24" customFormat="false" ht="15" hidden="false" customHeight="false" outlineLevel="0" collapsed="false">
      <c r="A24" s="4" t="s">
        <v>28</v>
      </c>
      <c r="B24" s="12" t="n">
        <v>250</v>
      </c>
      <c r="C24" s="6" t="s">
        <v>29</v>
      </c>
    </row>
    <row r="25" customFormat="false" ht="15" hidden="false" customHeight="false" outlineLevel="0" collapsed="false">
      <c r="A25" s="4" t="s">
        <v>30</v>
      </c>
      <c r="B25" s="13" t="n">
        <v>5</v>
      </c>
      <c r="C25" s="6" t="s">
        <v>31</v>
      </c>
    </row>
    <row r="26" customFormat="false" ht="15" hidden="false" customHeight="false" outlineLevel="0" collapsed="false">
      <c r="A26" s="4" t="s">
        <v>32</v>
      </c>
      <c r="B26" s="14" t="n">
        <v>1.3</v>
      </c>
      <c r="C26" s="6" t="s">
        <v>33</v>
      </c>
    </row>
    <row r="28" customFormat="false" ht="15" hidden="false" customHeight="false" outlineLevel="0" collapsed="false">
      <c r="A28" s="3" t="s">
        <v>34</v>
      </c>
      <c r="C28" s="3" t="s">
        <v>35</v>
      </c>
    </row>
    <row r="29" customFormat="false" ht="15" hidden="false" customHeight="false" outlineLevel="0" collapsed="false">
      <c r="A29" s="15" t="s">
        <v>36</v>
      </c>
      <c r="B29" s="4" t="s">
        <v>37</v>
      </c>
      <c r="C29" s="4" t="n">
        <f aca="false">COUNTIF('All Ads 6mo'!B:B,"A. Proven winner")</f>
        <v>13</v>
      </c>
    </row>
    <row r="30" customFormat="false" ht="15" hidden="false" customHeight="false" outlineLevel="0" collapsed="false">
      <c r="A30" s="16" t="s">
        <v>38</v>
      </c>
      <c r="B30" s="4" t="s">
        <v>39</v>
      </c>
      <c r="C30" s="4" t="n">
        <f aca="false">COUNTIF('All Ads 6mo'!B:B,"B. Strong performer")</f>
        <v>9</v>
      </c>
    </row>
    <row r="31" customFormat="false" ht="15" hidden="false" customHeight="false" outlineLevel="0" collapsed="false">
      <c r="A31" s="17" t="s">
        <v>40</v>
      </c>
      <c r="B31" s="4" t="s">
        <v>41</v>
      </c>
      <c r="C31" s="4" t="n">
        <f aca="false">COUNTIF('All Ads 6mo'!B:B,"C. Scale workhorse")</f>
        <v>2</v>
      </c>
    </row>
    <row r="32" customFormat="false" ht="15" hidden="false" customHeight="false" outlineLevel="0" collapsed="false">
      <c r="A32" s="18" t="s">
        <v>42</v>
      </c>
      <c r="B32" s="4" t="s">
        <v>43</v>
      </c>
      <c r="C32" s="4" t="n">
        <f aca="false">COUNTIF('All Ads 6mo'!B:B,"D. Promising (needs more spend)")</f>
        <v>18</v>
      </c>
    </row>
    <row r="34" customFormat="false" ht="15" hidden="false" customHeight="false" outlineLevel="0" collapsed="false">
      <c r="A34" s="3" t="s">
        <v>44</v>
      </c>
    </row>
    <row r="35" customFormat="false" ht="15" hidden="false" customHeight="false" outlineLevel="0" collapsed="false">
      <c r="A35" s="4" t="s">
        <v>45</v>
      </c>
    </row>
    <row r="36" customFormat="false" ht="15" hidden="false" customHeight="false" outlineLevel="0" collapsed="false">
      <c r="A36" s="4" t="s">
        <v>46</v>
      </c>
    </row>
    <row r="37" customFormat="false" ht="15" hidden="false" customHeight="false" outlineLevel="0" collapsed="false">
      <c r="A37" s="4" t="s">
        <v>47</v>
      </c>
    </row>
    <row r="38" customFormat="false" ht="15" hidden="false" customHeight="false" outlineLevel="0" collapsed="false">
      <c r="A38" s="4" t="s">
        <v>48</v>
      </c>
    </row>
    <row r="39" customFormat="false" ht="15" hidden="false" customHeight="false" outlineLevel="0" collapsed="false">
      <c r="A39" s="4" t="s">
        <v>49</v>
      </c>
    </row>
    <row r="40" customFormat="false" ht="15" hidden="false" customHeight="false" outlineLevel="0" collapsed="false">
      <c r="A40" s="4" t="s">
        <v>50</v>
      </c>
    </row>
    <row r="41" customFormat="false" ht="15" hidden="false" customHeight="false" outlineLevel="0" collapsed="false">
      <c r="A41" s="4" t="s">
        <v>51</v>
      </c>
    </row>
    <row r="42" customFormat="false" ht="15" hidden="false" customHeight="false" outlineLevel="0" collapsed="false">
      <c r="A42" s="4" t="s">
        <v>52</v>
      </c>
    </row>
    <row r="44" customFormat="false" ht="15" hidden="false" customHeight="false" outlineLevel="0" collapsed="false">
      <c r="A44" s="3" t="s">
        <v>53</v>
      </c>
    </row>
    <row r="45" customFormat="false" ht="15" hidden="false" customHeight="false" outlineLevel="0" collapsed="false">
      <c r="A45" s="4" t="s">
        <v>54</v>
      </c>
    </row>
    <row r="46" customFormat="false" ht="15" hidden="false" customHeight="false" outlineLevel="0" collapsed="false">
      <c r="A46" s="4" t="s">
        <v>55</v>
      </c>
    </row>
    <row r="47" customFormat="false" ht="15" hidden="false" customHeight="false" outlineLevel="0" collapsed="false">
      <c r="A47" s="4" t="s">
        <v>56</v>
      </c>
    </row>
    <row r="48" customFormat="false" ht="15" hidden="false" customHeight="false" outlineLevel="0" collapsed="false">
      <c r="A48" s="4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34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1" min="10" style="0" width="13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5" min="14" style="0" width="10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20" min="18" style="0" width="9"/>
    <col collapsed="false" customWidth="true" hidden="false" outlineLevel="0" max="21" min="21" style="0" width="12"/>
    <col collapsed="false" customWidth="true" hidden="false" outlineLevel="0" max="23" min="22" style="0" width="10"/>
    <col collapsed="false" customWidth="true" hidden="false" outlineLevel="0" max="25" min="24" style="0" width="11"/>
    <col collapsed="false" customWidth="true" hidden="false" outlineLevel="0" max="26" min="26" style="0" width="10"/>
    <col collapsed="false" customWidth="true" hidden="false" outlineLevel="0" max="28" min="27" style="0" width="9"/>
    <col collapsed="false" customWidth="true" hidden="false" outlineLevel="0" max="29" min="29" style="0" width="60"/>
    <col collapsed="false" customWidth="true" hidden="false" outlineLevel="0" max="30" min="30" style="0" width="34"/>
    <col collapsed="false" customWidth="true" hidden="false" outlineLevel="0" max="31" min="31" style="0" width="60"/>
    <col collapsed="false" customWidth="true" hidden="false" outlineLevel="0" max="32" min="32" style="0" width="50"/>
    <col collapsed="false" customWidth="true" hidden="false" outlineLevel="0" max="33" min="33" style="0" width="11"/>
    <col collapsed="false" customWidth="true" hidden="false" outlineLevel="0" max="35" min="34" style="0" width="18"/>
    <col collapsed="false" customWidth="true" hidden="false" outlineLevel="0" max="36" min="36" style="0" width="45"/>
  </cols>
  <sheetData>
    <row r="1" customFormat="false" ht="31.5" hidden="false" customHeight="true" outlineLevel="0" collapsed="false">
      <c r="A1" s="19" t="s">
        <v>58</v>
      </c>
      <c r="B1" s="19" t="s">
        <v>59</v>
      </c>
      <c r="C1" s="19" t="s">
        <v>60</v>
      </c>
      <c r="D1" s="19" t="s">
        <v>61</v>
      </c>
      <c r="E1" s="19" t="s">
        <v>62</v>
      </c>
      <c r="F1" s="19" t="s">
        <v>63</v>
      </c>
      <c r="G1" s="19" t="s">
        <v>64</v>
      </c>
      <c r="H1" s="19" t="s">
        <v>65</v>
      </c>
      <c r="I1" s="19" t="s">
        <v>66</v>
      </c>
      <c r="J1" s="19" t="s">
        <v>67</v>
      </c>
      <c r="K1" s="19" t="s">
        <v>3</v>
      </c>
      <c r="L1" s="19" t="s">
        <v>5</v>
      </c>
      <c r="M1" s="19" t="s">
        <v>6</v>
      </c>
      <c r="N1" s="19" t="s">
        <v>7</v>
      </c>
      <c r="O1" s="19" t="s">
        <v>68</v>
      </c>
      <c r="P1" s="19" t="s">
        <v>8</v>
      </c>
      <c r="Q1" s="19" t="s">
        <v>69</v>
      </c>
      <c r="R1" s="19" t="s">
        <v>11</v>
      </c>
      <c r="S1" s="19" t="s">
        <v>10</v>
      </c>
      <c r="T1" s="19" t="s">
        <v>12</v>
      </c>
      <c r="U1" s="19" t="s">
        <v>9</v>
      </c>
      <c r="V1" s="19" t="s">
        <v>70</v>
      </c>
      <c r="W1" s="19" t="s">
        <v>13</v>
      </c>
      <c r="X1" s="19" t="s">
        <v>14</v>
      </c>
      <c r="Y1" s="19" t="s">
        <v>71</v>
      </c>
      <c r="Z1" s="19" t="s">
        <v>72</v>
      </c>
      <c r="AA1" s="19" t="s">
        <v>73</v>
      </c>
      <c r="AB1" s="19" t="s">
        <v>74</v>
      </c>
      <c r="AC1" s="19" t="s">
        <v>75</v>
      </c>
      <c r="AD1" s="19" t="s">
        <v>76</v>
      </c>
      <c r="AE1" s="19" t="s">
        <v>77</v>
      </c>
      <c r="AF1" s="19" t="s">
        <v>78</v>
      </c>
      <c r="AG1" s="19" t="s">
        <v>79</v>
      </c>
      <c r="AH1" s="19" t="s">
        <v>80</v>
      </c>
      <c r="AI1" s="19" t="s">
        <v>81</v>
      </c>
      <c r="AJ1" s="19" t="s">
        <v>82</v>
      </c>
    </row>
    <row r="2" customFormat="false" ht="39.55" hidden="false" customHeight="false" outlineLevel="0" collapsed="false">
      <c r="A2" s="20" t="s">
        <v>36</v>
      </c>
      <c r="B2" s="4" t="s">
        <v>83</v>
      </c>
      <c r="C2" s="4" t="s">
        <v>84</v>
      </c>
      <c r="D2" s="4" t="s">
        <v>85</v>
      </c>
      <c r="E2" s="4" t="s">
        <v>86</v>
      </c>
      <c r="F2" s="4" t="s">
        <v>87</v>
      </c>
      <c r="G2" s="4" t="s">
        <v>88</v>
      </c>
      <c r="H2" s="4" t="s">
        <v>89</v>
      </c>
      <c r="I2" s="4" t="s">
        <v>90</v>
      </c>
      <c r="J2" s="4" t="s">
        <v>91</v>
      </c>
      <c r="K2" s="5" t="n">
        <v>2401.61</v>
      </c>
      <c r="L2" s="7" t="n">
        <v>71</v>
      </c>
      <c r="M2" s="5" t="n">
        <v>4981.57</v>
      </c>
      <c r="N2" s="8" t="n">
        <v>2.074263</v>
      </c>
      <c r="O2" s="8" t="n">
        <f aca="false">N2/'Read Me &amp; Markers'!$B$8</f>
        <v>2.0463406651008</v>
      </c>
      <c r="P2" s="9" t="n">
        <v>33.83</v>
      </c>
      <c r="Q2" s="8" t="n">
        <f aca="false">P2/'Read Me &amp; Markers'!$B$9</f>
        <v>0.561452140258996</v>
      </c>
      <c r="R2" s="10" t="n">
        <v>0.03077266</v>
      </c>
      <c r="S2" s="5" t="n">
        <v>66.94</v>
      </c>
      <c r="T2" s="11" t="n">
        <v>2.257062</v>
      </c>
      <c r="U2" s="7" t="n">
        <v>35876</v>
      </c>
      <c r="V2" s="7" t="n">
        <v>1104</v>
      </c>
      <c r="W2" s="7" t="n">
        <v>202</v>
      </c>
      <c r="X2" s="7" t="n">
        <v>163</v>
      </c>
      <c r="Y2" s="7" t="n">
        <v>29419</v>
      </c>
      <c r="Z2" s="7" t="n">
        <v>1263</v>
      </c>
      <c r="AA2" s="21" t="n">
        <f aca="false">IF(U2&gt;0,Y2/U2,0)</f>
        <v>0.820018954175493</v>
      </c>
      <c r="AB2" s="21" t="n">
        <f aca="false">IF(Y2&gt;0,Z2/Y2,0)</f>
        <v>0.042931438866039</v>
      </c>
      <c r="AC2" s="22" t="s">
        <v>92</v>
      </c>
      <c r="AD2" s="4" t="s">
        <v>93</v>
      </c>
      <c r="AE2" s="22" t="s">
        <v>93</v>
      </c>
      <c r="AF2" s="22" t="s">
        <v>94</v>
      </c>
      <c r="AG2" s="4" t="s">
        <v>95</v>
      </c>
      <c r="AH2" s="4"/>
      <c r="AI2" s="4" t="s">
        <v>96</v>
      </c>
      <c r="AJ2" s="4" t="s">
        <v>97</v>
      </c>
    </row>
    <row r="3" customFormat="false" ht="39.55" hidden="false" customHeight="false" outlineLevel="0" collapsed="false">
      <c r="A3" s="20" t="s">
        <v>36</v>
      </c>
      <c r="B3" s="4" t="s">
        <v>98</v>
      </c>
      <c r="C3" s="4" t="s">
        <v>99</v>
      </c>
      <c r="D3" s="4" t="s">
        <v>100</v>
      </c>
      <c r="E3" s="4" t="s">
        <v>101</v>
      </c>
      <c r="F3" s="4" t="s">
        <v>87</v>
      </c>
      <c r="G3" s="4" t="s">
        <v>102</v>
      </c>
      <c r="H3" s="4" t="s">
        <v>89</v>
      </c>
      <c r="I3" s="4" t="s">
        <v>90</v>
      </c>
      <c r="J3" s="4" t="s">
        <v>103</v>
      </c>
      <c r="K3" s="5" t="n">
        <v>1159.35</v>
      </c>
      <c r="L3" s="7" t="n">
        <v>34</v>
      </c>
      <c r="M3" s="5" t="n">
        <v>2398.76</v>
      </c>
      <c r="N3" s="8" t="n">
        <v>2.069056</v>
      </c>
      <c r="O3" s="8" t="n">
        <f aca="false">N3/'Read Me &amp; Markers'!$B$8</f>
        <v>2.04120375823644</v>
      </c>
      <c r="P3" s="9" t="n">
        <v>34.1</v>
      </c>
      <c r="Q3" s="8" t="n">
        <f aca="false">P3/'Read Me &amp; Markers'!$B$9</f>
        <v>0.565933135762098</v>
      </c>
      <c r="R3" s="10" t="n">
        <v>0.0257704</v>
      </c>
      <c r="S3" s="5" t="n">
        <v>62.9</v>
      </c>
      <c r="T3" s="11" t="n">
        <v>1.791776</v>
      </c>
      <c r="U3" s="7" t="n">
        <v>18432</v>
      </c>
      <c r="V3" s="7" t="n">
        <v>475</v>
      </c>
      <c r="W3" s="7" t="n">
        <v>99</v>
      </c>
      <c r="X3" s="7" t="n">
        <v>80</v>
      </c>
      <c r="Y3" s="7" t="n">
        <v>16419</v>
      </c>
      <c r="Z3" s="7" t="n">
        <v>959</v>
      </c>
      <c r="AA3" s="21" t="n">
        <f aca="false">IF(U3&gt;0,Y3/U3,0)</f>
        <v>0.890787760416667</v>
      </c>
      <c r="AB3" s="21" t="n">
        <f aca="false">IF(Y3&gt;0,Z3/Y3,0)</f>
        <v>0.0584079420183933</v>
      </c>
      <c r="AC3" s="22" t="s">
        <v>104</v>
      </c>
      <c r="AD3" s="4" t="s">
        <v>93</v>
      </c>
      <c r="AE3" s="22" t="s">
        <v>93</v>
      </c>
      <c r="AF3" s="22" t="s">
        <v>94</v>
      </c>
      <c r="AG3" s="4" t="s">
        <v>95</v>
      </c>
      <c r="AH3" s="4"/>
      <c r="AI3" s="4" t="s">
        <v>105</v>
      </c>
      <c r="AJ3" s="4" t="s">
        <v>106</v>
      </c>
    </row>
    <row r="4" customFormat="false" ht="52.2" hidden="false" customHeight="false" outlineLevel="0" collapsed="false">
      <c r="A4" s="20" t="s">
        <v>36</v>
      </c>
      <c r="B4" s="4" t="s">
        <v>107</v>
      </c>
      <c r="C4" s="4" t="s">
        <v>108</v>
      </c>
      <c r="D4" s="4" t="s">
        <v>109</v>
      </c>
      <c r="E4" s="4" t="s">
        <v>110</v>
      </c>
      <c r="F4" s="4" t="s">
        <v>111</v>
      </c>
      <c r="G4" s="4" t="s">
        <v>112</v>
      </c>
      <c r="H4" s="4" t="s">
        <v>89</v>
      </c>
      <c r="I4" s="4" t="s">
        <v>113</v>
      </c>
      <c r="J4" s="4" t="s">
        <v>114</v>
      </c>
      <c r="K4" s="5" t="n">
        <v>1409.73</v>
      </c>
      <c r="L4" s="7" t="n">
        <v>26</v>
      </c>
      <c r="M4" s="5" t="n">
        <v>2297.06</v>
      </c>
      <c r="N4" s="8" t="n">
        <v>1.629433</v>
      </c>
      <c r="O4" s="8" t="n">
        <f aca="false">N4/'Read Me &amp; Markers'!$B$8</f>
        <v>1.60749866769893</v>
      </c>
      <c r="P4" s="9" t="n">
        <v>54.22</v>
      </c>
      <c r="Q4" s="8" t="n">
        <f aca="false">P4/'Read Me &amp; Markers'!$B$9</f>
        <v>0.899850282141377</v>
      </c>
      <c r="R4" s="10" t="n">
        <v>0.0126388</v>
      </c>
      <c r="S4" s="5" t="n">
        <v>42.42</v>
      </c>
      <c r="T4" s="11" t="n">
        <v>2.21673</v>
      </c>
      <c r="U4" s="7" t="n">
        <v>33231</v>
      </c>
      <c r="V4" s="7" t="n">
        <v>420</v>
      </c>
      <c r="W4" s="7" t="n">
        <v>38</v>
      </c>
      <c r="X4" s="7" t="n">
        <v>74</v>
      </c>
      <c r="Y4" s="7" t="n">
        <v>0</v>
      </c>
      <c r="Z4" s="7" t="n">
        <v>0</v>
      </c>
      <c r="AA4" s="21" t="n">
        <f aca="false">IF(U4&gt;0,Y4/U4,0)</f>
        <v>0</v>
      </c>
      <c r="AB4" s="21" t="n">
        <f aca="false">IF(Y4&gt;0,Z4/Y4,0)</f>
        <v>0</v>
      </c>
      <c r="AC4" s="22" t="s">
        <v>115</v>
      </c>
      <c r="AD4" s="4" t="s">
        <v>116</v>
      </c>
      <c r="AE4" s="22" t="s">
        <v>117</v>
      </c>
      <c r="AF4" s="22" t="s">
        <v>94</v>
      </c>
      <c r="AG4" s="4" t="s">
        <v>118</v>
      </c>
      <c r="AH4" s="4"/>
      <c r="AI4" s="4" t="s">
        <v>119</v>
      </c>
      <c r="AJ4" s="4" t="s">
        <v>120</v>
      </c>
    </row>
    <row r="5" customFormat="false" ht="39.55" hidden="false" customHeight="false" outlineLevel="0" collapsed="false">
      <c r="A5" s="20" t="s">
        <v>36</v>
      </c>
      <c r="B5" s="4" t="s">
        <v>121</v>
      </c>
      <c r="C5" s="4" t="s">
        <v>122</v>
      </c>
      <c r="D5" s="4" t="s">
        <v>100</v>
      </c>
      <c r="E5" s="4" t="s">
        <v>123</v>
      </c>
      <c r="F5" s="4" t="s">
        <v>87</v>
      </c>
      <c r="G5" s="4" t="s">
        <v>124</v>
      </c>
      <c r="H5" s="4" t="s">
        <v>89</v>
      </c>
      <c r="I5" s="4" t="s">
        <v>90</v>
      </c>
      <c r="J5" s="4" t="s">
        <v>125</v>
      </c>
      <c r="K5" s="5" t="n">
        <v>6572.42</v>
      </c>
      <c r="L5" s="7" t="n">
        <v>163</v>
      </c>
      <c r="M5" s="5" t="n">
        <v>10470.66</v>
      </c>
      <c r="N5" s="8" t="n">
        <v>1.593121</v>
      </c>
      <c r="O5" s="8" t="n">
        <f aca="false">N5/'Read Me &amp; Markers'!$B$8</f>
        <v>1.57167547544648</v>
      </c>
      <c r="P5" s="9" t="n">
        <v>40.32</v>
      </c>
      <c r="Q5" s="8" t="n">
        <f aca="false">P5/'Read Me &amp; Markers'!$B$9</f>
        <v>0.669161995129847</v>
      </c>
      <c r="R5" s="10" t="n">
        <v>0.04816885</v>
      </c>
      <c r="S5" s="5" t="n">
        <v>126.69</v>
      </c>
      <c r="T5" s="11" t="n">
        <v>1.176257</v>
      </c>
      <c r="U5" s="7" t="n">
        <v>51880</v>
      </c>
      <c r="V5" s="7" t="n">
        <v>2499</v>
      </c>
      <c r="W5" s="7" t="n">
        <v>411</v>
      </c>
      <c r="X5" s="7" t="n">
        <v>338</v>
      </c>
      <c r="Y5" s="7" t="n">
        <v>49111</v>
      </c>
      <c r="Z5" s="7" t="n">
        <v>9571</v>
      </c>
      <c r="AA5" s="21" t="n">
        <f aca="false">IF(U5&gt;0,Y5/U5,0)</f>
        <v>0.946626831148805</v>
      </c>
      <c r="AB5" s="21" t="n">
        <f aca="false">IF(Y5&gt;0,Z5/Y5,0)</f>
        <v>0.194885056301032</v>
      </c>
      <c r="AC5" s="22" t="s">
        <v>126</v>
      </c>
      <c r="AD5" s="4" t="s">
        <v>93</v>
      </c>
      <c r="AE5" s="22" t="s">
        <v>93</v>
      </c>
      <c r="AF5" s="22" t="s">
        <v>94</v>
      </c>
      <c r="AG5" s="4" t="s">
        <v>95</v>
      </c>
      <c r="AH5" s="4"/>
      <c r="AI5" s="4" t="s">
        <v>127</v>
      </c>
      <c r="AJ5" s="4" t="s">
        <v>128</v>
      </c>
    </row>
    <row r="6" customFormat="false" ht="52.2" hidden="false" customHeight="false" outlineLevel="0" collapsed="false">
      <c r="A6" s="20" t="s">
        <v>36</v>
      </c>
      <c r="B6" s="4" t="s">
        <v>129</v>
      </c>
      <c r="C6" s="4" t="s">
        <v>130</v>
      </c>
      <c r="D6" s="4" t="s">
        <v>100</v>
      </c>
      <c r="E6" s="4" t="s">
        <v>131</v>
      </c>
      <c r="F6" s="4" t="s">
        <v>87</v>
      </c>
      <c r="G6" s="4" t="s">
        <v>132</v>
      </c>
      <c r="H6" s="4" t="s">
        <v>89</v>
      </c>
      <c r="I6" s="4" t="s">
        <v>133</v>
      </c>
      <c r="J6" s="4" t="s">
        <v>134</v>
      </c>
      <c r="K6" s="5" t="n">
        <v>1493.23</v>
      </c>
      <c r="L6" s="7" t="n">
        <v>38</v>
      </c>
      <c r="M6" s="5" t="n">
        <v>2376.66</v>
      </c>
      <c r="N6" s="8" t="n">
        <v>1.591624</v>
      </c>
      <c r="O6" s="8" t="n">
        <f aca="false">N6/'Read Me &amp; Markers'!$B$8</f>
        <v>1.57019862705472</v>
      </c>
      <c r="P6" s="9" t="n">
        <v>39.3</v>
      </c>
      <c r="Q6" s="8" t="n">
        <f aca="false">P6/'Read Me &amp; Markers'!$B$9</f>
        <v>0.652233789895908</v>
      </c>
      <c r="R6" s="10" t="n">
        <v>0.02006015</v>
      </c>
      <c r="S6" s="5" t="n">
        <v>51.03</v>
      </c>
      <c r="T6" s="11" t="n">
        <v>1.684338</v>
      </c>
      <c r="U6" s="7" t="n">
        <v>29262</v>
      </c>
      <c r="V6" s="7" t="n">
        <v>587</v>
      </c>
      <c r="W6" s="7" t="n">
        <v>99</v>
      </c>
      <c r="X6" s="7" t="n">
        <v>82</v>
      </c>
      <c r="Y6" s="7" t="n">
        <v>25250</v>
      </c>
      <c r="Z6" s="7" t="n">
        <v>1753</v>
      </c>
      <c r="AA6" s="21" t="n">
        <f aca="false">IF(U6&gt;0,Y6/U6,0)</f>
        <v>0.862893855512269</v>
      </c>
      <c r="AB6" s="21" t="n">
        <f aca="false">IF(Y6&gt;0,Z6/Y6,0)</f>
        <v>0.0694257425742574</v>
      </c>
      <c r="AC6" s="22" t="s">
        <v>135</v>
      </c>
      <c r="AD6" s="4" t="s">
        <v>136</v>
      </c>
      <c r="AE6" s="22" t="s">
        <v>117</v>
      </c>
      <c r="AF6" s="22" t="s">
        <v>94</v>
      </c>
      <c r="AG6" s="4" t="s">
        <v>118</v>
      </c>
      <c r="AH6" s="4" t="s">
        <v>137</v>
      </c>
      <c r="AI6" s="4" t="s">
        <v>138</v>
      </c>
      <c r="AJ6" s="4" t="s">
        <v>139</v>
      </c>
    </row>
    <row r="7" customFormat="false" ht="39.55" hidden="false" customHeight="false" outlineLevel="0" collapsed="false">
      <c r="A7" s="20" t="s">
        <v>36</v>
      </c>
      <c r="B7" s="4" t="s">
        <v>98</v>
      </c>
      <c r="C7" s="4" t="s">
        <v>140</v>
      </c>
      <c r="D7" s="4" t="s">
        <v>100</v>
      </c>
      <c r="E7" s="4" t="s">
        <v>141</v>
      </c>
      <c r="F7" s="4" t="s">
        <v>87</v>
      </c>
      <c r="G7" s="4" t="s">
        <v>142</v>
      </c>
      <c r="H7" s="4" t="s">
        <v>89</v>
      </c>
      <c r="I7" s="4" t="s">
        <v>90</v>
      </c>
      <c r="J7" s="4" t="s">
        <v>143</v>
      </c>
      <c r="K7" s="5" t="n">
        <v>1703.96</v>
      </c>
      <c r="L7" s="7" t="n">
        <v>37</v>
      </c>
      <c r="M7" s="5" t="n">
        <v>2604.41</v>
      </c>
      <c r="N7" s="8" t="n">
        <v>1.528446</v>
      </c>
      <c r="O7" s="8" t="n">
        <f aca="false">N7/'Read Me &amp; Markers'!$B$8</f>
        <v>1.50787108684417</v>
      </c>
      <c r="P7" s="9" t="n">
        <v>46.05</v>
      </c>
      <c r="Q7" s="8" t="n">
        <f aca="false">P7/'Read Me &amp; Markers'!$B$9</f>
        <v>0.764258677473449</v>
      </c>
      <c r="R7" s="10" t="n">
        <v>0.02451674</v>
      </c>
      <c r="S7" s="5" t="n">
        <v>66.95</v>
      </c>
      <c r="T7" s="11" t="n">
        <v>1.662986</v>
      </c>
      <c r="U7" s="7" t="n">
        <v>25452</v>
      </c>
      <c r="V7" s="7" t="n">
        <v>624</v>
      </c>
      <c r="W7" s="7" t="n">
        <v>118</v>
      </c>
      <c r="X7" s="7" t="n">
        <v>94</v>
      </c>
      <c r="Y7" s="7" t="n">
        <v>21957</v>
      </c>
      <c r="Z7" s="7" t="n">
        <v>1224</v>
      </c>
      <c r="AA7" s="21" t="n">
        <f aca="false">IF(U7&gt;0,Y7/U7,0)</f>
        <v>0.862682696841113</v>
      </c>
      <c r="AB7" s="21" t="n">
        <f aca="false">IF(Y7&gt;0,Z7/Y7,0)</f>
        <v>0.0557453203989616</v>
      </c>
      <c r="AC7" s="22" t="s">
        <v>144</v>
      </c>
      <c r="AD7" s="4" t="s">
        <v>93</v>
      </c>
      <c r="AE7" s="22" t="s">
        <v>93</v>
      </c>
      <c r="AF7" s="22" t="s">
        <v>94</v>
      </c>
      <c r="AG7" s="4" t="s">
        <v>95</v>
      </c>
      <c r="AH7" s="4"/>
      <c r="AI7" s="4" t="s">
        <v>145</v>
      </c>
      <c r="AJ7" s="4" t="s">
        <v>146</v>
      </c>
    </row>
    <row r="8" customFormat="false" ht="39.55" hidden="false" customHeight="false" outlineLevel="0" collapsed="false">
      <c r="A8" s="20" t="s">
        <v>36</v>
      </c>
      <c r="B8" s="4" t="s">
        <v>83</v>
      </c>
      <c r="C8" s="4" t="s">
        <v>147</v>
      </c>
      <c r="D8" s="4" t="s">
        <v>85</v>
      </c>
      <c r="E8" s="4" t="s">
        <v>148</v>
      </c>
      <c r="F8" s="4" t="s">
        <v>87</v>
      </c>
      <c r="G8" s="4" t="s">
        <v>88</v>
      </c>
      <c r="H8" s="4" t="s">
        <v>89</v>
      </c>
      <c r="I8" s="4" t="s">
        <v>90</v>
      </c>
      <c r="J8" s="4" t="s">
        <v>125</v>
      </c>
      <c r="K8" s="5" t="n">
        <v>36342.32</v>
      </c>
      <c r="L8" s="7" t="n">
        <v>866</v>
      </c>
      <c r="M8" s="5" t="n">
        <v>53976.31</v>
      </c>
      <c r="N8" s="8" t="n">
        <v>1.485219</v>
      </c>
      <c r="O8" s="8" t="n">
        <f aca="false">N8/'Read Me &amp; Markers'!$B$8</f>
        <v>1.46522597967584</v>
      </c>
      <c r="P8" s="9" t="n">
        <v>41.97</v>
      </c>
      <c r="Q8" s="8" t="n">
        <f aca="false">P8/'Read Me &amp; Markers'!$B$9</f>
        <v>0.696545856537691</v>
      </c>
      <c r="R8" s="10" t="n">
        <v>0.04720497</v>
      </c>
      <c r="S8" s="5" t="n">
        <v>112.66</v>
      </c>
      <c r="T8" s="11" t="n">
        <v>1.770856</v>
      </c>
      <c r="U8" s="7" t="n">
        <v>322572</v>
      </c>
      <c r="V8" s="7" t="n">
        <v>15227</v>
      </c>
      <c r="W8" s="7" t="n">
        <v>2557</v>
      </c>
      <c r="X8" s="7" t="n">
        <v>1905</v>
      </c>
      <c r="Y8" s="7" t="n">
        <v>297219</v>
      </c>
      <c r="Z8" s="7" t="n">
        <v>57700</v>
      </c>
      <c r="AA8" s="21" t="n">
        <f aca="false">IF(U8&gt;0,Y8/U8,0)</f>
        <v>0.921403593616309</v>
      </c>
      <c r="AB8" s="21" t="n">
        <f aca="false">IF(Y8&gt;0,Z8/Y8,0)</f>
        <v>0.194132945740346</v>
      </c>
      <c r="AC8" s="22" t="s">
        <v>149</v>
      </c>
      <c r="AD8" s="4" t="s">
        <v>93</v>
      </c>
      <c r="AE8" s="22" t="s">
        <v>93</v>
      </c>
      <c r="AF8" s="22" t="s">
        <v>94</v>
      </c>
      <c r="AG8" s="4" t="s">
        <v>95</v>
      </c>
      <c r="AH8" s="4"/>
      <c r="AI8" s="4" t="s">
        <v>150</v>
      </c>
      <c r="AJ8" s="4" t="s">
        <v>151</v>
      </c>
    </row>
    <row r="9" customFormat="false" ht="115.65" hidden="false" customHeight="false" outlineLevel="0" collapsed="false">
      <c r="A9" s="20" t="s">
        <v>36</v>
      </c>
      <c r="B9" s="4" t="s">
        <v>152</v>
      </c>
      <c r="C9" s="4" t="s">
        <v>153</v>
      </c>
      <c r="D9" s="4" t="s">
        <v>154</v>
      </c>
      <c r="E9" s="4" t="s">
        <v>155</v>
      </c>
      <c r="F9" s="4" t="s">
        <v>87</v>
      </c>
      <c r="G9" s="4" t="s">
        <v>156</v>
      </c>
      <c r="H9" s="4" t="s">
        <v>157</v>
      </c>
      <c r="I9" s="4" t="s">
        <v>90</v>
      </c>
      <c r="J9" s="4" t="s">
        <v>158</v>
      </c>
      <c r="K9" s="5" t="n">
        <v>1200</v>
      </c>
      <c r="L9" s="7" t="n">
        <v>30</v>
      </c>
      <c r="M9" s="5" t="n">
        <v>1763.76</v>
      </c>
      <c r="N9" s="8" t="n">
        <v>1.4698</v>
      </c>
      <c r="O9" s="8" t="n">
        <f aca="false">N9/'Read Me &amp; Markers'!$B$8</f>
        <v>1.45001453989449</v>
      </c>
      <c r="P9" s="9" t="n">
        <v>40</v>
      </c>
      <c r="Q9" s="8" t="n">
        <f aca="false">P9/'Read Me &amp; Markers'!$B$9</f>
        <v>0.66385118564469</v>
      </c>
      <c r="R9" s="10" t="n">
        <v>0.03207706</v>
      </c>
      <c r="S9" s="5" t="n">
        <v>56.11</v>
      </c>
      <c r="T9" s="11" t="n">
        <v>1.5085</v>
      </c>
      <c r="U9" s="7" t="n">
        <v>21386</v>
      </c>
      <c r="V9" s="7" t="n">
        <v>686</v>
      </c>
      <c r="W9" s="7" t="n">
        <v>91</v>
      </c>
      <c r="X9" s="7" t="n">
        <v>72</v>
      </c>
      <c r="Y9" s="7" t="n">
        <v>19234</v>
      </c>
      <c r="Z9" s="7" t="n">
        <v>1414</v>
      </c>
      <c r="AA9" s="21" t="n">
        <f aca="false">IF(U9&gt;0,Y9/U9,0)</f>
        <v>0.899373421864771</v>
      </c>
      <c r="AB9" s="21" t="n">
        <f aca="false">IF(Y9&gt;0,Z9/Y9,0)</f>
        <v>0.0735156493709057</v>
      </c>
      <c r="AC9" s="22" t="s">
        <v>159</v>
      </c>
      <c r="AD9" s="4" t="s">
        <v>93</v>
      </c>
      <c r="AE9" s="22" t="s">
        <v>93</v>
      </c>
      <c r="AF9" s="22" t="s">
        <v>160</v>
      </c>
      <c r="AG9" s="4" t="s">
        <v>95</v>
      </c>
      <c r="AH9" s="4"/>
      <c r="AI9" s="4" t="s">
        <v>161</v>
      </c>
      <c r="AJ9" s="4" t="s">
        <v>162</v>
      </c>
    </row>
    <row r="10" customFormat="false" ht="39.55" hidden="false" customHeight="false" outlineLevel="0" collapsed="false">
      <c r="A10" s="20" t="s">
        <v>36</v>
      </c>
      <c r="B10" s="4" t="s">
        <v>121</v>
      </c>
      <c r="C10" s="4" t="s">
        <v>163</v>
      </c>
      <c r="D10" s="4" t="s">
        <v>100</v>
      </c>
      <c r="E10" s="4" t="s">
        <v>164</v>
      </c>
      <c r="F10" s="4" t="s">
        <v>87</v>
      </c>
      <c r="G10" s="4" t="s">
        <v>88</v>
      </c>
      <c r="H10" s="4" t="s">
        <v>89</v>
      </c>
      <c r="I10" s="4" t="s">
        <v>90</v>
      </c>
      <c r="J10" s="4" t="s">
        <v>165</v>
      </c>
      <c r="K10" s="5" t="n">
        <v>7578.6</v>
      </c>
      <c r="L10" s="7" t="n">
        <v>157</v>
      </c>
      <c r="M10" s="5" t="n">
        <v>10583.75</v>
      </c>
      <c r="N10" s="8" t="n">
        <v>1.396531</v>
      </c>
      <c r="O10" s="8" t="n">
        <f aca="false">N10/'Read Me &amp; Markers'!$B$8</f>
        <v>1.37773183794624</v>
      </c>
      <c r="P10" s="9" t="n">
        <v>48.27</v>
      </c>
      <c r="Q10" s="8" t="n">
        <f aca="false">P10/'Read Me &amp; Markers'!$B$9</f>
        <v>0.801102418276729</v>
      </c>
      <c r="R10" s="10" t="n">
        <v>0.0258393</v>
      </c>
      <c r="S10" s="5" t="n">
        <v>65.41</v>
      </c>
      <c r="T10" s="11" t="n">
        <v>2.18825</v>
      </c>
      <c r="U10" s="7" t="n">
        <v>115870</v>
      </c>
      <c r="V10" s="7" t="n">
        <v>2994</v>
      </c>
      <c r="W10" s="7" t="n">
        <v>486</v>
      </c>
      <c r="X10" s="7" t="n">
        <v>359</v>
      </c>
      <c r="Y10" s="7" t="n">
        <v>102172</v>
      </c>
      <c r="Z10" s="7" t="n">
        <v>7261</v>
      </c>
      <c r="AA10" s="21" t="n">
        <f aca="false">IF(U10&gt;0,Y10/U10,0)</f>
        <v>0.881781306636748</v>
      </c>
      <c r="AB10" s="21" t="n">
        <f aca="false">IF(Y10&gt;0,Z10/Y10,0)</f>
        <v>0.0710664369886074</v>
      </c>
      <c r="AC10" s="22" t="s">
        <v>166</v>
      </c>
      <c r="AD10" s="4" t="s">
        <v>93</v>
      </c>
      <c r="AE10" s="22" t="s">
        <v>93</v>
      </c>
      <c r="AF10" s="22" t="s">
        <v>94</v>
      </c>
      <c r="AG10" s="4" t="s">
        <v>95</v>
      </c>
      <c r="AH10" s="4"/>
      <c r="AI10" s="4" t="s">
        <v>167</v>
      </c>
      <c r="AJ10" s="4" t="s">
        <v>168</v>
      </c>
    </row>
    <row r="11" customFormat="false" ht="52.2" hidden="false" customHeight="false" outlineLevel="0" collapsed="false">
      <c r="A11" s="20" t="s">
        <v>36</v>
      </c>
      <c r="B11" s="4" t="s">
        <v>169</v>
      </c>
      <c r="C11" s="4" t="s">
        <v>170</v>
      </c>
      <c r="D11" s="4" t="s">
        <v>100</v>
      </c>
      <c r="E11" s="4" t="s">
        <v>171</v>
      </c>
      <c r="F11" s="4" t="s">
        <v>172</v>
      </c>
      <c r="G11" s="4" t="s">
        <v>173</v>
      </c>
      <c r="H11" s="4" t="s">
        <v>89</v>
      </c>
      <c r="I11" s="4" t="s">
        <v>133</v>
      </c>
      <c r="J11" s="4" t="s">
        <v>174</v>
      </c>
      <c r="K11" s="5" t="n">
        <v>16480.85</v>
      </c>
      <c r="L11" s="7" t="n">
        <v>395</v>
      </c>
      <c r="M11" s="5" t="n">
        <v>22893.89</v>
      </c>
      <c r="N11" s="8" t="n">
        <v>1.389121</v>
      </c>
      <c r="O11" s="8" t="n">
        <f aca="false">N11/'Read Me &amp; Markers'!$B$8</f>
        <v>1.37042158638779</v>
      </c>
      <c r="P11" s="9" t="n">
        <v>41.72</v>
      </c>
      <c r="Q11" s="8" t="n">
        <f aca="false">P11/'Read Me &amp; Markers'!$B$9</f>
        <v>0.692396786627411</v>
      </c>
      <c r="R11" s="10" t="n">
        <v>0.06919453</v>
      </c>
      <c r="S11" s="5" t="n">
        <v>87.84</v>
      </c>
      <c r="T11" s="11" t="n">
        <v>1.09498</v>
      </c>
      <c r="U11" s="7" t="n">
        <v>187616</v>
      </c>
      <c r="V11" s="7" t="n">
        <v>12982</v>
      </c>
      <c r="W11" s="7" t="n">
        <v>1023</v>
      </c>
      <c r="X11" s="7" t="n">
        <v>790</v>
      </c>
      <c r="Y11" s="7" t="n">
        <v>180193</v>
      </c>
      <c r="Z11" s="7" t="n">
        <v>71708</v>
      </c>
      <c r="AA11" s="21" t="n">
        <f aca="false">IF(U11&gt;0,Y11/U11,0)</f>
        <v>0.960435144124169</v>
      </c>
      <c r="AB11" s="21" t="n">
        <f aca="false">IF(Y11&gt;0,Z11/Y11,0)</f>
        <v>0.397951085780247</v>
      </c>
      <c r="AC11" s="22" t="s">
        <v>175</v>
      </c>
      <c r="AD11" s="4" t="s">
        <v>176</v>
      </c>
      <c r="AE11" s="22" t="s">
        <v>117</v>
      </c>
      <c r="AF11" s="22" t="s">
        <v>94</v>
      </c>
      <c r="AG11" s="4" t="s">
        <v>118</v>
      </c>
      <c r="AH11" s="4" t="s">
        <v>177</v>
      </c>
      <c r="AI11" s="4" t="s">
        <v>178</v>
      </c>
      <c r="AJ11" s="4" t="s">
        <v>179</v>
      </c>
    </row>
    <row r="12" customFormat="false" ht="39.55" hidden="false" customHeight="false" outlineLevel="0" collapsed="false">
      <c r="A12" s="20" t="s">
        <v>36</v>
      </c>
      <c r="B12" s="4" t="s">
        <v>121</v>
      </c>
      <c r="C12" s="4" t="s">
        <v>180</v>
      </c>
      <c r="D12" s="4" t="s">
        <v>100</v>
      </c>
      <c r="E12" s="4" t="s">
        <v>181</v>
      </c>
      <c r="F12" s="4" t="s">
        <v>87</v>
      </c>
      <c r="G12" s="4" t="s">
        <v>142</v>
      </c>
      <c r="H12" s="4" t="s">
        <v>89</v>
      </c>
      <c r="I12" s="4" t="s">
        <v>90</v>
      </c>
      <c r="J12" s="4" t="s">
        <v>182</v>
      </c>
      <c r="K12" s="5" t="n">
        <v>4060.67</v>
      </c>
      <c r="L12" s="7" t="n">
        <v>86</v>
      </c>
      <c r="M12" s="5" t="n">
        <v>5594.95</v>
      </c>
      <c r="N12" s="8" t="n">
        <v>1.377839</v>
      </c>
      <c r="O12" s="8" t="n">
        <f aca="false">N12/'Read Me &amp; Markers'!$B$8</f>
        <v>1.3592914570919</v>
      </c>
      <c r="P12" s="9" t="n">
        <v>47.22</v>
      </c>
      <c r="Q12" s="8" t="n">
        <f aca="false">P12/'Read Me &amp; Markers'!$B$9</f>
        <v>0.783676324653556</v>
      </c>
      <c r="R12" s="10" t="n">
        <v>0.04588548</v>
      </c>
      <c r="S12" s="5" t="n">
        <v>89.32</v>
      </c>
      <c r="T12" s="11" t="n">
        <v>1.194393</v>
      </c>
      <c r="U12" s="7" t="n">
        <v>45461</v>
      </c>
      <c r="V12" s="7" t="n">
        <v>2086</v>
      </c>
      <c r="W12" s="7" t="n">
        <v>252</v>
      </c>
      <c r="X12" s="7" t="n">
        <v>193</v>
      </c>
      <c r="Y12" s="7" t="n">
        <v>42881</v>
      </c>
      <c r="Z12" s="7" t="n">
        <v>10606</v>
      </c>
      <c r="AA12" s="21" t="n">
        <f aca="false">IF(U12&gt;0,Y12/U12,0)</f>
        <v>0.943248058775654</v>
      </c>
      <c r="AB12" s="21" t="n">
        <f aca="false">IF(Y12&gt;0,Z12/Y12,0)</f>
        <v>0.247335649821599</v>
      </c>
      <c r="AC12" s="22" t="s">
        <v>183</v>
      </c>
      <c r="AD12" s="4" t="s">
        <v>93</v>
      </c>
      <c r="AE12" s="22" t="s">
        <v>93</v>
      </c>
      <c r="AF12" s="22" t="s">
        <v>94</v>
      </c>
      <c r="AG12" s="4" t="s">
        <v>95</v>
      </c>
      <c r="AH12" s="4"/>
      <c r="AI12" s="4" t="s">
        <v>184</v>
      </c>
      <c r="AJ12" s="4" t="s">
        <v>185</v>
      </c>
    </row>
    <row r="13" customFormat="false" ht="39.55" hidden="false" customHeight="false" outlineLevel="0" collapsed="false">
      <c r="A13" s="20" t="s">
        <v>36</v>
      </c>
      <c r="B13" s="4" t="s">
        <v>121</v>
      </c>
      <c r="C13" s="4" t="s">
        <v>186</v>
      </c>
      <c r="D13" s="4" t="s">
        <v>100</v>
      </c>
      <c r="E13" s="4" t="s">
        <v>187</v>
      </c>
      <c r="F13" s="4" t="s">
        <v>87</v>
      </c>
      <c r="G13" s="4" t="s">
        <v>188</v>
      </c>
      <c r="H13" s="4" t="s">
        <v>89</v>
      </c>
      <c r="I13" s="4" t="s">
        <v>90</v>
      </c>
      <c r="J13" s="4" t="s">
        <v>143</v>
      </c>
      <c r="K13" s="5" t="n">
        <v>2654.79</v>
      </c>
      <c r="L13" s="7" t="n">
        <v>58</v>
      </c>
      <c r="M13" s="5" t="n">
        <v>3592.47</v>
      </c>
      <c r="N13" s="8" t="n">
        <v>1.353203</v>
      </c>
      <c r="O13" s="8" t="n">
        <f aca="false">N13/'Read Me &amp; Markers'!$B$8</f>
        <v>1.33498709037205</v>
      </c>
      <c r="P13" s="9" t="n">
        <v>45.77</v>
      </c>
      <c r="Q13" s="8" t="n">
        <f aca="false">P13/'Read Me &amp; Markers'!$B$9</f>
        <v>0.759611719173936</v>
      </c>
      <c r="R13" s="10" t="n">
        <v>0.04463756</v>
      </c>
      <c r="S13" s="5" t="n">
        <v>71.65</v>
      </c>
      <c r="T13" s="11" t="n">
        <v>1.10008</v>
      </c>
      <c r="U13" s="7" t="n">
        <v>37054</v>
      </c>
      <c r="V13" s="7" t="n">
        <v>1654</v>
      </c>
      <c r="W13" s="7" t="n">
        <v>133</v>
      </c>
      <c r="X13" s="7" t="n">
        <v>107</v>
      </c>
      <c r="Y13" s="7" t="n">
        <v>35610</v>
      </c>
      <c r="Z13" s="7" t="n">
        <v>9008</v>
      </c>
      <c r="AA13" s="21" t="n">
        <f aca="false">IF(U13&gt;0,Y13/U13,0)</f>
        <v>0.961029848329465</v>
      </c>
      <c r="AB13" s="21" t="n">
        <f aca="false">IF(Y13&gt;0,Z13/Y13,0)</f>
        <v>0.252962650940747</v>
      </c>
      <c r="AC13" s="22" t="s">
        <v>189</v>
      </c>
      <c r="AD13" s="4" t="s">
        <v>93</v>
      </c>
      <c r="AE13" s="22" t="s">
        <v>93</v>
      </c>
      <c r="AF13" s="22" t="s">
        <v>94</v>
      </c>
      <c r="AG13" s="4" t="s">
        <v>95</v>
      </c>
      <c r="AH13" s="4"/>
      <c r="AI13" s="4" t="s">
        <v>190</v>
      </c>
      <c r="AJ13" s="4" t="s">
        <v>191</v>
      </c>
    </row>
    <row r="14" customFormat="false" ht="39.55" hidden="false" customHeight="false" outlineLevel="0" collapsed="false">
      <c r="A14" s="20" t="s">
        <v>36</v>
      </c>
      <c r="B14" s="4" t="s">
        <v>192</v>
      </c>
      <c r="C14" s="4" t="s">
        <v>193</v>
      </c>
      <c r="D14" s="4" t="s">
        <v>85</v>
      </c>
      <c r="E14" s="4" t="s">
        <v>194</v>
      </c>
      <c r="F14" s="4" t="s">
        <v>87</v>
      </c>
      <c r="G14" s="4" t="s">
        <v>195</v>
      </c>
      <c r="H14" s="4" t="s">
        <v>89</v>
      </c>
      <c r="I14" s="4" t="s">
        <v>90</v>
      </c>
      <c r="J14" s="4" t="s">
        <v>143</v>
      </c>
      <c r="K14" s="5" t="n">
        <v>1021.63</v>
      </c>
      <c r="L14" s="7" t="n">
        <v>21</v>
      </c>
      <c r="M14" s="5" t="n">
        <v>1370.4</v>
      </c>
      <c r="N14" s="8" t="n">
        <v>1.341386</v>
      </c>
      <c r="O14" s="8" t="n">
        <f aca="false">N14/'Read Me &amp; Markers'!$B$8</f>
        <v>1.32332916288672</v>
      </c>
      <c r="P14" s="9" t="n">
        <v>48.65</v>
      </c>
      <c r="Q14" s="8" t="n">
        <f aca="false">P14/'Read Me &amp; Markers'!$B$9</f>
        <v>0.807409004540354</v>
      </c>
      <c r="R14" s="10" t="n">
        <v>0.02303805</v>
      </c>
      <c r="S14" s="5" t="n">
        <v>50.62</v>
      </c>
      <c r="T14" s="11" t="n">
        <v>1.923751</v>
      </c>
      <c r="U14" s="7" t="n">
        <v>20184</v>
      </c>
      <c r="V14" s="7" t="n">
        <v>465</v>
      </c>
      <c r="W14" s="7" t="n">
        <v>75</v>
      </c>
      <c r="X14" s="7" t="n">
        <v>63</v>
      </c>
      <c r="Y14" s="7" t="n">
        <v>16041</v>
      </c>
      <c r="Z14" s="7" t="n">
        <v>573</v>
      </c>
      <c r="AA14" s="21" t="n">
        <f aca="false">IF(U14&gt;0,Y14/U14,0)</f>
        <v>0.79473840665874</v>
      </c>
      <c r="AB14" s="21" t="n">
        <f aca="false">IF(Y14&gt;0,Z14/Y14,0)</f>
        <v>0.035720965027118</v>
      </c>
      <c r="AC14" s="22" t="s">
        <v>196</v>
      </c>
      <c r="AD14" s="4" t="s">
        <v>93</v>
      </c>
      <c r="AE14" s="22" t="s">
        <v>93</v>
      </c>
      <c r="AF14" s="22" t="s">
        <v>94</v>
      </c>
      <c r="AG14" s="4" t="s">
        <v>95</v>
      </c>
      <c r="AH14" s="4"/>
      <c r="AI14" s="4" t="s">
        <v>197</v>
      </c>
      <c r="AJ14" s="4" t="s">
        <v>198</v>
      </c>
    </row>
    <row r="15" customFormat="false" ht="39.55" hidden="false" customHeight="false" outlineLevel="0" collapsed="false">
      <c r="A15" s="23" t="s">
        <v>38</v>
      </c>
      <c r="B15" s="4" t="s">
        <v>83</v>
      </c>
      <c r="C15" s="4" t="s">
        <v>199</v>
      </c>
      <c r="D15" s="4" t="s">
        <v>85</v>
      </c>
      <c r="E15" s="4" t="s">
        <v>200</v>
      </c>
      <c r="F15" s="4" t="s">
        <v>87</v>
      </c>
      <c r="G15" s="4" t="s">
        <v>201</v>
      </c>
      <c r="H15" s="4" t="s">
        <v>89</v>
      </c>
      <c r="I15" s="4" t="s">
        <v>90</v>
      </c>
      <c r="J15" s="4" t="s">
        <v>103</v>
      </c>
      <c r="K15" s="5" t="n">
        <v>13539.24</v>
      </c>
      <c r="L15" s="7" t="n">
        <v>262</v>
      </c>
      <c r="M15" s="5" t="n">
        <v>16514.4</v>
      </c>
      <c r="N15" s="8" t="n">
        <v>1.219744</v>
      </c>
      <c r="O15" s="8" t="n">
        <f aca="false">N15/'Read Me &amp; Markers'!$B$8</f>
        <v>1.20332462576477</v>
      </c>
      <c r="P15" s="9" t="n">
        <v>51.68</v>
      </c>
      <c r="Q15" s="8" t="n">
        <f aca="false">P15/'Read Me &amp; Markers'!$B$9</f>
        <v>0.857695731852939</v>
      </c>
      <c r="R15" s="10" t="n">
        <v>0.02535233</v>
      </c>
      <c r="S15" s="5" t="n">
        <v>69.64</v>
      </c>
      <c r="T15" s="11" t="n">
        <v>2.204808</v>
      </c>
      <c r="U15" s="7" t="n">
        <v>194420</v>
      </c>
      <c r="V15" s="7" t="n">
        <v>4929</v>
      </c>
      <c r="W15" s="7" t="n">
        <v>763</v>
      </c>
      <c r="X15" s="7" t="n">
        <v>626</v>
      </c>
      <c r="Y15" s="7" t="n">
        <v>173129</v>
      </c>
      <c r="Z15" s="7" t="n">
        <v>7139</v>
      </c>
      <c r="AA15" s="21" t="n">
        <f aca="false">IF(U15&gt;0,Y15/U15,0)</f>
        <v>0.890489661557453</v>
      </c>
      <c r="AB15" s="21" t="n">
        <f aca="false">IF(Y15&gt;0,Z15/Y15,0)</f>
        <v>0.0412351483575831</v>
      </c>
      <c r="AC15" s="22" t="s">
        <v>202</v>
      </c>
      <c r="AD15" s="4" t="s">
        <v>93</v>
      </c>
      <c r="AE15" s="22" t="s">
        <v>93</v>
      </c>
      <c r="AF15" s="22" t="s">
        <v>94</v>
      </c>
      <c r="AG15" s="4" t="s">
        <v>95</v>
      </c>
      <c r="AH15" s="4"/>
      <c r="AI15" s="4" t="s">
        <v>203</v>
      </c>
      <c r="AJ15" s="4" t="s">
        <v>204</v>
      </c>
    </row>
    <row r="16" customFormat="false" ht="52.2" hidden="false" customHeight="false" outlineLevel="0" collapsed="false">
      <c r="A16" s="23" t="s">
        <v>38</v>
      </c>
      <c r="B16" s="4" t="s">
        <v>129</v>
      </c>
      <c r="C16" s="4" t="s">
        <v>205</v>
      </c>
      <c r="D16" s="4" t="s">
        <v>206</v>
      </c>
      <c r="E16" s="4" t="s">
        <v>207</v>
      </c>
      <c r="F16" s="4" t="s">
        <v>87</v>
      </c>
      <c r="G16" s="4" t="s">
        <v>208</v>
      </c>
      <c r="H16" s="4" t="s">
        <v>89</v>
      </c>
      <c r="I16" s="4" t="s">
        <v>133</v>
      </c>
      <c r="J16" s="4" t="s">
        <v>209</v>
      </c>
      <c r="K16" s="5" t="n">
        <v>1757.8</v>
      </c>
      <c r="L16" s="7" t="n">
        <v>29</v>
      </c>
      <c r="M16" s="5" t="n">
        <v>2143.87</v>
      </c>
      <c r="N16" s="8" t="n">
        <v>1.219633</v>
      </c>
      <c r="O16" s="8" t="n">
        <f aca="false">N16/'Read Me &amp; Markers'!$B$8</f>
        <v>1.20321511997219</v>
      </c>
      <c r="P16" s="9" t="n">
        <v>60.61</v>
      </c>
      <c r="Q16" s="8" t="n">
        <f aca="false">P16/'Read Me &amp; Markers'!$B$9</f>
        <v>1.00590050904812</v>
      </c>
      <c r="R16" s="10" t="n">
        <v>0.03686007</v>
      </c>
      <c r="S16" s="5" t="n">
        <v>99.99</v>
      </c>
      <c r="T16" s="11" t="n">
        <v>1.364377</v>
      </c>
      <c r="U16" s="7" t="n">
        <v>17580</v>
      </c>
      <c r="V16" s="7" t="n">
        <v>648</v>
      </c>
      <c r="W16" s="7" t="n">
        <v>80</v>
      </c>
      <c r="X16" s="7" t="n">
        <v>75</v>
      </c>
      <c r="Y16" s="7" t="n">
        <v>16230</v>
      </c>
      <c r="Z16" s="7" t="n">
        <v>3662</v>
      </c>
      <c r="AA16" s="21" t="n">
        <f aca="false">IF(U16&gt;0,Y16/U16,0)</f>
        <v>0.92320819112628</v>
      </c>
      <c r="AB16" s="21" t="n">
        <f aca="false">IF(Y16&gt;0,Z16/Y16,0)</f>
        <v>0.225631546518792</v>
      </c>
      <c r="AC16" s="22" t="s">
        <v>210</v>
      </c>
      <c r="AD16" s="4" t="s">
        <v>136</v>
      </c>
      <c r="AE16" s="22" t="s">
        <v>117</v>
      </c>
      <c r="AF16" s="22" t="s">
        <v>94</v>
      </c>
      <c r="AG16" s="4" t="s">
        <v>118</v>
      </c>
      <c r="AH16" s="4" t="s">
        <v>211</v>
      </c>
      <c r="AI16" s="4" t="s">
        <v>212</v>
      </c>
      <c r="AJ16" s="4" t="s">
        <v>213</v>
      </c>
    </row>
    <row r="17" customFormat="false" ht="39.55" hidden="false" customHeight="false" outlineLevel="0" collapsed="false">
      <c r="A17" s="23" t="s">
        <v>38</v>
      </c>
      <c r="B17" s="4" t="s">
        <v>98</v>
      </c>
      <c r="C17" s="4" t="s">
        <v>214</v>
      </c>
      <c r="D17" s="4" t="s">
        <v>100</v>
      </c>
      <c r="E17" s="4" t="s">
        <v>215</v>
      </c>
      <c r="F17" s="4" t="s">
        <v>87</v>
      </c>
      <c r="G17" s="4" t="s">
        <v>188</v>
      </c>
      <c r="H17" s="4" t="s">
        <v>89</v>
      </c>
      <c r="I17" s="4" t="s">
        <v>90</v>
      </c>
      <c r="J17" s="4" t="s">
        <v>216</v>
      </c>
      <c r="K17" s="5" t="n">
        <v>1277.91</v>
      </c>
      <c r="L17" s="7" t="n">
        <v>24</v>
      </c>
      <c r="M17" s="5" t="n">
        <v>1537.86</v>
      </c>
      <c r="N17" s="8" t="n">
        <v>1.203418</v>
      </c>
      <c r="O17" s="8" t="n">
        <f aca="false">N17/'Read Me &amp; Markers'!$B$8</f>
        <v>1.18721839540804</v>
      </c>
      <c r="P17" s="9" t="n">
        <v>53.25</v>
      </c>
      <c r="Q17" s="8" t="n">
        <f aca="false">P17/'Read Me &amp; Markers'!$B$9</f>
        <v>0.883751890889493</v>
      </c>
      <c r="R17" s="10" t="n">
        <v>0.02833433</v>
      </c>
      <c r="S17" s="5" t="n">
        <v>69.77</v>
      </c>
      <c r="T17" s="11" t="n">
        <v>1.654353</v>
      </c>
      <c r="U17" s="7" t="n">
        <v>18317</v>
      </c>
      <c r="V17" s="7" t="n">
        <v>519</v>
      </c>
      <c r="W17" s="7" t="n">
        <v>77</v>
      </c>
      <c r="X17" s="7" t="n">
        <v>65</v>
      </c>
      <c r="Y17" s="7" t="n">
        <v>16196</v>
      </c>
      <c r="Z17" s="7" t="n">
        <v>1098</v>
      </c>
      <c r="AA17" s="21" t="n">
        <f aca="false">IF(U17&gt;0,Y17/U17,0)</f>
        <v>0.884205928918491</v>
      </c>
      <c r="AB17" s="21" t="n">
        <f aca="false">IF(Y17&gt;0,Z17/Y17,0)</f>
        <v>0.067794517164732</v>
      </c>
      <c r="AC17" s="22" t="s">
        <v>217</v>
      </c>
      <c r="AD17" s="4" t="s">
        <v>93</v>
      </c>
      <c r="AE17" s="22" t="s">
        <v>93</v>
      </c>
      <c r="AF17" s="22" t="s">
        <v>94</v>
      </c>
      <c r="AG17" s="4" t="s">
        <v>95</v>
      </c>
      <c r="AH17" s="4"/>
      <c r="AI17" s="4" t="s">
        <v>218</v>
      </c>
      <c r="AJ17" s="4" t="s">
        <v>219</v>
      </c>
    </row>
    <row r="18" customFormat="false" ht="52.2" hidden="false" customHeight="false" outlineLevel="0" collapsed="false">
      <c r="A18" s="23" t="s">
        <v>38</v>
      </c>
      <c r="B18" s="4" t="s">
        <v>220</v>
      </c>
      <c r="C18" s="4" t="s">
        <v>221</v>
      </c>
      <c r="D18" s="4" t="s">
        <v>109</v>
      </c>
      <c r="E18" s="4" t="s">
        <v>110</v>
      </c>
      <c r="F18" s="4" t="s">
        <v>111</v>
      </c>
      <c r="G18" s="4" t="s">
        <v>112</v>
      </c>
      <c r="H18" s="4" t="s">
        <v>89</v>
      </c>
      <c r="I18" s="4" t="s">
        <v>113</v>
      </c>
      <c r="J18" s="4" t="s">
        <v>222</v>
      </c>
      <c r="K18" s="5" t="n">
        <v>1518.7</v>
      </c>
      <c r="L18" s="7" t="n">
        <v>24</v>
      </c>
      <c r="M18" s="5" t="n">
        <v>1823.34</v>
      </c>
      <c r="N18" s="8" t="n">
        <v>1.200593</v>
      </c>
      <c r="O18" s="8" t="n">
        <f aca="false">N18/'Read Me &amp; Markers'!$B$8</f>
        <v>1.18443142366005</v>
      </c>
      <c r="P18" s="9" t="n">
        <v>63.28</v>
      </c>
      <c r="Q18" s="8" t="n">
        <f aca="false">P18/'Read Me &amp; Markers'!$B$9</f>
        <v>1.0502125756899</v>
      </c>
      <c r="R18" s="10" t="n">
        <v>0.015121</v>
      </c>
      <c r="S18" s="5" t="n">
        <v>55.6</v>
      </c>
      <c r="T18" s="11" t="n">
        <v>1.931612</v>
      </c>
      <c r="U18" s="7" t="n">
        <v>27313</v>
      </c>
      <c r="V18" s="7" t="n">
        <v>413</v>
      </c>
      <c r="W18" s="7" t="n">
        <v>19</v>
      </c>
      <c r="X18" s="7" t="n">
        <v>52</v>
      </c>
      <c r="Y18" s="7" t="n">
        <v>0</v>
      </c>
      <c r="Z18" s="7" t="n">
        <v>0</v>
      </c>
      <c r="AA18" s="21" t="n">
        <f aca="false">IF(U18&gt;0,Y18/U18,0)</f>
        <v>0</v>
      </c>
      <c r="AB18" s="21" t="n">
        <f aca="false">IF(Y18&gt;0,Z18/Y18,0)</f>
        <v>0</v>
      </c>
      <c r="AC18" s="22" t="s">
        <v>223</v>
      </c>
      <c r="AD18" s="4" t="s">
        <v>116</v>
      </c>
      <c r="AE18" s="22" t="s">
        <v>117</v>
      </c>
      <c r="AF18" s="22" t="s">
        <v>94</v>
      </c>
      <c r="AG18" s="4" t="s">
        <v>118</v>
      </c>
      <c r="AH18" s="4"/>
      <c r="AI18" s="4" t="s">
        <v>224</v>
      </c>
      <c r="AJ18" s="4" t="s">
        <v>225</v>
      </c>
    </row>
    <row r="19" customFormat="false" ht="39.55" hidden="false" customHeight="false" outlineLevel="0" collapsed="false">
      <c r="A19" s="23" t="s">
        <v>38</v>
      </c>
      <c r="B19" s="4" t="s">
        <v>226</v>
      </c>
      <c r="C19" s="4" t="s">
        <v>227</v>
      </c>
      <c r="D19" s="4" t="s">
        <v>228</v>
      </c>
      <c r="E19" s="4" t="s">
        <v>229</v>
      </c>
      <c r="F19" s="4" t="s">
        <v>230</v>
      </c>
      <c r="G19" s="4" t="s">
        <v>231</v>
      </c>
      <c r="H19" s="4" t="s">
        <v>89</v>
      </c>
      <c r="I19" s="4" t="s">
        <v>90</v>
      </c>
      <c r="J19" s="4" t="s">
        <v>232</v>
      </c>
      <c r="K19" s="5" t="n">
        <v>3496.14</v>
      </c>
      <c r="L19" s="7" t="n">
        <v>67</v>
      </c>
      <c r="M19" s="5" t="n">
        <v>4150.75</v>
      </c>
      <c r="N19" s="8" t="n">
        <v>1.187238</v>
      </c>
      <c r="O19" s="8" t="n">
        <f aca="false">N19/'Read Me &amp; Markers'!$B$8</f>
        <v>1.17125619969741</v>
      </c>
      <c r="P19" s="9" t="n">
        <v>52.18</v>
      </c>
      <c r="Q19" s="8" t="n">
        <f aca="false">P19/'Read Me &amp; Markers'!$B$9</f>
        <v>0.865993871673498</v>
      </c>
      <c r="R19" s="10" t="n">
        <v>0.06181885</v>
      </c>
      <c r="S19" s="5" t="n">
        <v>160.09</v>
      </c>
      <c r="T19" s="11" t="n">
        <v>1.295562</v>
      </c>
      <c r="U19" s="7" t="n">
        <v>21838</v>
      </c>
      <c r="V19" s="7" t="n">
        <v>1350</v>
      </c>
      <c r="W19" s="7" t="n">
        <v>39</v>
      </c>
      <c r="X19" s="7" t="n">
        <v>172</v>
      </c>
      <c r="Y19" s="7" t="n">
        <v>20195</v>
      </c>
      <c r="Z19" s="7" t="n">
        <v>5091</v>
      </c>
      <c r="AA19" s="21" t="n">
        <f aca="false">IF(U19&gt;0,Y19/U19,0)</f>
        <v>0.924764172543273</v>
      </c>
      <c r="AB19" s="21" t="n">
        <f aca="false">IF(Y19&gt;0,Z19/Y19,0)</f>
        <v>0.252092102005447</v>
      </c>
      <c r="AC19" s="22" t="s">
        <v>233</v>
      </c>
      <c r="AD19" s="4" t="s">
        <v>93</v>
      </c>
      <c r="AE19" s="22" t="s">
        <v>93</v>
      </c>
      <c r="AF19" s="22" t="s">
        <v>94</v>
      </c>
      <c r="AG19" s="4" t="s">
        <v>95</v>
      </c>
      <c r="AH19" s="4"/>
      <c r="AI19" s="4" t="s">
        <v>234</v>
      </c>
      <c r="AJ19" s="4" t="s">
        <v>235</v>
      </c>
    </row>
    <row r="20" customFormat="false" ht="52.2" hidden="false" customHeight="false" outlineLevel="0" collapsed="false">
      <c r="A20" s="23" t="s">
        <v>38</v>
      </c>
      <c r="B20" s="4" t="s">
        <v>121</v>
      </c>
      <c r="C20" s="4" t="s">
        <v>236</v>
      </c>
      <c r="D20" s="4" t="s">
        <v>100</v>
      </c>
      <c r="E20" s="4" t="s">
        <v>237</v>
      </c>
      <c r="F20" s="4" t="s">
        <v>87</v>
      </c>
      <c r="G20" s="4" t="s">
        <v>208</v>
      </c>
      <c r="H20" s="4" t="s">
        <v>89</v>
      </c>
      <c r="I20" s="4" t="s">
        <v>133</v>
      </c>
      <c r="J20" s="4" t="s">
        <v>238</v>
      </c>
      <c r="K20" s="5" t="n">
        <v>1685.44</v>
      </c>
      <c r="L20" s="7" t="n">
        <v>38</v>
      </c>
      <c r="M20" s="5" t="n">
        <v>1987.32</v>
      </c>
      <c r="N20" s="8" t="n">
        <v>1.179111</v>
      </c>
      <c r="O20" s="8" t="n">
        <f aca="false">N20/'Read Me &amp; Markers'!$B$8</f>
        <v>1.16323859991123</v>
      </c>
      <c r="P20" s="9" t="n">
        <v>44.35</v>
      </c>
      <c r="Q20" s="8" t="n">
        <f aca="false">P20/'Read Me &amp; Markers'!$B$9</f>
        <v>0.73604500208355</v>
      </c>
      <c r="R20" s="10" t="n">
        <v>0.05544971</v>
      </c>
      <c r="S20" s="5" t="n">
        <v>110.73</v>
      </c>
      <c r="T20" s="11" t="n">
        <v>1.40092</v>
      </c>
      <c r="U20" s="7" t="n">
        <v>15221</v>
      </c>
      <c r="V20" s="7" t="n">
        <v>844</v>
      </c>
      <c r="W20" s="7" t="n">
        <v>107</v>
      </c>
      <c r="X20" s="7" t="n">
        <v>92</v>
      </c>
      <c r="Y20" s="7" t="n">
        <v>14044</v>
      </c>
      <c r="Z20" s="7" t="n">
        <v>3383</v>
      </c>
      <c r="AA20" s="21" t="n">
        <f aca="false">IF(U20&gt;0,Y20/U20,0)</f>
        <v>0.92267262334932</v>
      </c>
      <c r="AB20" s="21" t="n">
        <f aca="false">IF(Y20&gt;0,Z20/Y20,0)</f>
        <v>0.240885787524922</v>
      </c>
      <c r="AC20" s="22" t="s">
        <v>239</v>
      </c>
      <c r="AD20" s="4" t="s">
        <v>136</v>
      </c>
      <c r="AE20" s="22" t="s">
        <v>117</v>
      </c>
      <c r="AF20" s="22" t="s">
        <v>94</v>
      </c>
      <c r="AG20" s="4" t="s">
        <v>118</v>
      </c>
      <c r="AH20" s="4" t="s">
        <v>240</v>
      </c>
      <c r="AI20" s="4" t="s">
        <v>241</v>
      </c>
      <c r="AJ20" s="4" t="s">
        <v>242</v>
      </c>
    </row>
    <row r="21" customFormat="false" ht="52.2" hidden="false" customHeight="false" outlineLevel="0" collapsed="false">
      <c r="A21" s="23" t="s">
        <v>38</v>
      </c>
      <c r="B21" s="4" t="s">
        <v>83</v>
      </c>
      <c r="C21" s="4" t="s">
        <v>243</v>
      </c>
      <c r="D21" s="4" t="s">
        <v>228</v>
      </c>
      <c r="E21" s="4" t="s">
        <v>244</v>
      </c>
      <c r="F21" s="4" t="s">
        <v>230</v>
      </c>
      <c r="G21" s="4" t="s">
        <v>245</v>
      </c>
      <c r="H21" s="4" t="s">
        <v>89</v>
      </c>
      <c r="I21" s="4" t="s">
        <v>133</v>
      </c>
      <c r="J21" s="4" t="s">
        <v>246</v>
      </c>
      <c r="K21" s="5" t="n">
        <v>2257.36</v>
      </c>
      <c r="L21" s="7" t="n">
        <v>41</v>
      </c>
      <c r="M21" s="5" t="n">
        <v>2622.5</v>
      </c>
      <c r="N21" s="8" t="n">
        <v>1.161755</v>
      </c>
      <c r="O21" s="8" t="n">
        <f aca="false">N21/'Read Me &amp; Markers'!$B$8</f>
        <v>1.14611623472249</v>
      </c>
      <c r="P21" s="9" t="n">
        <v>55.06</v>
      </c>
      <c r="Q21" s="8" t="n">
        <f aca="false">P21/'Read Me &amp; Markers'!$B$9</f>
        <v>0.913791157039915</v>
      </c>
      <c r="R21" s="10" t="n">
        <v>0.04727866</v>
      </c>
      <c r="S21" s="5" t="n">
        <v>141.55</v>
      </c>
      <c r="T21" s="11" t="n">
        <v>1.231791</v>
      </c>
      <c r="U21" s="7" t="n">
        <v>15948</v>
      </c>
      <c r="V21" s="7" t="n">
        <v>754</v>
      </c>
      <c r="W21" s="7" t="n">
        <v>52</v>
      </c>
      <c r="X21" s="7" t="n">
        <v>82</v>
      </c>
      <c r="Y21" s="7" t="n">
        <v>14778</v>
      </c>
      <c r="Z21" s="7" t="n">
        <v>3242</v>
      </c>
      <c r="AA21" s="21" t="n">
        <f aca="false">IF(U21&gt;0,Y21/U21,0)</f>
        <v>0.926636568848758</v>
      </c>
      <c r="AB21" s="21" t="n">
        <f aca="false">IF(Y21&gt;0,Z21/Y21,0)</f>
        <v>0.219380159696847</v>
      </c>
      <c r="AC21" s="22" t="s">
        <v>247</v>
      </c>
      <c r="AD21" s="4" t="s">
        <v>116</v>
      </c>
      <c r="AE21" s="22" t="s">
        <v>117</v>
      </c>
      <c r="AF21" s="22" t="s">
        <v>94</v>
      </c>
      <c r="AG21" s="4" t="s">
        <v>118</v>
      </c>
      <c r="AH21" s="4" t="s">
        <v>248</v>
      </c>
      <c r="AI21" s="4" t="s">
        <v>249</v>
      </c>
      <c r="AJ21" s="4" t="s">
        <v>250</v>
      </c>
    </row>
    <row r="22" customFormat="false" ht="52.2" hidden="false" customHeight="false" outlineLevel="0" collapsed="false">
      <c r="A22" s="23" t="s">
        <v>38</v>
      </c>
      <c r="B22" s="4" t="s">
        <v>129</v>
      </c>
      <c r="C22" s="4" t="s">
        <v>251</v>
      </c>
      <c r="D22" s="4" t="s">
        <v>206</v>
      </c>
      <c r="E22" s="4" t="s">
        <v>252</v>
      </c>
      <c r="F22" s="4" t="s">
        <v>253</v>
      </c>
      <c r="G22" s="4" t="s">
        <v>254</v>
      </c>
      <c r="H22" s="4" t="s">
        <v>89</v>
      </c>
      <c r="I22" s="4" t="s">
        <v>133</v>
      </c>
      <c r="J22" s="4" t="s">
        <v>255</v>
      </c>
      <c r="K22" s="5" t="n">
        <v>4576.45</v>
      </c>
      <c r="L22" s="7" t="n">
        <v>76</v>
      </c>
      <c r="M22" s="5" t="n">
        <v>5227.4</v>
      </c>
      <c r="N22" s="8" t="n">
        <v>1.142239</v>
      </c>
      <c r="O22" s="8" t="n">
        <f aca="false">N22/'Read Me &amp; Markers'!$B$8</f>
        <v>1.12686294600254</v>
      </c>
      <c r="P22" s="9" t="n">
        <v>60.22</v>
      </c>
      <c r="Q22" s="8" t="n">
        <f aca="false">P22/'Read Me &amp; Markers'!$B$9</f>
        <v>0.99942795998808</v>
      </c>
      <c r="R22" s="10" t="n">
        <v>0.04478302</v>
      </c>
      <c r="S22" s="5" t="n">
        <v>111.38</v>
      </c>
      <c r="T22" s="11" t="n">
        <v>1.297921</v>
      </c>
      <c r="U22" s="7" t="n">
        <v>41087</v>
      </c>
      <c r="V22" s="7" t="n">
        <v>1840</v>
      </c>
      <c r="W22" s="7" t="n">
        <v>201</v>
      </c>
      <c r="X22" s="7" t="n">
        <v>154</v>
      </c>
      <c r="Y22" s="7" t="n">
        <v>38668</v>
      </c>
      <c r="Z22" s="7" t="n">
        <v>11343</v>
      </c>
      <c r="AA22" s="21" t="n">
        <f aca="false">IF(U22&gt;0,Y22/U22,0)</f>
        <v>0.941124930026529</v>
      </c>
      <c r="AB22" s="21" t="n">
        <f aca="false">IF(Y22&gt;0,Z22/Y22,0)</f>
        <v>0.293343332988518</v>
      </c>
      <c r="AC22" s="22" t="s">
        <v>256</v>
      </c>
      <c r="AD22" s="4" t="s">
        <v>136</v>
      </c>
      <c r="AE22" s="22" t="s">
        <v>117</v>
      </c>
      <c r="AF22" s="22" t="s">
        <v>94</v>
      </c>
      <c r="AG22" s="4" t="s">
        <v>118</v>
      </c>
      <c r="AH22" s="4" t="s">
        <v>257</v>
      </c>
      <c r="AI22" s="4" t="s">
        <v>258</v>
      </c>
      <c r="AJ22" s="4" t="s">
        <v>259</v>
      </c>
    </row>
    <row r="23" customFormat="false" ht="39.55" hidden="false" customHeight="false" outlineLevel="0" collapsed="false">
      <c r="A23" s="23" t="s">
        <v>38</v>
      </c>
      <c r="B23" s="4" t="s">
        <v>192</v>
      </c>
      <c r="C23" s="4" t="s">
        <v>260</v>
      </c>
      <c r="D23" s="4" t="s">
        <v>228</v>
      </c>
      <c r="E23" s="4" t="s">
        <v>261</v>
      </c>
      <c r="F23" s="4" t="s">
        <v>111</v>
      </c>
      <c r="G23" s="4" t="s">
        <v>262</v>
      </c>
      <c r="H23" s="4" t="s">
        <v>89</v>
      </c>
      <c r="I23" s="4" t="s">
        <v>90</v>
      </c>
      <c r="J23" s="4" t="s">
        <v>143</v>
      </c>
      <c r="K23" s="5" t="n">
        <v>6943.02</v>
      </c>
      <c r="L23" s="7" t="n">
        <v>109</v>
      </c>
      <c r="M23" s="5" t="n">
        <v>7706.08</v>
      </c>
      <c r="N23" s="8" t="n">
        <v>1.109903</v>
      </c>
      <c r="O23" s="8" t="n">
        <f aca="false">N23/'Read Me &amp; Markers'!$B$8</f>
        <v>1.0949622315094</v>
      </c>
      <c r="P23" s="9" t="n">
        <v>63.7</v>
      </c>
      <c r="Q23" s="8" t="n">
        <f aca="false">P23/'Read Me &amp; Markers'!$B$9</f>
        <v>1.05718301313917</v>
      </c>
      <c r="R23" s="10" t="n">
        <v>0.0262326</v>
      </c>
      <c r="S23" s="5" t="n">
        <v>92.22</v>
      </c>
      <c r="T23" s="11" t="n">
        <v>2.254199</v>
      </c>
      <c r="U23" s="7" t="n">
        <v>75288</v>
      </c>
      <c r="V23" s="7" t="n">
        <v>1975</v>
      </c>
      <c r="W23" s="7" t="n">
        <v>122</v>
      </c>
      <c r="X23" s="7" t="n">
        <v>279</v>
      </c>
      <c r="Y23" s="7" t="n">
        <v>61087</v>
      </c>
      <c r="Z23" s="7" t="n">
        <v>3073</v>
      </c>
      <c r="AA23" s="21" t="n">
        <f aca="false">IF(U23&gt;0,Y23/U23,0)</f>
        <v>0.811377643183509</v>
      </c>
      <c r="AB23" s="21" t="n">
        <f aca="false">IF(Y23&gt;0,Z23/Y23,0)</f>
        <v>0.0503053022738062</v>
      </c>
      <c r="AC23" s="22" t="s">
        <v>263</v>
      </c>
      <c r="AD23" s="4" t="s">
        <v>93</v>
      </c>
      <c r="AE23" s="22" t="s">
        <v>93</v>
      </c>
      <c r="AF23" s="22" t="s">
        <v>94</v>
      </c>
      <c r="AG23" s="4" t="s">
        <v>95</v>
      </c>
      <c r="AH23" s="4"/>
      <c r="AI23" s="4" t="s">
        <v>264</v>
      </c>
      <c r="AJ23" s="4" t="s">
        <v>265</v>
      </c>
    </row>
    <row r="24" customFormat="false" ht="39.55" hidden="false" customHeight="false" outlineLevel="0" collapsed="false">
      <c r="A24" s="24" t="s">
        <v>40</v>
      </c>
      <c r="B24" s="4" t="s">
        <v>192</v>
      </c>
      <c r="C24" s="4" t="s">
        <v>266</v>
      </c>
      <c r="D24" s="4" t="s">
        <v>228</v>
      </c>
      <c r="E24" s="4" t="s">
        <v>267</v>
      </c>
      <c r="F24" s="4" t="s">
        <v>87</v>
      </c>
      <c r="G24" s="4" t="s">
        <v>262</v>
      </c>
      <c r="H24" s="4" t="s">
        <v>89</v>
      </c>
      <c r="I24" s="4" t="s">
        <v>90</v>
      </c>
      <c r="J24" s="4" t="s">
        <v>103</v>
      </c>
      <c r="K24" s="5" t="n">
        <v>19526.1</v>
      </c>
      <c r="L24" s="7" t="n">
        <v>318</v>
      </c>
      <c r="M24" s="5" t="n">
        <v>21345.86</v>
      </c>
      <c r="N24" s="8" t="n">
        <v>1.093196</v>
      </c>
      <c r="O24" s="8" t="n">
        <f aca="false">N24/'Read Me &amp; Markers'!$B$8</f>
        <v>1.07848012991869</v>
      </c>
      <c r="P24" s="9" t="n">
        <v>61.4</v>
      </c>
      <c r="Q24" s="8" t="n">
        <f aca="false">P24/'Read Me &amp; Markers'!$B$9</f>
        <v>1.0190115699646</v>
      </c>
      <c r="R24" s="10" t="n">
        <v>0.02969702</v>
      </c>
      <c r="S24" s="5" t="n">
        <v>96.13</v>
      </c>
      <c r="T24" s="11" t="n">
        <v>2.511878</v>
      </c>
      <c r="U24" s="7" t="n">
        <v>203118</v>
      </c>
      <c r="V24" s="7" t="n">
        <v>6032</v>
      </c>
      <c r="W24" s="7" t="n">
        <v>321</v>
      </c>
      <c r="X24" s="7" t="n">
        <v>809</v>
      </c>
      <c r="Y24" s="7" t="n">
        <v>169219</v>
      </c>
      <c r="Z24" s="7" t="n">
        <v>9412</v>
      </c>
      <c r="AA24" s="21" t="n">
        <f aca="false">IF(U24&gt;0,Y24/U24,0)</f>
        <v>0.83310686399039</v>
      </c>
      <c r="AB24" s="21" t="n">
        <f aca="false">IF(Y24&gt;0,Z24/Y24,0)</f>
        <v>0.0556202317706641</v>
      </c>
      <c r="AC24" s="22" t="s">
        <v>268</v>
      </c>
      <c r="AD24" s="4" t="s">
        <v>93</v>
      </c>
      <c r="AE24" s="22" t="s">
        <v>93</v>
      </c>
      <c r="AF24" s="22" t="s">
        <v>94</v>
      </c>
      <c r="AG24" s="4" t="s">
        <v>95</v>
      </c>
      <c r="AH24" s="4"/>
      <c r="AI24" s="4" t="s">
        <v>269</v>
      </c>
      <c r="AJ24" s="4" t="s">
        <v>270</v>
      </c>
    </row>
    <row r="25" customFormat="false" ht="39.55" hidden="false" customHeight="false" outlineLevel="0" collapsed="false">
      <c r="A25" s="24" t="s">
        <v>40</v>
      </c>
      <c r="B25" s="4" t="s">
        <v>271</v>
      </c>
      <c r="C25" s="4" t="s">
        <v>272</v>
      </c>
      <c r="D25" s="4" t="s">
        <v>228</v>
      </c>
      <c r="E25" s="4" t="s">
        <v>273</v>
      </c>
      <c r="F25" s="4" t="s">
        <v>111</v>
      </c>
      <c r="G25" s="4" t="s">
        <v>262</v>
      </c>
      <c r="H25" s="4" t="s">
        <v>89</v>
      </c>
      <c r="I25" s="4" t="s">
        <v>90</v>
      </c>
      <c r="J25" s="4" t="s">
        <v>125</v>
      </c>
      <c r="K25" s="5" t="n">
        <v>66429.42</v>
      </c>
      <c r="L25" s="7" t="n">
        <v>1117</v>
      </c>
      <c r="M25" s="5" t="n">
        <v>66508.13</v>
      </c>
      <c r="N25" s="8" t="n">
        <v>1.001185</v>
      </c>
      <c r="O25" s="8" t="n">
        <f aca="false">N25/'Read Me &amp; Markers'!$B$8</f>
        <v>0.987707720182515</v>
      </c>
      <c r="P25" s="9" t="n">
        <v>59.47</v>
      </c>
      <c r="Q25" s="8" t="n">
        <f aca="false">P25/'Read Me &amp; Markers'!$B$9</f>
        <v>0.986980750257242</v>
      </c>
      <c r="R25" s="10" t="n">
        <v>0.05773769</v>
      </c>
      <c r="S25" s="5" t="n">
        <v>166.43</v>
      </c>
      <c r="T25" s="11" t="n">
        <v>2.108914</v>
      </c>
      <c r="U25" s="7" t="n">
        <v>399150</v>
      </c>
      <c r="V25" s="7" t="n">
        <v>23046</v>
      </c>
      <c r="W25" s="7" t="n">
        <v>1046</v>
      </c>
      <c r="X25" s="7" t="n">
        <v>2834</v>
      </c>
      <c r="Y25" s="7" t="n">
        <v>370957</v>
      </c>
      <c r="Z25" s="7" t="n">
        <v>80946</v>
      </c>
      <c r="AA25" s="21" t="n">
        <f aca="false">IF(U25&gt;0,Y25/U25,0)</f>
        <v>0.929367405737192</v>
      </c>
      <c r="AB25" s="21" t="n">
        <f aca="false">IF(Y25&gt;0,Z25/Y25,0)</f>
        <v>0.218208579431039</v>
      </c>
      <c r="AC25" s="22" t="s">
        <v>274</v>
      </c>
      <c r="AD25" s="4" t="s">
        <v>93</v>
      </c>
      <c r="AE25" s="22" t="s">
        <v>93</v>
      </c>
      <c r="AF25" s="22" t="s">
        <v>94</v>
      </c>
      <c r="AG25" s="4" t="s">
        <v>95</v>
      </c>
      <c r="AH25" s="4"/>
      <c r="AI25" s="4" t="s">
        <v>275</v>
      </c>
      <c r="AJ25" s="4" t="s">
        <v>276</v>
      </c>
    </row>
    <row r="26" customFormat="false" ht="39.55" hidden="false" customHeight="false" outlineLevel="0" collapsed="false">
      <c r="A26" s="25" t="s">
        <v>42</v>
      </c>
      <c r="B26" s="4" t="s">
        <v>169</v>
      </c>
      <c r="C26" s="4" t="s">
        <v>277</v>
      </c>
      <c r="D26" s="4" t="s">
        <v>100</v>
      </c>
      <c r="E26" s="4" t="s">
        <v>278</v>
      </c>
      <c r="F26" s="4" t="s">
        <v>87</v>
      </c>
      <c r="G26" s="4" t="s">
        <v>279</v>
      </c>
      <c r="H26" s="4" t="s">
        <v>89</v>
      </c>
      <c r="I26" s="4" t="s">
        <v>90</v>
      </c>
      <c r="J26" s="4" t="s">
        <v>280</v>
      </c>
      <c r="K26" s="5" t="n">
        <v>443.23</v>
      </c>
      <c r="L26" s="7" t="n">
        <v>12</v>
      </c>
      <c r="M26" s="5" t="n">
        <v>956.84</v>
      </c>
      <c r="N26" s="8" t="n">
        <v>2.158789</v>
      </c>
      <c r="O26" s="8" t="n">
        <f aca="false">N26/'Read Me &amp; Markers'!$B$8</f>
        <v>2.12972883287813</v>
      </c>
      <c r="P26" s="9" t="n">
        <v>36.94</v>
      </c>
      <c r="Q26" s="8" t="n">
        <f aca="false">P26/'Read Me &amp; Markers'!$B$9</f>
        <v>0.613066569942871</v>
      </c>
      <c r="R26" s="10" t="n">
        <v>0.06314168</v>
      </c>
      <c r="S26" s="5" t="n">
        <v>113.77</v>
      </c>
      <c r="T26" s="11" t="n">
        <v>1.337912</v>
      </c>
      <c r="U26" s="7" t="n">
        <v>3896</v>
      </c>
      <c r="V26" s="7" t="n">
        <v>246</v>
      </c>
      <c r="W26" s="7" t="n">
        <v>46</v>
      </c>
      <c r="X26" s="7" t="n">
        <v>24</v>
      </c>
      <c r="Y26" s="7" t="n">
        <v>3274</v>
      </c>
      <c r="Z26" s="7" t="n">
        <v>602</v>
      </c>
      <c r="AA26" s="21" t="n">
        <f aca="false">IF(U26&gt;0,Y26/U26,0)</f>
        <v>0.840349075975359</v>
      </c>
      <c r="AB26" s="21" t="n">
        <f aca="false">IF(Y26&gt;0,Z26/Y26,0)</f>
        <v>0.183872938301772</v>
      </c>
      <c r="AC26" s="22"/>
      <c r="AD26" s="4" t="s">
        <v>93</v>
      </c>
      <c r="AE26" s="22" t="s">
        <v>93</v>
      </c>
      <c r="AF26" s="22" t="s">
        <v>94</v>
      </c>
      <c r="AG26" s="4" t="s">
        <v>95</v>
      </c>
      <c r="AH26" s="4"/>
      <c r="AI26" s="4" t="s">
        <v>281</v>
      </c>
      <c r="AJ26" s="4" t="s">
        <v>282</v>
      </c>
    </row>
    <row r="27" customFormat="false" ht="52.2" hidden="false" customHeight="false" outlineLevel="0" collapsed="false">
      <c r="A27" s="25" t="s">
        <v>42</v>
      </c>
      <c r="B27" s="4" t="s">
        <v>283</v>
      </c>
      <c r="C27" s="4" t="s">
        <v>284</v>
      </c>
      <c r="D27" s="4" t="s">
        <v>109</v>
      </c>
      <c r="E27" s="4" t="s">
        <v>285</v>
      </c>
      <c r="F27" s="4" t="s">
        <v>111</v>
      </c>
      <c r="G27" s="4" t="s">
        <v>286</v>
      </c>
      <c r="H27" s="4" t="s">
        <v>89</v>
      </c>
      <c r="I27" s="4" t="s">
        <v>133</v>
      </c>
      <c r="J27" s="4" t="s">
        <v>287</v>
      </c>
      <c r="K27" s="5" t="n">
        <v>578.29</v>
      </c>
      <c r="L27" s="7" t="n">
        <v>18</v>
      </c>
      <c r="M27" s="5" t="n">
        <v>1237.35</v>
      </c>
      <c r="N27" s="8" t="n">
        <v>2.13967</v>
      </c>
      <c r="O27" s="8" t="n">
        <f aca="false">N27/'Read Me &amp; Markers'!$B$8</f>
        <v>2.11086720001091</v>
      </c>
      <c r="P27" s="9" t="n">
        <v>32.13</v>
      </c>
      <c r="Q27" s="8" t="n">
        <f aca="false">P27/'Read Me &amp; Markers'!$B$9</f>
        <v>0.533238464869097</v>
      </c>
      <c r="R27" s="10" t="n">
        <v>0.02206991</v>
      </c>
      <c r="S27" s="5" t="n">
        <v>79.27</v>
      </c>
      <c r="T27" s="11" t="n">
        <v>1.448858</v>
      </c>
      <c r="U27" s="7" t="n">
        <v>7295</v>
      </c>
      <c r="V27" s="7" t="n">
        <v>161</v>
      </c>
      <c r="W27" s="7" t="n">
        <v>3</v>
      </c>
      <c r="X27" s="7" t="n">
        <v>31</v>
      </c>
      <c r="Y27" s="7" t="n">
        <v>6494</v>
      </c>
      <c r="Z27" s="7" t="n">
        <v>317</v>
      </c>
      <c r="AA27" s="21" t="n">
        <f aca="false">IF(U27&gt;0,Y27/U27,0)</f>
        <v>0.890198766278273</v>
      </c>
      <c r="AB27" s="21" t="n">
        <f aca="false">IF(Y27&gt;0,Z27/Y27,0)</f>
        <v>0.0488142901139513</v>
      </c>
      <c r="AC27" s="22"/>
      <c r="AD27" s="4" t="s">
        <v>288</v>
      </c>
      <c r="AE27" s="22" t="s">
        <v>117</v>
      </c>
      <c r="AF27" s="22" t="s">
        <v>94</v>
      </c>
      <c r="AG27" s="4" t="s">
        <v>118</v>
      </c>
      <c r="AH27" s="4" t="s">
        <v>289</v>
      </c>
      <c r="AI27" s="4" t="s">
        <v>290</v>
      </c>
      <c r="AJ27" s="4" t="s">
        <v>291</v>
      </c>
    </row>
    <row r="28" customFormat="false" ht="39.55" hidden="false" customHeight="false" outlineLevel="0" collapsed="false">
      <c r="A28" s="25" t="s">
        <v>42</v>
      </c>
      <c r="B28" s="4" t="s">
        <v>169</v>
      </c>
      <c r="C28" s="4" t="s">
        <v>292</v>
      </c>
      <c r="D28" s="4" t="s">
        <v>100</v>
      </c>
      <c r="E28" s="4" t="s">
        <v>293</v>
      </c>
      <c r="F28" s="4" t="s">
        <v>87</v>
      </c>
      <c r="G28" s="4" t="s">
        <v>294</v>
      </c>
      <c r="H28" s="4" t="s">
        <v>89</v>
      </c>
      <c r="I28" s="4" t="s">
        <v>90</v>
      </c>
      <c r="J28" s="4" t="s">
        <v>103</v>
      </c>
      <c r="K28" s="5" t="n">
        <v>786.55</v>
      </c>
      <c r="L28" s="7" t="n">
        <v>23</v>
      </c>
      <c r="M28" s="5" t="n">
        <v>1545.42</v>
      </c>
      <c r="N28" s="8" t="n">
        <v>1.964808</v>
      </c>
      <c r="O28" s="8" t="n">
        <f aca="false">N28/'Read Me &amp; Markers'!$B$8</f>
        <v>1.93835907477276</v>
      </c>
      <c r="P28" s="9" t="n">
        <v>34.2</v>
      </c>
      <c r="Q28" s="8" t="n">
        <f aca="false">P28/'Read Me &amp; Markers'!$B$9</f>
        <v>0.56759276372621</v>
      </c>
      <c r="R28" s="10" t="n">
        <v>0.02936418</v>
      </c>
      <c r="S28" s="5" t="n">
        <v>63.63</v>
      </c>
      <c r="T28" s="11" t="n">
        <v>1.773092</v>
      </c>
      <c r="U28" s="7" t="n">
        <v>12362</v>
      </c>
      <c r="V28" s="7" t="n">
        <v>363</v>
      </c>
      <c r="W28" s="7" t="n">
        <v>72</v>
      </c>
      <c r="X28" s="7" t="n">
        <v>73</v>
      </c>
      <c r="Y28" s="7" t="n">
        <v>9722</v>
      </c>
      <c r="Z28" s="7" t="n">
        <v>778</v>
      </c>
      <c r="AA28" s="21" t="n">
        <f aca="false">IF(U28&gt;0,Y28/U28,0)</f>
        <v>0.786442323248665</v>
      </c>
      <c r="AB28" s="21" t="n">
        <f aca="false">IF(Y28&gt;0,Z28/Y28,0)</f>
        <v>0.0800246862785435</v>
      </c>
      <c r="AC28" s="22"/>
      <c r="AD28" s="4" t="s">
        <v>93</v>
      </c>
      <c r="AE28" s="22" t="s">
        <v>93</v>
      </c>
      <c r="AF28" s="22" t="s">
        <v>94</v>
      </c>
      <c r="AG28" s="4" t="s">
        <v>95</v>
      </c>
      <c r="AH28" s="4"/>
      <c r="AI28" s="4" t="s">
        <v>295</v>
      </c>
      <c r="AJ28" s="4" t="s">
        <v>296</v>
      </c>
    </row>
    <row r="29" customFormat="false" ht="39.55" hidden="false" customHeight="false" outlineLevel="0" collapsed="false">
      <c r="A29" s="25" t="s">
        <v>42</v>
      </c>
      <c r="B29" s="4" t="s">
        <v>271</v>
      </c>
      <c r="C29" s="4" t="s">
        <v>297</v>
      </c>
      <c r="D29" s="4" t="s">
        <v>228</v>
      </c>
      <c r="E29" s="4" t="s">
        <v>298</v>
      </c>
      <c r="F29" s="4" t="s">
        <v>87</v>
      </c>
      <c r="G29" s="4" t="s">
        <v>262</v>
      </c>
      <c r="H29" s="4" t="s">
        <v>89</v>
      </c>
      <c r="I29" s="4" t="s">
        <v>90</v>
      </c>
      <c r="J29" s="4" t="s">
        <v>299</v>
      </c>
      <c r="K29" s="5" t="n">
        <v>321.43</v>
      </c>
      <c r="L29" s="7" t="n">
        <v>11</v>
      </c>
      <c r="M29" s="5" t="n">
        <v>582.08</v>
      </c>
      <c r="N29" s="8" t="n">
        <v>1.810908</v>
      </c>
      <c r="O29" s="8" t="n">
        <f aca="false">N29/'Read Me &amp; Markers'!$B$8</f>
        <v>1.78653077317407</v>
      </c>
      <c r="P29" s="9" t="n">
        <v>29.22</v>
      </c>
      <c r="Q29" s="8" t="n">
        <f aca="false">P29/'Read Me &amp; Markers'!$B$9</f>
        <v>0.484943291113446</v>
      </c>
      <c r="R29" s="10" t="n">
        <v>0.02764771</v>
      </c>
      <c r="S29" s="5" t="n">
        <v>71.67</v>
      </c>
      <c r="T29" s="11" t="n">
        <v>1.420653</v>
      </c>
      <c r="U29" s="7" t="n">
        <v>4485</v>
      </c>
      <c r="V29" s="7" t="n">
        <v>124</v>
      </c>
      <c r="W29" s="7" t="n">
        <v>14</v>
      </c>
      <c r="X29" s="7" t="n">
        <v>19</v>
      </c>
      <c r="Y29" s="7" t="n">
        <v>3678</v>
      </c>
      <c r="Z29" s="7" t="n">
        <v>229</v>
      </c>
      <c r="AA29" s="21" t="n">
        <f aca="false">IF(U29&gt;0,Y29/U29,0)</f>
        <v>0.820066889632107</v>
      </c>
      <c r="AB29" s="21" t="n">
        <f aca="false">IF(Y29&gt;0,Z29/Y29,0)</f>
        <v>0.0622620989668298</v>
      </c>
      <c r="AC29" s="22"/>
      <c r="AD29" s="4" t="s">
        <v>93</v>
      </c>
      <c r="AE29" s="22" t="s">
        <v>93</v>
      </c>
      <c r="AF29" s="22" t="s">
        <v>94</v>
      </c>
      <c r="AG29" s="4" t="s">
        <v>95</v>
      </c>
      <c r="AH29" s="4"/>
      <c r="AI29" s="4" t="s">
        <v>300</v>
      </c>
      <c r="AJ29" s="4" t="s">
        <v>301</v>
      </c>
    </row>
    <row r="30" customFormat="false" ht="39.55" hidden="false" customHeight="false" outlineLevel="0" collapsed="false">
      <c r="A30" s="25" t="s">
        <v>42</v>
      </c>
      <c r="B30" s="4" t="s">
        <v>302</v>
      </c>
      <c r="C30" s="4" t="s">
        <v>303</v>
      </c>
      <c r="D30" s="4" t="s">
        <v>228</v>
      </c>
      <c r="E30" s="4" t="s">
        <v>304</v>
      </c>
      <c r="F30" s="4" t="s">
        <v>87</v>
      </c>
      <c r="G30" s="4" t="s">
        <v>262</v>
      </c>
      <c r="H30" s="4" t="s">
        <v>89</v>
      </c>
      <c r="I30" s="4" t="s">
        <v>90</v>
      </c>
      <c r="J30" s="4" t="s">
        <v>165</v>
      </c>
      <c r="K30" s="5" t="n">
        <v>924.7</v>
      </c>
      <c r="L30" s="7" t="n">
        <v>24</v>
      </c>
      <c r="M30" s="5" t="n">
        <v>1662.03</v>
      </c>
      <c r="N30" s="8" t="n">
        <v>1.797372</v>
      </c>
      <c r="O30" s="8" t="n">
        <f aca="false">N30/'Read Me &amp; Markers'!$B$8</f>
        <v>1.77317698571182</v>
      </c>
      <c r="P30" s="9" t="n">
        <v>38.53</v>
      </c>
      <c r="Q30" s="8" t="n">
        <f aca="false">P30/'Read Me &amp; Markers'!$B$9</f>
        <v>0.639454654572247</v>
      </c>
      <c r="R30" s="10" t="n">
        <v>0.03450468</v>
      </c>
      <c r="S30" s="5" t="n">
        <v>83.96</v>
      </c>
      <c r="T30" s="11" t="n">
        <v>1.509664</v>
      </c>
      <c r="U30" s="7" t="n">
        <v>11013</v>
      </c>
      <c r="V30" s="7" t="n">
        <v>380</v>
      </c>
      <c r="W30" s="7" t="n">
        <v>68</v>
      </c>
      <c r="X30" s="7" t="n">
        <v>57</v>
      </c>
      <c r="Y30" s="7" t="n">
        <v>9585</v>
      </c>
      <c r="Z30" s="7" t="n">
        <v>479</v>
      </c>
      <c r="AA30" s="21" t="n">
        <f aca="false">IF(U30&gt;0,Y30/U30,0)</f>
        <v>0.870335058567148</v>
      </c>
      <c r="AB30" s="21" t="n">
        <f aca="false">IF(Y30&gt;0,Z30/Y30,0)</f>
        <v>0.0499739175795514</v>
      </c>
      <c r="AC30" s="22"/>
      <c r="AD30" s="4" t="s">
        <v>93</v>
      </c>
      <c r="AE30" s="22" t="s">
        <v>93</v>
      </c>
      <c r="AF30" s="22" t="s">
        <v>94</v>
      </c>
      <c r="AG30" s="4" t="s">
        <v>95</v>
      </c>
      <c r="AH30" s="4"/>
      <c r="AI30" s="4" t="s">
        <v>305</v>
      </c>
      <c r="AJ30" s="4" t="s">
        <v>306</v>
      </c>
    </row>
    <row r="31" customFormat="false" ht="39.55" hidden="false" customHeight="false" outlineLevel="0" collapsed="false">
      <c r="A31" s="25" t="s">
        <v>42</v>
      </c>
      <c r="B31" s="4" t="s">
        <v>307</v>
      </c>
      <c r="C31" s="4" t="s">
        <v>308</v>
      </c>
      <c r="D31" s="4" t="s">
        <v>100</v>
      </c>
      <c r="E31" s="4" t="s">
        <v>309</v>
      </c>
      <c r="F31" s="4" t="s">
        <v>87</v>
      </c>
      <c r="G31" s="4" t="s">
        <v>310</v>
      </c>
      <c r="H31" s="4" t="s">
        <v>89</v>
      </c>
      <c r="I31" s="4" t="s">
        <v>90</v>
      </c>
      <c r="J31" s="4" t="s">
        <v>311</v>
      </c>
      <c r="K31" s="5" t="n">
        <v>376.28</v>
      </c>
      <c r="L31" s="7" t="n">
        <v>10</v>
      </c>
      <c r="M31" s="5" t="n">
        <v>657.97</v>
      </c>
      <c r="N31" s="8" t="n">
        <v>1.748618</v>
      </c>
      <c r="O31" s="8" t="n">
        <f aca="false">N31/'Read Me &amp; Markers'!$B$8</f>
        <v>1.72507927930413</v>
      </c>
      <c r="P31" s="9" t="n">
        <v>37.63</v>
      </c>
      <c r="Q31" s="8" t="n">
        <f aca="false">P31/'Read Me &amp; Markers'!$B$9</f>
        <v>0.624518002895242</v>
      </c>
      <c r="R31" s="10" t="n">
        <v>0.02171624</v>
      </c>
      <c r="S31" s="5" t="n">
        <v>49.52</v>
      </c>
      <c r="T31" s="11" t="n">
        <v>1.572759</v>
      </c>
      <c r="U31" s="7" t="n">
        <v>7598</v>
      </c>
      <c r="V31" s="7" t="n">
        <v>165</v>
      </c>
      <c r="W31" s="7" t="n">
        <v>33</v>
      </c>
      <c r="X31" s="7" t="n">
        <v>30</v>
      </c>
      <c r="Y31" s="7" t="n">
        <v>6013</v>
      </c>
      <c r="Z31" s="7" t="n">
        <v>358</v>
      </c>
      <c r="AA31" s="21" t="n">
        <f aca="false">IF(U31&gt;0,Y31/U31,0)</f>
        <v>0.79139247170308</v>
      </c>
      <c r="AB31" s="21" t="n">
        <f aca="false">IF(Y31&gt;0,Z31/Y31,0)</f>
        <v>0.0595376683851655</v>
      </c>
      <c r="AC31" s="22"/>
      <c r="AD31" s="4" t="s">
        <v>93</v>
      </c>
      <c r="AE31" s="22" t="s">
        <v>93</v>
      </c>
      <c r="AF31" s="22" t="s">
        <v>94</v>
      </c>
      <c r="AG31" s="4" t="s">
        <v>95</v>
      </c>
      <c r="AH31" s="4"/>
      <c r="AI31" s="4" t="s">
        <v>312</v>
      </c>
      <c r="AJ31" s="4" t="s">
        <v>313</v>
      </c>
    </row>
    <row r="32" customFormat="false" ht="52.2" hidden="false" customHeight="false" outlineLevel="0" collapsed="false">
      <c r="A32" s="25" t="s">
        <v>42</v>
      </c>
      <c r="B32" s="4" t="s">
        <v>314</v>
      </c>
      <c r="C32" s="4" t="s">
        <v>315</v>
      </c>
      <c r="D32" s="4" t="s">
        <v>109</v>
      </c>
      <c r="E32" s="4" t="s">
        <v>316</v>
      </c>
      <c r="F32" s="4" t="s">
        <v>111</v>
      </c>
      <c r="G32" s="4" t="s">
        <v>317</v>
      </c>
      <c r="H32" s="4" t="s">
        <v>89</v>
      </c>
      <c r="I32" s="4" t="s">
        <v>113</v>
      </c>
      <c r="J32" s="4" t="s">
        <v>318</v>
      </c>
      <c r="K32" s="5" t="n">
        <v>434.6</v>
      </c>
      <c r="L32" s="7" t="n">
        <v>10</v>
      </c>
      <c r="M32" s="5" t="n">
        <v>743.2</v>
      </c>
      <c r="N32" s="8" t="n">
        <v>1.710078</v>
      </c>
      <c r="O32" s="8" t="n">
        <f aca="false">N32/'Read Me &amp; Markers'!$B$8</f>
        <v>1.68705807889079</v>
      </c>
      <c r="P32" s="9" t="n">
        <v>43.46</v>
      </c>
      <c r="Q32" s="8" t="n">
        <f aca="false">P32/'Read Me &amp; Markers'!$B$9</f>
        <v>0.721274313202955</v>
      </c>
      <c r="R32" s="10" t="n">
        <v>0.0193248</v>
      </c>
      <c r="S32" s="5" t="n">
        <v>50.59</v>
      </c>
      <c r="T32" s="11" t="n">
        <v>1.596951</v>
      </c>
      <c r="U32" s="7" t="n">
        <v>8590</v>
      </c>
      <c r="V32" s="7" t="n">
        <v>166</v>
      </c>
      <c r="W32" s="7" t="n">
        <v>8</v>
      </c>
      <c r="X32" s="7" t="n">
        <v>21</v>
      </c>
      <c r="Y32" s="7" t="n">
        <v>0</v>
      </c>
      <c r="Z32" s="7" t="n">
        <v>0</v>
      </c>
      <c r="AA32" s="21" t="n">
        <f aca="false">IF(U32&gt;0,Y32/U32,0)</f>
        <v>0</v>
      </c>
      <c r="AB32" s="21" t="n">
        <f aca="false">IF(Y32&gt;0,Z32/Y32,0)</f>
        <v>0</v>
      </c>
      <c r="AC32" s="22"/>
      <c r="AD32" s="4" t="s">
        <v>136</v>
      </c>
      <c r="AE32" s="22" t="s">
        <v>117</v>
      </c>
      <c r="AF32" s="22" t="s">
        <v>94</v>
      </c>
      <c r="AG32" s="4" t="s">
        <v>118</v>
      </c>
      <c r="AH32" s="4"/>
      <c r="AI32" s="4" t="s">
        <v>319</v>
      </c>
      <c r="AJ32" s="4" t="s">
        <v>320</v>
      </c>
    </row>
    <row r="33" customFormat="false" ht="115.65" hidden="false" customHeight="false" outlineLevel="0" collapsed="false">
      <c r="A33" s="25" t="s">
        <v>42</v>
      </c>
      <c r="B33" s="4" t="s">
        <v>321</v>
      </c>
      <c r="C33" s="4" t="s">
        <v>322</v>
      </c>
      <c r="D33" s="4" t="s">
        <v>154</v>
      </c>
      <c r="E33" s="4" t="s">
        <v>323</v>
      </c>
      <c r="F33" s="4" t="s">
        <v>87</v>
      </c>
      <c r="G33" s="4" t="s">
        <v>156</v>
      </c>
      <c r="H33" s="4" t="s">
        <v>157</v>
      </c>
      <c r="I33" s="4" t="s">
        <v>90</v>
      </c>
      <c r="J33" s="4" t="s">
        <v>324</v>
      </c>
      <c r="K33" s="5" t="n">
        <v>333.22</v>
      </c>
      <c r="L33" s="7" t="n">
        <v>8</v>
      </c>
      <c r="M33" s="5" t="n">
        <v>534.19</v>
      </c>
      <c r="N33" s="8" t="n">
        <v>1.603115</v>
      </c>
      <c r="O33" s="8" t="n">
        <f aca="false">N33/'Read Me &amp; Markers'!$B$8</f>
        <v>1.58153494293302</v>
      </c>
      <c r="P33" s="9" t="n">
        <v>41.65</v>
      </c>
      <c r="Q33" s="8" t="n">
        <f aca="false">P33/'Read Me &amp; Markers'!$B$9</f>
        <v>0.691235047052533</v>
      </c>
      <c r="R33" s="10" t="n">
        <v>0.03394834</v>
      </c>
      <c r="S33" s="5" t="n">
        <v>49.18</v>
      </c>
      <c r="T33" s="11" t="n">
        <v>1.377593</v>
      </c>
      <c r="U33" s="7" t="n">
        <v>6775</v>
      </c>
      <c r="V33" s="7" t="n">
        <v>230</v>
      </c>
      <c r="W33" s="7" t="n">
        <v>23</v>
      </c>
      <c r="X33" s="7" t="n">
        <v>18</v>
      </c>
      <c r="Y33" s="7" t="n">
        <v>5932</v>
      </c>
      <c r="Z33" s="7" t="n">
        <v>407</v>
      </c>
      <c r="AA33" s="21" t="n">
        <f aca="false">IF(U33&gt;0,Y33/U33,0)</f>
        <v>0.875571955719557</v>
      </c>
      <c r="AB33" s="21" t="n">
        <f aca="false">IF(Y33&gt;0,Z33/Y33,0)</f>
        <v>0.0686109238031018</v>
      </c>
      <c r="AC33" s="22"/>
      <c r="AD33" s="4" t="s">
        <v>93</v>
      </c>
      <c r="AE33" s="22" t="s">
        <v>93</v>
      </c>
      <c r="AF33" s="22" t="s">
        <v>160</v>
      </c>
      <c r="AG33" s="4" t="s">
        <v>95</v>
      </c>
      <c r="AH33" s="4"/>
      <c r="AI33" s="4" t="s">
        <v>325</v>
      </c>
      <c r="AJ33" s="4" t="s">
        <v>326</v>
      </c>
    </row>
    <row r="34" customFormat="false" ht="52.2" hidden="false" customHeight="false" outlineLevel="0" collapsed="false">
      <c r="A34" s="25" t="s">
        <v>42</v>
      </c>
      <c r="B34" s="4" t="s">
        <v>169</v>
      </c>
      <c r="C34" s="4" t="s">
        <v>327</v>
      </c>
      <c r="D34" s="4" t="s">
        <v>206</v>
      </c>
      <c r="E34" s="4" t="s">
        <v>328</v>
      </c>
      <c r="F34" s="4" t="s">
        <v>253</v>
      </c>
      <c r="G34" s="4" t="s">
        <v>254</v>
      </c>
      <c r="H34" s="4" t="s">
        <v>89</v>
      </c>
      <c r="I34" s="4" t="s">
        <v>133</v>
      </c>
      <c r="J34" s="4" t="s">
        <v>329</v>
      </c>
      <c r="K34" s="5" t="n">
        <v>672.95</v>
      </c>
      <c r="L34" s="7" t="n">
        <v>17</v>
      </c>
      <c r="M34" s="5" t="n">
        <v>1031.71</v>
      </c>
      <c r="N34" s="8" t="n">
        <v>1.533115</v>
      </c>
      <c r="O34" s="8" t="n">
        <f aca="false">N34/'Read Me &amp; Markers'!$B$8</f>
        <v>1.51247723590307</v>
      </c>
      <c r="P34" s="9" t="n">
        <v>39.59</v>
      </c>
      <c r="Q34" s="8" t="n">
        <f aca="false">P34/'Read Me &amp; Markers'!$B$9</f>
        <v>0.657046710991832</v>
      </c>
      <c r="R34" s="10" t="n">
        <v>0.04424635</v>
      </c>
      <c r="S34" s="5" t="n">
        <v>109.07</v>
      </c>
      <c r="T34" s="11" t="n">
        <v>1.176358</v>
      </c>
      <c r="U34" s="7" t="n">
        <v>6170</v>
      </c>
      <c r="V34" s="7" t="n">
        <v>273</v>
      </c>
      <c r="W34" s="7" t="n">
        <v>45</v>
      </c>
      <c r="X34" s="7" t="n">
        <v>37</v>
      </c>
      <c r="Y34" s="7" t="n">
        <v>5724</v>
      </c>
      <c r="Z34" s="7" t="n">
        <v>1049</v>
      </c>
      <c r="AA34" s="21" t="n">
        <f aca="false">IF(U34&gt;0,Y34/U34,0)</f>
        <v>0.927714748784441</v>
      </c>
      <c r="AB34" s="21" t="n">
        <f aca="false">IF(Y34&gt;0,Z34/Y34,0)</f>
        <v>0.183263452131377</v>
      </c>
      <c r="AC34" s="22"/>
      <c r="AD34" s="4" t="s">
        <v>136</v>
      </c>
      <c r="AE34" s="22" t="s">
        <v>117</v>
      </c>
      <c r="AF34" s="22" t="s">
        <v>94</v>
      </c>
      <c r="AG34" s="4" t="s">
        <v>118</v>
      </c>
      <c r="AH34" s="4" t="s">
        <v>330</v>
      </c>
      <c r="AI34" s="4" t="s">
        <v>331</v>
      </c>
      <c r="AJ34" s="4" t="s">
        <v>332</v>
      </c>
    </row>
    <row r="35" customFormat="false" ht="115.65" hidden="false" customHeight="false" outlineLevel="0" collapsed="false">
      <c r="A35" s="25" t="s">
        <v>42</v>
      </c>
      <c r="B35" s="4" t="s">
        <v>333</v>
      </c>
      <c r="C35" s="4" t="s">
        <v>334</v>
      </c>
      <c r="D35" s="4" t="s">
        <v>154</v>
      </c>
      <c r="E35" s="4" t="s">
        <v>335</v>
      </c>
      <c r="F35" s="4" t="s">
        <v>87</v>
      </c>
      <c r="G35" s="4" t="s">
        <v>336</v>
      </c>
      <c r="H35" s="4" t="s">
        <v>157</v>
      </c>
      <c r="I35" s="4" t="s">
        <v>90</v>
      </c>
      <c r="J35" s="4" t="s">
        <v>337</v>
      </c>
      <c r="K35" s="5" t="n">
        <v>264.3</v>
      </c>
      <c r="L35" s="7" t="n">
        <v>7</v>
      </c>
      <c r="M35" s="5" t="n">
        <v>404.53</v>
      </c>
      <c r="N35" s="8" t="n">
        <v>1.530571</v>
      </c>
      <c r="O35" s="8" t="n">
        <f aca="false">N35/'Read Me &amp; Markers'!$B$8</f>
        <v>1.50996748152187</v>
      </c>
      <c r="P35" s="9" t="n">
        <v>37.76</v>
      </c>
      <c r="Q35" s="8" t="n">
        <f aca="false">P35/'Read Me &amp; Markers'!$B$9</f>
        <v>0.626675519248587</v>
      </c>
      <c r="R35" s="10" t="n">
        <v>0.04563013</v>
      </c>
      <c r="S35" s="5" t="n">
        <v>63.81</v>
      </c>
      <c r="T35" s="11" t="n">
        <v>1.314503</v>
      </c>
      <c r="U35" s="7" t="n">
        <v>4142</v>
      </c>
      <c r="V35" s="7" t="n">
        <v>189</v>
      </c>
      <c r="W35" s="7" t="n">
        <v>22</v>
      </c>
      <c r="X35" s="7" t="n">
        <v>20</v>
      </c>
      <c r="Y35" s="7" t="n">
        <v>3711</v>
      </c>
      <c r="Z35" s="7" t="n">
        <v>352</v>
      </c>
      <c r="AA35" s="21" t="n">
        <f aca="false">IF(U35&gt;0,Y35/U35,0)</f>
        <v>0.895943988411395</v>
      </c>
      <c r="AB35" s="21" t="n">
        <f aca="false">IF(Y35&gt;0,Z35/Y35,0)</f>
        <v>0.0948531393155484</v>
      </c>
      <c r="AC35" s="22"/>
      <c r="AD35" s="4" t="s">
        <v>93</v>
      </c>
      <c r="AE35" s="22" t="s">
        <v>93</v>
      </c>
      <c r="AF35" s="22" t="s">
        <v>160</v>
      </c>
      <c r="AG35" s="4" t="s">
        <v>95</v>
      </c>
      <c r="AH35" s="4"/>
      <c r="AI35" s="4" t="s">
        <v>338</v>
      </c>
      <c r="AJ35" s="4" t="s">
        <v>339</v>
      </c>
    </row>
    <row r="36" customFormat="false" ht="39.55" hidden="false" customHeight="false" outlineLevel="0" collapsed="false">
      <c r="A36" s="25" t="s">
        <v>42</v>
      </c>
      <c r="B36" s="4" t="s">
        <v>169</v>
      </c>
      <c r="C36" s="4" t="s">
        <v>340</v>
      </c>
      <c r="D36" s="4" t="s">
        <v>100</v>
      </c>
      <c r="E36" s="4" t="s">
        <v>341</v>
      </c>
      <c r="F36" s="4" t="s">
        <v>87</v>
      </c>
      <c r="G36" s="4" t="s">
        <v>342</v>
      </c>
      <c r="H36" s="4" t="s">
        <v>89</v>
      </c>
      <c r="I36" s="4" t="s">
        <v>90</v>
      </c>
      <c r="J36" s="4" t="s">
        <v>343</v>
      </c>
      <c r="K36" s="5" t="n">
        <v>317.41</v>
      </c>
      <c r="L36" s="7" t="n">
        <v>9</v>
      </c>
      <c r="M36" s="5" t="n">
        <v>474.14</v>
      </c>
      <c r="N36" s="8" t="n">
        <v>1.493778</v>
      </c>
      <c r="O36" s="8" t="n">
        <f aca="false">N36/'Read Me &amp; Markers'!$B$8</f>
        <v>1.47366976416826</v>
      </c>
      <c r="P36" s="9" t="n">
        <v>35.27</v>
      </c>
      <c r="Q36" s="8" t="n">
        <f aca="false">P36/'Read Me &amp; Markers'!$B$9</f>
        <v>0.585350782942205</v>
      </c>
      <c r="R36" s="10" t="n">
        <v>0.03871829</v>
      </c>
      <c r="S36" s="5" t="n">
        <v>105.94</v>
      </c>
      <c r="T36" s="11" t="n">
        <v>1.113755</v>
      </c>
      <c r="U36" s="7" t="n">
        <v>2996</v>
      </c>
      <c r="V36" s="7" t="n">
        <v>116</v>
      </c>
      <c r="W36" s="7" t="n">
        <v>16</v>
      </c>
      <c r="X36" s="7" t="n">
        <v>14</v>
      </c>
      <c r="Y36" s="7" t="n">
        <v>2772</v>
      </c>
      <c r="Z36" s="7" t="n">
        <v>526</v>
      </c>
      <c r="AA36" s="21" t="n">
        <f aca="false">IF(U36&gt;0,Y36/U36,0)</f>
        <v>0.925233644859813</v>
      </c>
      <c r="AB36" s="21" t="n">
        <f aca="false">IF(Y36&gt;0,Z36/Y36,0)</f>
        <v>0.18975468975469</v>
      </c>
      <c r="AC36" s="22"/>
      <c r="AD36" s="4" t="s">
        <v>93</v>
      </c>
      <c r="AE36" s="22" t="s">
        <v>93</v>
      </c>
      <c r="AF36" s="22" t="s">
        <v>94</v>
      </c>
      <c r="AG36" s="4" t="s">
        <v>95</v>
      </c>
      <c r="AH36" s="4"/>
      <c r="AI36" s="4" t="s">
        <v>344</v>
      </c>
      <c r="AJ36" s="4" t="s">
        <v>345</v>
      </c>
    </row>
    <row r="37" customFormat="false" ht="52.2" hidden="false" customHeight="false" outlineLevel="0" collapsed="false">
      <c r="A37" s="25" t="s">
        <v>42</v>
      </c>
      <c r="B37" s="4" t="s">
        <v>169</v>
      </c>
      <c r="C37" s="4" t="s">
        <v>346</v>
      </c>
      <c r="D37" s="4" t="s">
        <v>100</v>
      </c>
      <c r="E37" s="4" t="s">
        <v>347</v>
      </c>
      <c r="F37" s="4" t="s">
        <v>87</v>
      </c>
      <c r="G37" s="4" t="s">
        <v>348</v>
      </c>
      <c r="H37" s="4" t="s">
        <v>89</v>
      </c>
      <c r="I37" s="4" t="s">
        <v>133</v>
      </c>
      <c r="J37" s="4" t="s">
        <v>349</v>
      </c>
      <c r="K37" s="5" t="n">
        <v>324.46</v>
      </c>
      <c r="L37" s="7" t="n">
        <v>6</v>
      </c>
      <c r="M37" s="5" t="n">
        <v>477.72</v>
      </c>
      <c r="N37" s="8" t="n">
        <v>1.472354</v>
      </c>
      <c r="O37" s="8" t="n">
        <f aca="false">N37/'Read Me &amp; Markers'!$B$8</f>
        <v>1.45253415966241</v>
      </c>
      <c r="P37" s="9" t="n">
        <v>54.08</v>
      </c>
      <c r="Q37" s="8" t="n">
        <f aca="false">P37/'Read Me &amp; Markers'!$B$9</f>
        <v>0.89752680299162</v>
      </c>
      <c r="R37" s="10" t="n">
        <v>0.01960512</v>
      </c>
      <c r="S37" s="5" t="n">
        <v>45.11</v>
      </c>
      <c r="T37" s="11" t="n">
        <v>1.592207</v>
      </c>
      <c r="U37" s="7" t="n">
        <v>7192</v>
      </c>
      <c r="V37" s="7" t="n">
        <v>141</v>
      </c>
      <c r="W37" s="7" t="n">
        <v>19</v>
      </c>
      <c r="X37" s="7" t="n">
        <v>25</v>
      </c>
      <c r="Y37" s="7" t="n">
        <v>6007</v>
      </c>
      <c r="Z37" s="7" t="n">
        <v>586</v>
      </c>
      <c r="AA37" s="21" t="n">
        <f aca="false">IF(U37&gt;0,Y37/U37,0)</f>
        <v>0.835233592880979</v>
      </c>
      <c r="AB37" s="21" t="n">
        <f aca="false">IF(Y37&gt;0,Z37/Y37,0)</f>
        <v>0.0975528550024971</v>
      </c>
      <c r="AC37" s="22"/>
      <c r="AD37" s="4" t="s">
        <v>350</v>
      </c>
      <c r="AE37" s="22" t="s">
        <v>117</v>
      </c>
      <c r="AF37" s="22" t="s">
        <v>94</v>
      </c>
      <c r="AG37" s="4" t="s">
        <v>118</v>
      </c>
      <c r="AH37" s="4" t="s">
        <v>351</v>
      </c>
      <c r="AI37" s="4" t="s">
        <v>352</v>
      </c>
      <c r="AJ37" s="4" t="s">
        <v>353</v>
      </c>
    </row>
    <row r="38" customFormat="false" ht="39.55" hidden="false" customHeight="false" outlineLevel="0" collapsed="false">
      <c r="A38" s="25" t="s">
        <v>42</v>
      </c>
      <c r="B38" s="4" t="s">
        <v>121</v>
      </c>
      <c r="C38" s="4" t="s">
        <v>354</v>
      </c>
      <c r="D38" s="4" t="s">
        <v>100</v>
      </c>
      <c r="E38" s="4" t="s">
        <v>355</v>
      </c>
      <c r="F38" s="4" t="s">
        <v>87</v>
      </c>
      <c r="G38" s="4" t="s">
        <v>142</v>
      </c>
      <c r="H38" s="4" t="s">
        <v>89</v>
      </c>
      <c r="I38" s="4" t="s">
        <v>90</v>
      </c>
      <c r="J38" s="4" t="s">
        <v>103</v>
      </c>
      <c r="K38" s="5" t="n">
        <v>271.98</v>
      </c>
      <c r="L38" s="7" t="n">
        <v>6</v>
      </c>
      <c r="M38" s="5" t="n">
        <v>392.52</v>
      </c>
      <c r="N38" s="8" t="n">
        <v>1.443194</v>
      </c>
      <c r="O38" s="8" t="n">
        <f aca="false">N38/'Read Me &amp; Markers'!$B$8</f>
        <v>1.42376669199108</v>
      </c>
      <c r="P38" s="9" t="n">
        <v>45.33</v>
      </c>
      <c r="Q38" s="8" t="n">
        <f aca="false">P38/'Read Me &amp; Markers'!$B$9</f>
        <v>0.752309356131845</v>
      </c>
      <c r="R38" s="10" t="n">
        <v>0.03456341</v>
      </c>
      <c r="S38" s="5" t="n">
        <v>70.68</v>
      </c>
      <c r="T38" s="11" t="n">
        <v>1.168185</v>
      </c>
      <c r="U38" s="7" t="n">
        <v>3848</v>
      </c>
      <c r="V38" s="7" t="n">
        <v>133</v>
      </c>
      <c r="W38" s="7" t="n">
        <v>27</v>
      </c>
      <c r="X38" s="7" t="n">
        <v>18</v>
      </c>
      <c r="Y38" s="7" t="n">
        <v>3322</v>
      </c>
      <c r="Z38" s="7" t="n">
        <v>146</v>
      </c>
      <c r="AA38" s="21" t="n">
        <f aca="false">IF(U38&gt;0,Y38/U38,0)</f>
        <v>0.863305613305613</v>
      </c>
      <c r="AB38" s="21" t="n">
        <f aca="false">IF(Y38&gt;0,Z38/Y38,0)</f>
        <v>0.0439494280553883</v>
      </c>
      <c r="AC38" s="22"/>
      <c r="AD38" s="4" t="s">
        <v>93</v>
      </c>
      <c r="AE38" s="22" t="s">
        <v>93</v>
      </c>
      <c r="AF38" s="22" t="s">
        <v>94</v>
      </c>
      <c r="AG38" s="4" t="s">
        <v>95</v>
      </c>
      <c r="AH38" s="4"/>
      <c r="AI38" s="4" t="s">
        <v>356</v>
      </c>
      <c r="AJ38" s="4" t="s">
        <v>357</v>
      </c>
    </row>
    <row r="39" customFormat="false" ht="141" hidden="false" customHeight="false" outlineLevel="0" collapsed="false">
      <c r="A39" s="25" t="s">
        <v>42</v>
      </c>
      <c r="B39" s="4" t="s">
        <v>358</v>
      </c>
      <c r="C39" s="4" t="s">
        <v>359</v>
      </c>
      <c r="D39" s="4" t="s">
        <v>109</v>
      </c>
      <c r="E39" s="4" t="s">
        <v>360</v>
      </c>
      <c r="F39" s="4" t="s">
        <v>111</v>
      </c>
      <c r="G39" s="4" t="s">
        <v>361</v>
      </c>
      <c r="H39" s="4" t="s">
        <v>89</v>
      </c>
      <c r="I39" s="4" t="s">
        <v>113</v>
      </c>
      <c r="J39" s="4" t="s">
        <v>362</v>
      </c>
      <c r="K39" s="5" t="n">
        <v>324.46</v>
      </c>
      <c r="L39" s="7" t="n">
        <v>8</v>
      </c>
      <c r="M39" s="5" t="n">
        <v>462.17</v>
      </c>
      <c r="N39" s="8" t="n">
        <v>1.424428</v>
      </c>
      <c r="O39" s="8" t="n">
        <f aca="false">N39/'Read Me &amp; Markers'!$B$8</f>
        <v>1.40525330727502</v>
      </c>
      <c r="P39" s="9" t="n">
        <v>40.56</v>
      </c>
      <c r="Q39" s="8" t="n">
        <f aca="false">P39/'Read Me &amp; Markers'!$B$9</f>
        <v>0.673145102243715</v>
      </c>
      <c r="R39" s="10" t="n">
        <v>0.02587295</v>
      </c>
      <c r="S39" s="5" t="n">
        <v>68.25</v>
      </c>
      <c r="T39" s="11" t="n">
        <v>1.644414</v>
      </c>
      <c r="U39" s="7" t="n">
        <v>4754</v>
      </c>
      <c r="V39" s="7" t="n">
        <v>123</v>
      </c>
      <c r="W39" s="7" t="n">
        <v>18</v>
      </c>
      <c r="X39" s="7" t="n">
        <v>19</v>
      </c>
      <c r="Y39" s="7" t="n">
        <v>0</v>
      </c>
      <c r="Z39" s="7" t="n">
        <v>0</v>
      </c>
      <c r="AA39" s="21" t="n">
        <f aca="false">IF(U39&gt;0,Y39/U39,0)</f>
        <v>0</v>
      </c>
      <c r="AB39" s="21" t="n">
        <f aca="false">IF(Y39&gt;0,Z39/Y39,0)</f>
        <v>0</v>
      </c>
      <c r="AC39" s="22"/>
      <c r="AD39" s="4" t="s">
        <v>116</v>
      </c>
      <c r="AE39" s="22" t="s">
        <v>363</v>
      </c>
      <c r="AF39" s="22" t="s">
        <v>364</v>
      </c>
      <c r="AG39" s="4" t="s">
        <v>118</v>
      </c>
      <c r="AH39" s="4"/>
      <c r="AI39" s="4" t="s">
        <v>365</v>
      </c>
      <c r="AJ39" s="4" t="s">
        <v>366</v>
      </c>
    </row>
    <row r="40" customFormat="false" ht="115.65" hidden="false" customHeight="false" outlineLevel="0" collapsed="false">
      <c r="A40" s="25" t="s">
        <v>42</v>
      </c>
      <c r="B40" s="4" t="s">
        <v>367</v>
      </c>
      <c r="C40" s="4" t="s">
        <v>368</v>
      </c>
      <c r="D40" s="4" t="s">
        <v>369</v>
      </c>
      <c r="E40" s="4" t="s">
        <v>370</v>
      </c>
      <c r="F40" s="4" t="s">
        <v>87</v>
      </c>
      <c r="G40" s="4" t="s">
        <v>371</v>
      </c>
      <c r="H40" s="4" t="s">
        <v>157</v>
      </c>
      <c r="I40" s="4" t="s">
        <v>90</v>
      </c>
      <c r="J40" s="4" t="s">
        <v>372</v>
      </c>
      <c r="K40" s="5" t="n">
        <v>373.28</v>
      </c>
      <c r="L40" s="7" t="n">
        <v>8</v>
      </c>
      <c r="M40" s="5" t="n">
        <v>523.67</v>
      </c>
      <c r="N40" s="8" t="n">
        <v>1.402888</v>
      </c>
      <c r="O40" s="8" t="n">
        <f aca="false">N40/'Read Me &amp; Markers'!$B$8</f>
        <v>1.38400326428323</v>
      </c>
      <c r="P40" s="9" t="n">
        <v>46.66</v>
      </c>
      <c r="Q40" s="8" t="n">
        <f aca="false">P40/'Read Me &amp; Markers'!$B$9</f>
        <v>0.77438240805453</v>
      </c>
      <c r="R40" s="10" t="n">
        <v>0.01839254</v>
      </c>
      <c r="S40" s="5" t="n">
        <v>31.35</v>
      </c>
      <c r="T40" s="11" t="n">
        <v>1.695912</v>
      </c>
      <c r="U40" s="7" t="n">
        <v>11907</v>
      </c>
      <c r="V40" s="7" t="n">
        <v>219</v>
      </c>
      <c r="W40" s="7" t="n">
        <v>26</v>
      </c>
      <c r="X40" s="7" t="n">
        <v>20</v>
      </c>
      <c r="Y40" s="7" t="n">
        <v>7003</v>
      </c>
      <c r="Z40" s="7" t="n">
        <v>897</v>
      </c>
      <c r="AA40" s="21" t="n">
        <f aca="false">IF(U40&gt;0,Y40/U40,0)</f>
        <v>0.588141429411271</v>
      </c>
      <c r="AB40" s="21" t="n">
        <f aca="false">IF(Y40&gt;0,Z40/Y40,0)</f>
        <v>0.128087962301871</v>
      </c>
      <c r="AC40" s="22"/>
      <c r="AD40" s="4" t="s">
        <v>93</v>
      </c>
      <c r="AE40" s="22" t="s">
        <v>93</v>
      </c>
      <c r="AF40" s="22" t="s">
        <v>160</v>
      </c>
      <c r="AG40" s="4" t="s">
        <v>95</v>
      </c>
      <c r="AH40" s="4"/>
      <c r="AI40" s="4" t="s">
        <v>373</v>
      </c>
      <c r="AJ40" s="4" t="s">
        <v>374</v>
      </c>
    </row>
    <row r="41" customFormat="false" ht="52.2" hidden="false" customHeight="false" outlineLevel="0" collapsed="false">
      <c r="A41" s="25" t="s">
        <v>42</v>
      </c>
      <c r="B41" s="4" t="s">
        <v>375</v>
      </c>
      <c r="C41" s="4" t="s">
        <v>376</v>
      </c>
      <c r="D41" s="4" t="s">
        <v>109</v>
      </c>
      <c r="E41" s="4" t="s">
        <v>377</v>
      </c>
      <c r="F41" s="4" t="s">
        <v>172</v>
      </c>
      <c r="G41" s="4" t="s">
        <v>378</v>
      </c>
      <c r="H41" s="4" t="s">
        <v>89</v>
      </c>
      <c r="I41" s="4" t="s">
        <v>133</v>
      </c>
      <c r="J41" s="4" t="s">
        <v>379</v>
      </c>
      <c r="K41" s="5" t="n">
        <v>325.33</v>
      </c>
      <c r="L41" s="7" t="n">
        <v>7</v>
      </c>
      <c r="M41" s="5" t="n">
        <v>451.77</v>
      </c>
      <c r="N41" s="8" t="n">
        <v>1.388652</v>
      </c>
      <c r="O41" s="8" t="n">
        <f aca="false">N41/'Read Me &amp; Markers'!$B$8</f>
        <v>1.36995889975069</v>
      </c>
      <c r="P41" s="9" t="n">
        <v>46.48</v>
      </c>
      <c r="Q41" s="8" t="n">
        <f aca="false">P41/'Read Me &amp; Markers'!$B$9</f>
        <v>0.771395077719129</v>
      </c>
      <c r="R41" s="10" t="n">
        <v>0.06037322</v>
      </c>
      <c r="S41" s="5" t="n">
        <v>178.56</v>
      </c>
      <c r="T41" s="11" t="n">
        <v>1.170951</v>
      </c>
      <c r="U41" s="7" t="n">
        <v>1822</v>
      </c>
      <c r="V41" s="7" t="n">
        <v>110</v>
      </c>
      <c r="W41" s="7" t="n">
        <v>3</v>
      </c>
      <c r="X41" s="7" t="n">
        <v>15</v>
      </c>
      <c r="Y41" s="7" t="n">
        <v>1625</v>
      </c>
      <c r="Z41" s="7" t="n">
        <v>443</v>
      </c>
      <c r="AA41" s="21" t="n">
        <f aca="false">IF(U41&gt;0,Y41/U41,0)</f>
        <v>0.891877058177827</v>
      </c>
      <c r="AB41" s="21" t="n">
        <f aca="false">IF(Y41&gt;0,Z41/Y41,0)</f>
        <v>0.272615384615385</v>
      </c>
      <c r="AC41" s="22"/>
      <c r="AD41" s="4" t="s">
        <v>136</v>
      </c>
      <c r="AE41" s="22" t="s">
        <v>117</v>
      </c>
      <c r="AF41" s="22" t="s">
        <v>94</v>
      </c>
      <c r="AG41" s="4" t="s">
        <v>118</v>
      </c>
      <c r="AH41" s="4" t="s">
        <v>380</v>
      </c>
      <c r="AI41" s="4" t="s">
        <v>381</v>
      </c>
      <c r="AJ41" s="4" t="s">
        <v>382</v>
      </c>
    </row>
    <row r="42" customFormat="false" ht="39.55" hidden="false" customHeight="false" outlineLevel="0" collapsed="false">
      <c r="A42" s="25" t="s">
        <v>42</v>
      </c>
      <c r="B42" s="4" t="s">
        <v>83</v>
      </c>
      <c r="C42" s="4" t="s">
        <v>383</v>
      </c>
      <c r="D42" s="4" t="s">
        <v>228</v>
      </c>
      <c r="E42" s="4" t="s">
        <v>384</v>
      </c>
      <c r="F42" s="4" t="s">
        <v>87</v>
      </c>
      <c r="G42" s="4" t="s">
        <v>262</v>
      </c>
      <c r="H42" s="4" t="s">
        <v>89</v>
      </c>
      <c r="I42" s="4" t="s">
        <v>90</v>
      </c>
      <c r="J42" s="4" t="s">
        <v>385</v>
      </c>
      <c r="K42" s="5" t="n">
        <v>318.14</v>
      </c>
      <c r="L42" s="7" t="n">
        <v>7</v>
      </c>
      <c r="M42" s="5" t="n">
        <v>439.73</v>
      </c>
      <c r="N42" s="8" t="n">
        <v>1.38219</v>
      </c>
      <c r="O42" s="8" t="n">
        <f aca="false">N42/'Read Me &amp; Markers'!$B$8</f>
        <v>1.36358388685315</v>
      </c>
      <c r="P42" s="9" t="n">
        <v>45.45</v>
      </c>
      <c r="Q42" s="8" t="n">
        <f aca="false">P42/'Read Me &amp; Markers'!$B$9</f>
        <v>0.754300909688779</v>
      </c>
      <c r="R42" s="10" t="n">
        <v>0.05487592</v>
      </c>
      <c r="S42" s="5" t="n">
        <v>111.2</v>
      </c>
      <c r="T42" s="11" t="n">
        <v>1.227897</v>
      </c>
      <c r="U42" s="7" t="n">
        <v>2861</v>
      </c>
      <c r="V42" s="7" t="n">
        <v>157</v>
      </c>
      <c r="W42" s="7" t="n">
        <v>19</v>
      </c>
      <c r="X42" s="7" t="n">
        <v>15</v>
      </c>
      <c r="Y42" s="7" t="n">
        <v>2724</v>
      </c>
      <c r="Z42" s="7" t="n">
        <v>509</v>
      </c>
      <c r="AA42" s="21" t="n">
        <f aca="false">IF(U42&gt;0,Y42/U42,0)</f>
        <v>0.952114645228941</v>
      </c>
      <c r="AB42" s="21" t="n">
        <f aca="false">IF(Y42&gt;0,Z42/Y42,0)</f>
        <v>0.186857562408223</v>
      </c>
      <c r="AC42" s="22"/>
      <c r="AD42" s="4" t="s">
        <v>93</v>
      </c>
      <c r="AE42" s="22" t="s">
        <v>93</v>
      </c>
      <c r="AF42" s="22" t="s">
        <v>94</v>
      </c>
      <c r="AG42" s="4" t="s">
        <v>95</v>
      </c>
      <c r="AH42" s="4"/>
      <c r="AI42" s="4" t="s">
        <v>386</v>
      </c>
      <c r="AJ42" s="4" t="s">
        <v>387</v>
      </c>
    </row>
    <row r="43" customFormat="false" ht="39.55" hidden="false" customHeight="false" outlineLevel="0" collapsed="false">
      <c r="A43" s="25" t="s">
        <v>42</v>
      </c>
      <c r="B43" s="4" t="s">
        <v>388</v>
      </c>
      <c r="C43" s="4" t="s">
        <v>389</v>
      </c>
      <c r="D43" s="4" t="s">
        <v>100</v>
      </c>
      <c r="E43" s="4" t="s">
        <v>309</v>
      </c>
      <c r="F43" s="4" t="s">
        <v>87</v>
      </c>
      <c r="G43" s="4" t="s">
        <v>310</v>
      </c>
      <c r="H43" s="4" t="s">
        <v>89</v>
      </c>
      <c r="I43" s="4" t="s">
        <v>90</v>
      </c>
      <c r="J43" s="4" t="s">
        <v>390</v>
      </c>
      <c r="K43" s="5" t="n">
        <v>590.51</v>
      </c>
      <c r="L43" s="7" t="n">
        <v>12</v>
      </c>
      <c r="M43" s="5" t="n">
        <v>777.86</v>
      </c>
      <c r="N43" s="8" t="n">
        <v>1.317268</v>
      </c>
      <c r="O43" s="8" t="n">
        <f aca="false">N43/'Read Me &amp; Markers'!$B$8</f>
        <v>1.29953582319889</v>
      </c>
      <c r="P43" s="9" t="n">
        <v>49.21</v>
      </c>
      <c r="Q43" s="8" t="n">
        <f aca="false">P43/'Read Me &amp; Markers'!$B$9</f>
        <v>0.816702921139379</v>
      </c>
      <c r="R43" s="10" t="n">
        <v>0.02336835</v>
      </c>
      <c r="S43" s="5" t="n">
        <v>69.69</v>
      </c>
      <c r="T43" s="11" t="n">
        <v>1.483368</v>
      </c>
      <c r="U43" s="7" t="n">
        <v>8473</v>
      </c>
      <c r="V43" s="7" t="n">
        <v>198</v>
      </c>
      <c r="W43" s="7" t="n">
        <v>40</v>
      </c>
      <c r="X43" s="7" t="n">
        <v>30</v>
      </c>
      <c r="Y43" s="7" t="n">
        <v>7536</v>
      </c>
      <c r="Z43" s="7" t="n">
        <v>482</v>
      </c>
      <c r="AA43" s="21" t="n">
        <f aca="false">IF(U43&gt;0,Y43/U43,0)</f>
        <v>0.889413430898147</v>
      </c>
      <c r="AB43" s="21" t="n">
        <f aca="false">IF(Y43&gt;0,Z43/Y43,0)</f>
        <v>0.0639596602972399</v>
      </c>
      <c r="AC43" s="22"/>
      <c r="AD43" s="4" t="s">
        <v>93</v>
      </c>
      <c r="AE43" s="22" t="s">
        <v>93</v>
      </c>
      <c r="AF43" s="22" t="s">
        <v>94</v>
      </c>
      <c r="AG43" s="4" t="s">
        <v>95</v>
      </c>
      <c r="AH43" s="4"/>
      <c r="AI43" s="4" t="s">
        <v>391</v>
      </c>
      <c r="AJ43" s="4" t="s">
        <v>392</v>
      </c>
    </row>
  </sheetData>
  <autoFilter ref="A1:AJ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17" min="4" style="0" width="10"/>
  </cols>
  <sheetData>
    <row r="1" customFormat="false" ht="31.5" hidden="false" customHeight="true" outlineLevel="0" collapsed="false">
      <c r="A1" s="19" t="s">
        <v>59</v>
      </c>
      <c r="B1" s="19" t="s">
        <v>60</v>
      </c>
      <c r="C1" s="19" t="s">
        <v>58</v>
      </c>
      <c r="D1" s="19" t="s">
        <v>393</v>
      </c>
      <c r="E1" s="19" t="s">
        <v>394</v>
      </c>
      <c r="F1" s="19" t="s">
        <v>395</v>
      </c>
      <c r="G1" s="19" t="s">
        <v>396</v>
      </c>
      <c r="H1" s="19" t="s">
        <v>397</v>
      </c>
      <c r="I1" s="19" t="s">
        <v>398</v>
      </c>
      <c r="J1" s="19" t="s">
        <v>399</v>
      </c>
      <c r="K1" s="19" t="s">
        <v>400</v>
      </c>
      <c r="L1" s="19" t="s">
        <v>401</v>
      </c>
      <c r="M1" s="19" t="s">
        <v>402</v>
      </c>
      <c r="N1" s="19" t="s">
        <v>403</v>
      </c>
      <c r="O1" s="19" t="s">
        <v>404</v>
      </c>
      <c r="P1" s="19" t="s">
        <v>405</v>
      </c>
      <c r="Q1" s="19" t="s">
        <v>406</v>
      </c>
    </row>
    <row r="2" customFormat="false" ht="15" hidden="false" customHeight="false" outlineLevel="0" collapsed="false">
      <c r="A2" s="4" t="s">
        <v>83</v>
      </c>
      <c r="B2" s="4" t="s">
        <v>84</v>
      </c>
      <c r="C2" s="20" t="s">
        <v>36</v>
      </c>
      <c r="D2" s="5" t="n">
        <v>747.15</v>
      </c>
      <c r="E2" s="26" t="n">
        <v>3.236</v>
      </c>
      <c r="F2" s="5" t="n">
        <v>1654.46</v>
      </c>
      <c r="G2" s="26" t="n">
        <v>1.55</v>
      </c>
    </row>
    <row r="3" customFormat="false" ht="15" hidden="false" customHeight="false" outlineLevel="0" collapsed="false">
      <c r="A3" s="4" t="s">
        <v>98</v>
      </c>
      <c r="B3" s="4" t="s">
        <v>99</v>
      </c>
      <c r="C3" s="20" t="s">
        <v>36</v>
      </c>
      <c r="F3" s="5" t="n">
        <v>0.56</v>
      </c>
      <c r="H3" s="5" t="n">
        <v>1009.8</v>
      </c>
      <c r="I3" s="26" t="n">
        <v>2.251</v>
      </c>
      <c r="J3" s="5" t="n">
        <v>148.99</v>
      </c>
      <c r="K3" s="27" t="n">
        <v>0.845</v>
      </c>
    </row>
    <row r="4" customFormat="false" ht="15" hidden="false" customHeight="false" outlineLevel="0" collapsed="false">
      <c r="A4" s="4" t="s">
        <v>107</v>
      </c>
      <c r="B4" s="4" t="s">
        <v>108</v>
      </c>
      <c r="C4" s="20" t="s">
        <v>36</v>
      </c>
      <c r="L4" s="5" t="n">
        <v>109.63</v>
      </c>
      <c r="M4" s="26" t="n">
        <v>2.061</v>
      </c>
      <c r="N4" s="5" t="n">
        <v>1023.91</v>
      </c>
      <c r="O4" s="26" t="n">
        <v>1.714</v>
      </c>
      <c r="P4" s="5" t="n">
        <v>276.27</v>
      </c>
      <c r="Q4" s="28" t="n">
        <v>1.143</v>
      </c>
    </row>
    <row r="5" customFormat="false" ht="15" hidden="false" customHeight="false" outlineLevel="0" collapsed="false">
      <c r="A5" s="4" t="s">
        <v>121</v>
      </c>
      <c r="B5" s="4" t="s">
        <v>122</v>
      </c>
      <c r="C5" s="20" t="s">
        <v>36</v>
      </c>
      <c r="D5" s="5" t="n">
        <v>2952.05</v>
      </c>
      <c r="E5" s="26" t="n">
        <v>1.411</v>
      </c>
      <c r="F5" s="5" t="n">
        <v>3620.37</v>
      </c>
      <c r="G5" s="26" t="n">
        <v>1.742</v>
      </c>
    </row>
    <row r="6" customFormat="false" ht="15" hidden="false" customHeight="false" outlineLevel="0" collapsed="false">
      <c r="A6" s="4" t="s">
        <v>129</v>
      </c>
      <c r="B6" s="4" t="s">
        <v>130</v>
      </c>
      <c r="C6" s="20" t="s">
        <v>36</v>
      </c>
      <c r="H6" s="5" t="n">
        <v>1403.37</v>
      </c>
      <c r="I6" s="26" t="n">
        <v>1.665</v>
      </c>
      <c r="J6" s="5" t="n">
        <v>89.86</v>
      </c>
      <c r="K6" s="27" t="n">
        <v>0.445</v>
      </c>
    </row>
    <row r="7" customFormat="false" ht="15" hidden="false" customHeight="false" outlineLevel="0" collapsed="false">
      <c r="A7" s="4" t="s">
        <v>98</v>
      </c>
      <c r="B7" s="4" t="s">
        <v>140</v>
      </c>
      <c r="C7" s="20" t="s">
        <v>36</v>
      </c>
      <c r="D7" s="5" t="n">
        <v>179.33</v>
      </c>
      <c r="E7" s="26" t="n">
        <v>3.7</v>
      </c>
      <c r="F7" s="5" t="n">
        <v>1524.63</v>
      </c>
      <c r="G7" s="28" t="n">
        <v>1.273</v>
      </c>
    </row>
    <row r="8" customFormat="false" ht="15" hidden="false" customHeight="false" outlineLevel="0" collapsed="false">
      <c r="A8" s="4" t="s">
        <v>83</v>
      </c>
      <c r="B8" s="4" t="s">
        <v>147</v>
      </c>
      <c r="C8" s="20" t="s">
        <v>36</v>
      </c>
      <c r="D8" s="5" t="n">
        <v>12014.6</v>
      </c>
      <c r="E8" s="26" t="n">
        <v>1.78</v>
      </c>
      <c r="F8" s="5" t="n">
        <v>24327.72</v>
      </c>
      <c r="G8" s="26" t="n">
        <v>1.339</v>
      </c>
    </row>
    <row r="9" customFormat="false" ht="15" hidden="false" customHeight="false" outlineLevel="0" collapsed="false">
      <c r="A9" s="4" t="s">
        <v>152</v>
      </c>
      <c r="B9" s="4" t="s">
        <v>153</v>
      </c>
      <c r="C9" s="20" t="s">
        <v>36</v>
      </c>
      <c r="D9" s="5" t="n">
        <v>164.8</v>
      </c>
      <c r="E9" s="27" t="n">
        <v>0.703</v>
      </c>
      <c r="F9" s="5" t="n">
        <v>1035.2</v>
      </c>
      <c r="G9" s="26" t="n">
        <v>1.592</v>
      </c>
    </row>
    <row r="10" customFormat="false" ht="15" hidden="false" customHeight="false" outlineLevel="0" collapsed="false">
      <c r="A10" s="4" t="s">
        <v>121</v>
      </c>
      <c r="B10" s="4" t="s">
        <v>163</v>
      </c>
      <c r="C10" s="20" t="s">
        <v>36</v>
      </c>
      <c r="D10" s="5" t="n">
        <v>5.51</v>
      </c>
      <c r="F10" s="5" t="n">
        <v>1.12</v>
      </c>
      <c r="H10" s="5" t="n">
        <v>6690.69</v>
      </c>
      <c r="I10" s="26" t="n">
        <v>1.417</v>
      </c>
      <c r="J10" s="5" t="n">
        <v>881.28</v>
      </c>
      <c r="K10" s="28" t="n">
        <v>1.252</v>
      </c>
    </row>
    <row r="11" customFormat="false" ht="15" hidden="false" customHeight="false" outlineLevel="0" collapsed="false">
      <c r="A11" s="4" t="s">
        <v>169</v>
      </c>
      <c r="B11" s="4" t="s">
        <v>170</v>
      </c>
      <c r="C11" s="20" t="s">
        <v>36</v>
      </c>
      <c r="D11" s="5" t="n">
        <v>2466.2</v>
      </c>
      <c r="E11" s="26" t="n">
        <v>1.453</v>
      </c>
      <c r="F11" s="5" t="n">
        <v>14014.65</v>
      </c>
      <c r="G11" s="26" t="n">
        <v>1.378</v>
      </c>
    </row>
    <row r="12" customFormat="false" ht="15" hidden="false" customHeight="false" outlineLevel="0" collapsed="false">
      <c r="A12" s="4" t="s">
        <v>121</v>
      </c>
      <c r="B12" s="4" t="s">
        <v>180</v>
      </c>
      <c r="C12" s="20" t="s">
        <v>36</v>
      </c>
      <c r="D12" s="5" t="n">
        <v>2364.15</v>
      </c>
      <c r="E12" s="26" t="n">
        <v>1.465</v>
      </c>
      <c r="F12" s="5" t="n">
        <v>1696.52</v>
      </c>
      <c r="G12" s="28" t="n">
        <v>1.256</v>
      </c>
    </row>
    <row r="13" customFormat="false" ht="15" hidden="false" customHeight="false" outlineLevel="0" collapsed="false">
      <c r="A13" s="4" t="s">
        <v>121</v>
      </c>
      <c r="B13" s="4" t="s">
        <v>186</v>
      </c>
      <c r="C13" s="20" t="s">
        <v>36</v>
      </c>
      <c r="D13" s="5" t="n">
        <v>1966.51</v>
      </c>
      <c r="E13" s="26" t="n">
        <v>1.395</v>
      </c>
      <c r="F13" s="5" t="n">
        <v>688.28</v>
      </c>
      <c r="G13" s="28" t="n">
        <v>1.234</v>
      </c>
    </row>
    <row r="14" customFormat="false" ht="15" hidden="false" customHeight="false" outlineLevel="0" collapsed="false">
      <c r="A14" s="4" t="s">
        <v>192</v>
      </c>
      <c r="B14" s="4" t="s">
        <v>193</v>
      </c>
      <c r="C14" s="20" t="s">
        <v>36</v>
      </c>
      <c r="D14" s="5" t="n">
        <v>46.4</v>
      </c>
      <c r="E14" s="26" t="n">
        <v>1.723</v>
      </c>
      <c r="F14" s="5" t="n">
        <v>975.23</v>
      </c>
      <c r="G14" s="26" t="n">
        <v>1.323</v>
      </c>
    </row>
    <row r="15" customFormat="false" ht="15" hidden="false" customHeight="false" outlineLevel="0" collapsed="false">
      <c r="A15" s="4" t="s">
        <v>83</v>
      </c>
      <c r="B15" s="4" t="s">
        <v>199</v>
      </c>
      <c r="C15" s="23" t="s">
        <v>38</v>
      </c>
      <c r="D15" s="5" t="n">
        <v>1008.93</v>
      </c>
      <c r="E15" s="26" t="n">
        <v>1.729</v>
      </c>
      <c r="F15" s="5" t="n">
        <v>12530.31</v>
      </c>
      <c r="G15" s="28" t="n">
        <v>1.179</v>
      </c>
    </row>
    <row r="16" customFormat="false" ht="15" hidden="false" customHeight="false" outlineLevel="0" collapsed="false">
      <c r="A16" s="4" t="s">
        <v>129</v>
      </c>
      <c r="B16" s="4" t="s">
        <v>205</v>
      </c>
      <c r="C16" s="23" t="s">
        <v>38</v>
      </c>
      <c r="H16" s="5" t="n">
        <v>1757.8</v>
      </c>
      <c r="I16" s="28" t="n">
        <v>1.22</v>
      </c>
    </row>
    <row r="17" customFormat="false" ht="15" hidden="false" customHeight="false" outlineLevel="0" collapsed="false">
      <c r="A17" s="4" t="s">
        <v>98</v>
      </c>
      <c r="B17" s="4" t="s">
        <v>214</v>
      </c>
      <c r="C17" s="23" t="s">
        <v>38</v>
      </c>
      <c r="D17" s="5" t="n">
        <v>3.41</v>
      </c>
      <c r="F17" s="5" t="n">
        <v>1.9</v>
      </c>
      <c r="H17" s="5" t="n">
        <v>1272.6</v>
      </c>
      <c r="I17" s="28" t="n">
        <v>1.208</v>
      </c>
    </row>
    <row r="18" customFormat="false" ht="15" hidden="false" customHeight="false" outlineLevel="0" collapsed="false">
      <c r="A18" s="4" t="s">
        <v>220</v>
      </c>
      <c r="B18" s="4" t="s">
        <v>221</v>
      </c>
      <c r="C18" s="23" t="s">
        <v>38</v>
      </c>
      <c r="L18" s="5" t="n">
        <v>1064</v>
      </c>
      <c r="M18" s="28" t="n">
        <v>1.058</v>
      </c>
      <c r="N18" s="5" t="n">
        <v>309.84</v>
      </c>
      <c r="O18" s="28" t="n">
        <v>1.052</v>
      </c>
      <c r="P18" s="5" t="n">
        <v>144.86</v>
      </c>
      <c r="Q18" s="26" t="n">
        <v>2.564</v>
      </c>
    </row>
    <row r="19" customFormat="false" ht="15" hidden="false" customHeight="false" outlineLevel="0" collapsed="false">
      <c r="A19" s="4" t="s">
        <v>226</v>
      </c>
      <c r="B19" s="4" t="s">
        <v>227</v>
      </c>
      <c r="C19" s="23" t="s">
        <v>38</v>
      </c>
      <c r="J19" s="5" t="n">
        <v>2274.15</v>
      </c>
      <c r="K19" s="26" t="n">
        <v>1.345</v>
      </c>
      <c r="L19" s="5" t="n">
        <v>1221.99</v>
      </c>
      <c r="M19" s="27" t="n">
        <v>0.895</v>
      </c>
    </row>
    <row r="20" customFormat="false" ht="15" hidden="false" customHeight="false" outlineLevel="0" collapsed="false">
      <c r="A20" s="4" t="s">
        <v>121</v>
      </c>
      <c r="B20" s="4" t="s">
        <v>236</v>
      </c>
      <c r="C20" s="23" t="s">
        <v>38</v>
      </c>
      <c r="H20" s="5" t="n">
        <v>3.99</v>
      </c>
      <c r="J20" s="5" t="n">
        <v>1681.45</v>
      </c>
      <c r="K20" s="28" t="n">
        <v>1.182</v>
      </c>
    </row>
    <row r="21" customFormat="false" ht="15" hidden="false" customHeight="false" outlineLevel="0" collapsed="false">
      <c r="A21" s="4" t="s">
        <v>83</v>
      </c>
      <c r="B21" s="4" t="s">
        <v>243</v>
      </c>
      <c r="C21" s="23" t="s">
        <v>38</v>
      </c>
      <c r="J21" s="5" t="n">
        <v>5.78</v>
      </c>
      <c r="L21" s="5" t="n">
        <v>2251.58</v>
      </c>
      <c r="M21" s="28" t="n">
        <v>1.165</v>
      </c>
    </row>
    <row r="22" customFormat="false" ht="15" hidden="false" customHeight="false" outlineLevel="0" collapsed="false">
      <c r="A22" s="4" t="s">
        <v>129</v>
      </c>
      <c r="B22" s="4" t="s">
        <v>251</v>
      </c>
      <c r="C22" s="23" t="s">
        <v>38</v>
      </c>
      <c r="H22" s="5" t="n">
        <v>4576.45</v>
      </c>
      <c r="I22" s="28" t="n">
        <v>1.142</v>
      </c>
    </row>
    <row r="23" customFormat="false" ht="15" hidden="false" customHeight="false" outlineLevel="0" collapsed="false">
      <c r="A23" s="4" t="s">
        <v>192</v>
      </c>
      <c r="B23" s="4" t="s">
        <v>260</v>
      </c>
      <c r="C23" s="23" t="s">
        <v>38</v>
      </c>
      <c r="J23" s="5" t="n">
        <v>1016.94</v>
      </c>
      <c r="K23" s="26" t="n">
        <v>1.726</v>
      </c>
      <c r="L23" s="5" t="n">
        <v>2.64</v>
      </c>
      <c r="N23" s="5" t="n">
        <v>3885.06</v>
      </c>
      <c r="O23" s="28" t="n">
        <v>1.062</v>
      </c>
      <c r="P23" s="5" t="n">
        <v>2038.53</v>
      </c>
      <c r="Q23" s="27" t="n">
        <v>0.894</v>
      </c>
    </row>
    <row r="24" customFormat="false" ht="15" hidden="false" customHeight="false" outlineLevel="0" collapsed="false">
      <c r="A24" s="4" t="s">
        <v>192</v>
      </c>
      <c r="B24" s="4" t="s">
        <v>266</v>
      </c>
      <c r="C24" s="24" t="s">
        <v>40</v>
      </c>
      <c r="H24" s="5" t="n">
        <v>304.33</v>
      </c>
      <c r="I24" s="26" t="n">
        <v>1.419</v>
      </c>
      <c r="J24" s="5" t="n">
        <v>4178.92</v>
      </c>
      <c r="K24" s="26" t="n">
        <v>1.478</v>
      </c>
      <c r="L24" s="5" t="n">
        <v>5251.24</v>
      </c>
      <c r="M24" s="28" t="n">
        <v>1.17</v>
      </c>
      <c r="N24" s="5" t="n">
        <v>7921.93</v>
      </c>
      <c r="O24" s="27" t="n">
        <v>0.961</v>
      </c>
      <c r="P24" s="5" t="n">
        <v>1869.68</v>
      </c>
      <c r="Q24" s="27" t="n">
        <v>0.522</v>
      </c>
    </row>
    <row r="25" customFormat="false" ht="15" hidden="false" customHeight="false" outlineLevel="0" collapsed="false">
      <c r="A25" s="4" t="s">
        <v>271</v>
      </c>
      <c r="B25" s="4" t="s">
        <v>272</v>
      </c>
      <c r="C25" s="24" t="s">
        <v>40</v>
      </c>
      <c r="J25" s="5" t="n">
        <v>23680.48</v>
      </c>
      <c r="K25" s="28" t="n">
        <v>1.285</v>
      </c>
      <c r="L25" s="5" t="n">
        <v>6477.26</v>
      </c>
      <c r="M25" s="28" t="n">
        <v>1.156</v>
      </c>
      <c r="N25" s="5" t="n">
        <v>25480.67</v>
      </c>
      <c r="O25" s="27" t="n">
        <v>0.86</v>
      </c>
      <c r="P25" s="5" t="n">
        <v>10793.8</v>
      </c>
      <c r="Q25" s="27" t="n">
        <v>0.619</v>
      </c>
    </row>
    <row r="27" customFormat="false" ht="15" hidden="false" customHeight="false" outlineLevel="0" collapsed="false">
      <c r="A27" s="2" t="s">
        <v>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0"/>
    <col collapsed="false" customWidth="true" hidden="false" outlineLevel="0" max="12" min="12" style="0" width="60"/>
  </cols>
  <sheetData>
    <row r="1" customFormat="false" ht="31.5" hidden="false" customHeight="true" outlineLevel="0" collapsed="false">
      <c r="A1" s="19" t="s">
        <v>67</v>
      </c>
      <c r="B1" s="19" t="s">
        <v>65</v>
      </c>
      <c r="C1" s="19" t="s">
        <v>66</v>
      </c>
      <c r="D1" s="19" t="s">
        <v>408</v>
      </c>
      <c r="E1" s="19" t="s">
        <v>409</v>
      </c>
      <c r="F1" s="19" t="s">
        <v>3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410</v>
      </c>
      <c r="L1" s="19" t="s">
        <v>411</v>
      </c>
    </row>
    <row r="2" customFormat="false" ht="15" hidden="false" customHeight="false" outlineLevel="0" collapsed="false">
      <c r="A2" s="4" t="s">
        <v>125</v>
      </c>
      <c r="B2" s="4" t="s">
        <v>89</v>
      </c>
      <c r="C2" s="4" t="s">
        <v>90</v>
      </c>
      <c r="D2" s="4" t="s">
        <v>412</v>
      </c>
      <c r="E2" s="4" t="n">
        <v>3</v>
      </c>
      <c r="F2" s="5" t="n">
        <v>109344.16</v>
      </c>
      <c r="G2" s="7" t="n">
        <v>2146</v>
      </c>
      <c r="H2" s="5" t="n">
        <v>130955.1</v>
      </c>
      <c r="I2" s="8" t="n">
        <f aca="false">IF(F2&gt;0,H2/F2,0)</f>
        <v>1.19764146525978</v>
      </c>
      <c r="J2" s="9" t="n">
        <f aca="false">IF(G2&gt;0,F2/G2,0)</f>
        <v>50.9525442684063</v>
      </c>
      <c r="K2" s="20" t="s">
        <v>36</v>
      </c>
      <c r="L2" s="4" t="s">
        <v>413</v>
      </c>
    </row>
    <row r="3" customFormat="false" ht="15" hidden="false" customHeight="false" outlineLevel="0" collapsed="false">
      <c r="A3" s="4" t="s">
        <v>103</v>
      </c>
      <c r="B3" s="4" t="s">
        <v>89</v>
      </c>
      <c r="C3" s="4" t="s">
        <v>90</v>
      </c>
      <c r="D3" s="4" t="s">
        <v>412</v>
      </c>
      <c r="E3" s="4" t="n">
        <v>5</v>
      </c>
      <c r="F3" s="5" t="n">
        <v>35283.22</v>
      </c>
      <c r="G3" s="7" t="n">
        <v>643</v>
      </c>
      <c r="H3" s="5" t="n">
        <v>42196.96</v>
      </c>
      <c r="I3" s="8" t="n">
        <f aca="false">IF(F3&gt;0,H3/F3,0)</f>
        <v>1.19594980276743</v>
      </c>
      <c r="J3" s="9" t="n">
        <f aca="false">IF(G3&gt;0,F3/G3,0)</f>
        <v>54.8728149300156</v>
      </c>
      <c r="K3" s="20" t="s">
        <v>36</v>
      </c>
      <c r="L3" s="4" t="s">
        <v>414</v>
      </c>
    </row>
    <row r="4" customFormat="false" ht="15" hidden="false" customHeight="false" outlineLevel="0" collapsed="false">
      <c r="A4" s="4" t="s">
        <v>174</v>
      </c>
      <c r="B4" s="4" t="s">
        <v>89</v>
      </c>
      <c r="C4" s="4" t="s">
        <v>133</v>
      </c>
      <c r="D4" s="4" t="s">
        <v>176</v>
      </c>
      <c r="E4" s="4" t="n">
        <v>1</v>
      </c>
      <c r="F4" s="5" t="n">
        <v>16480.85</v>
      </c>
      <c r="G4" s="7" t="n">
        <v>395</v>
      </c>
      <c r="H4" s="5" t="n">
        <v>22893.89</v>
      </c>
      <c r="I4" s="8" t="n">
        <f aca="false">IF(F4&gt;0,H4/F4,0)</f>
        <v>1.38912070675966</v>
      </c>
      <c r="J4" s="9" t="n">
        <f aca="false">IF(G4&gt;0,F4/G4,0)</f>
        <v>41.7236708860759</v>
      </c>
      <c r="K4" s="20" t="s">
        <v>36</v>
      </c>
      <c r="L4" s="4" t="s">
        <v>170</v>
      </c>
    </row>
    <row r="5" customFormat="false" ht="15" hidden="false" customHeight="false" outlineLevel="0" collapsed="false">
      <c r="A5" s="4" t="s">
        <v>143</v>
      </c>
      <c r="B5" s="4" t="s">
        <v>89</v>
      </c>
      <c r="C5" s="4" t="s">
        <v>90</v>
      </c>
      <c r="D5" s="4" t="s">
        <v>412</v>
      </c>
      <c r="E5" s="4" t="n">
        <v>4</v>
      </c>
      <c r="F5" s="5" t="n">
        <v>12323.4</v>
      </c>
      <c r="G5" s="7" t="n">
        <v>225</v>
      </c>
      <c r="H5" s="5" t="n">
        <v>15273.36</v>
      </c>
      <c r="I5" s="8" t="n">
        <f aca="false">IF(F5&gt;0,H5/F5,0)</f>
        <v>1.2393787428794</v>
      </c>
      <c r="J5" s="9" t="n">
        <f aca="false">IF(G5&gt;0,F5/G5,0)</f>
        <v>54.7706666666667</v>
      </c>
      <c r="K5" s="20" t="s">
        <v>36</v>
      </c>
      <c r="L5" s="4" t="s">
        <v>415</v>
      </c>
    </row>
    <row r="6" customFormat="false" ht="15" hidden="false" customHeight="false" outlineLevel="0" collapsed="false">
      <c r="A6" s="4" t="s">
        <v>165</v>
      </c>
      <c r="B6" s="4" t="s">
        <v>89</v>
      </c>
      <c r="C6" s="4" t="s">
        <v>90</v>
      </c>
      <c r="D6" s="4" t="s">
        <v>412</v>
      </c>
      <c r="E6" s="4" t="n">
        <v>2</v>
      </c>
      <c r="F6" s="5" t="n">
        <v>8503.3</v>
      </c>
      <c r="G6" s="7" t="n">
        <v>181</v>
      </c>
      <c r="H6" s="5" t="n">
        <v>12245.78</v>
      </c>
      <c r="I6" s="8" t="n">
        <f aca="false">IF(F6&gt;0,H6/F6,0)</f>
        <v>1.44012089424106</v>
      </c>
      <c r="J6" s="9" t="n">
        <f aca="false">IF(G6&gt;0,F6/G6,0)</f>
        <v>46.9795580110497</v>
      </c>
      <c r="K6" s="20" t="s">
        <v>36</v>
      </c>
      <c r="L6" s="4" t="s">
        <v>416</v>
      </c>
    </row>
    <row r="7" customFormat="false" ht="15" hidden="false" customHeight="false" outlineLevel="0" collapsed="false">
      <c r="A7" s="4" t="s">
        <v>255</v>
      </c>
      <c r="B7" s="4" t="s">
        <v>89</v>
      </c>
      <c r="C7" s="4" t="s">
        <v>133</v>
      </c>
      <c r="D7" s="4" t="s">
        <v>136</v>
      </c>
      <c r="E7" s="4" t="n">
        <v>1</v>
      </c>
      <c r="F7" s="5" t="n">
        <v>4576.45</v>
      </c>
      <c r="G7" s="7" t="n">
        <v>76</v>
      </c>
      <c r="H7" s="5" t="n">
        <v>5227.4</v>
      </c>
      <c r="I7" s="8" t="n">
        <f aca="false">IF(F7&gt;0,H7/F7,0)</f>
        <v>1.1422390717696</v>
      </c>
      <c r="J7" s="9" t="n">
        <f aca="false">IF(G7&gt;0,F7/G7,0)</f>
        <v>60.2164473684211</v>
      </c>
      <c r="K7" s="23" t="s">
        <v>38</v>
      </c>
      <c r="L7" s="4" t="s">
        <v>251</v>
      </c>
    </row>
    <row r="8" customFormat="false" ht="15" hidden="false" customHeight="false" outlineLevel="0" collapsed="false">
      <c r="A8" s="4" t="s">
        <v>182</v>
      </c>
      <c r="B8" s="4" t="s">
        <v>89</v>
      </c>
      <c r="C8" s="4" t="s">
        <v>90</v>
      </c>
      <c r="D8" s="4" t="s">
        <v>412</v>
      </c>
      <c r="E8" s="4" t="n">
        <v>1</v>
      </c>
      <c r="F8" s="5" t="n">
        <v>4060.67</v>
      </c>
      <c r="G8" s="7" t="n">
        <v>86</v>
      </c>
      <c r="H8" s="5" t="n">
        <v>5594.95</v>
      </c>
      <c r="I8" s="8" t="n">
        <f aca="false">IF(F8&gt;0,H8/F8,0)</f>
        <v>1.37783912507049</v>
      </c>
      <c r="J8" s="9" t="n">
        <f aca="false">IF(G8&gt;0,F8/G8,0)</f>
        <v>47.2170930232558</v>
      </c>
      <c r="K8" s="20" t="s">
        <v>36</v>
      </c>
      <c r="L8" s="4" t="s">
        <v>180</v>
      </c>
    </row>
    <row r="9" customFormat="false" ht="15" hidden="false" customHeight="false" outlineLevel="0" collapsed="false">
      <c r="A9" s="4" t="s">
        <v>232</v>
      </c>
      <c r="B9" s="4" t="s">
        <v>89</v>
      </c>
      <c r="C9" s="4" t="s">
        <v>90</v>
      </c>
      <c r="D9" s="4" t="s">
        <v>412</v>
      </c>
      <c r="E9" s="4" t="n">
        <v>1</v>
      </c>
      <c r="F9" s="5" t="n">
        <v>3496.14</v>
      </c>
      <c r="G9" s="7" t="n">
        <v>67</v>
      </c>
      <c r="H9" s="5" t="n">
        <v>4150.75</v>
      </c>
      <c r="I9" s="8" t="n">
        <f aca="false">IF(F9&gt;0,H9/F9,0)</f>
        <v>1.18723792525471</v>
      </c>
      <c r="J9" s="9" t="n">
        <f aca="false">IF(G9&gt;0,F9/G9,0)</f>
        <v>52.1811940298507</v>
      </c>
      <c r="K9" s="23" t="s">
        <v>38</v>
      </c>
      <c r="L9" s="4" t="s">
        <v>227</v>
      </c>
    </row>
    <row r="10" customFormat="false" ht="15" hidden="false" customHeight="false" outlineLevel="0" collapsed="false">
      <c r="A10" s="4" t="s">
        <v>91</v>
      </c>
      <c r="B10" s="4" t="s">
        <v>89</v>
      </c>
      <c r="C10" s="4" t="s">
        <v>90</v>
      </c>
      <c r="D10" s="4" t="s">
        <v>412</v>
      </c>
      <c r="E10" s="4" t="n">
        <v>1</v>
      </c>
      <c r="F10" s="5" t="n">
        <v>2401.61</v>
      </c>
      <c r="G10" s="7" t="n">
        <v>71</v>
      </c>
      <c r="H10" s="5" t="n">
        <v>4981.57</v>
      </c>
      <c r="I10" s="8" t="n">
        <f aca="false">IF(F10&gt;0,H10/F10,0)</f>
        <v>2.07426268211741</v>
      </c>
      <c r="J10" s="9" t="n">
        <f aca="false">IF(G10&gt;0,F10/G10,0)</f>
        <v>33.8254929577465</v>
      </c>
      <c r="K10" s="20" t="s">
        <v>36</v>
      </c>
      <c r="L10" s="4" t="s">
        <v>84</v>
      </c>
    </row>
    <row r="11" customFormat="false" ht="15" hidden="false" customHeight="false" outlineLevel="0" collapsed="false">
      <c r="A11" s="4" t="s">
        <v>246</v>
      </c>
      <c r="B11" s="4" t="s">
        <v>89</v>
      </c>
      <c r="C11" s="4" t="s">
        <v>133</v>
      </c>
      <c r="D11" s="4" t="s">
        <v>116</v>
      </c>
      <c r="E11" s="4" t="n">
        <v>1</v>
      </c>
      <c r="F11" s="5" t="n">
        <v>2257.36</v>
      </c>
      <c r="G11" s="7" t="n">
        <v>41</v>
      </c>
      <c r="H11" s="5" t="n">
        <v>2622.5</v>
      </c>
      <c r="I11" s="8" t="n">
        <f aca="false">IF(F11&gt;0,H11/F11,0)</f>
        <v>1.1617553248042</v>
      </c>
      <c r="J11" s="9" t="n">
        <f aca="false">IF(G11&gt;0,F11/G11,0)</f>
        <v>55.0575609756098</v>
      </c>
      <c r="K11" s="23" t="s">
        <v>38</v>
      </c>
      <c r="L11" s="4" t="s">
        <v>243</v>
      </c>
    </row>
    <row r="12" customFormat="false" ht="15" hidden="false" customHeight="false" outlineLevel="0" collapsed="false">
      <c r="A12" s="4" t="s">
        <v>209</v>
      </c>
      <c r="B12" s="4" t="s">
        <v>89</v>
      </c>
      <c r="C12" s="4" t="s">
        <v>133</v>
      </c>
      <c r="D12" s="4" t="s">
        <v>136</v>
      </c>
      <c r="E12" s="4" t="n">
        <v>1</v>
      </c>
      <c r="F12" s="5" t="n">
        <v>1757.8</v>
      </c>
      <c r="G12" s="7" t="n">
        <v>29</v>
      </c>
      <c r="H12" s="5" t="n">
        <v>2143.87</v>
      </c>
      <c r="I12" s="8" t="n">
        <f aca="false">IF(F12&gt;0,H12/F12,0)</f>
        <v>1.21963249516441</v>
      </c>
      <c r="J12" s="9" t="n">
        <f aca="false">IF(G12&gt;0,F12/G12,0)</f>
        <v>60.6137931034483</v>
      </c>
      <c r="K12" s="23" t="s">
        <v>38</v>
      </c>
      <c r="L12" s="4" t="s">
        <v>205</v>
      </c>
    </row>
    <row r="13" customFormat="false" ht="15" hidden="false" customHeight="false" outlineLevel="0" collapsed="false">
      <c r="A13" s="4" t="s">
        <v>238</v>
      </c>
      <c r="B13" s="4" t="s">
        <v>89</v>
      </c>
      <c r="C13" s="4" t="s">
        <v>133</v>
      </c>
      <c r="D13" s="4" t="s">
        <v>136</v>
      </c>
      <c r="E13" s="4" t="n">
        <v>1</v>
      </c>
      <c r="F13" s="5" t="n">
        <v>1685.44</v>
      </c>
      <c r="G13" s="7" t="n">
        <v>38</v>
      </c>
      <c r="H13" s="5" t="n">
        <v>1987.32</v>
      </c>
      <c r="I13" s="8" t="n">
        <f aca="false">IF(F13&gt;0,H13/F13,0)</f>
        <v>1.17911049933549</v>
      </c>
      <c r="J13" s="9" t="n">
        <f aca="false">IF(G13&gt;0,F13/G13,0)</f>
        <v>44.3536842105263</v>
      </c>
      <c r="K13" s="23" t="s">
        <v>38</v>
      </c>
      <c r="L13" s="4" t="s">
        <v>236</v>
      </c>
    </row>
    <row r="14" customFormat="false" ht="15" hidden="false" customHeight="false" outlineLevel="0" collapsed="false">
      <c r="A14" s="4" t="s">
        <v>222</v>
      </c>
      <c r="B14" s="4" t="s">
        <v>89</v>
      </c>
      <c r="C14" s="4" t="s">
        <v>113</v>
      </c>
      <c r="D14" s="4" t="s">
        <v>116</v>
      </c>
      <c r="E14" s="4" t="n">
        <v>1</v>
      </c>
      <c r="F14" s="5" t="n">
        <v>1518.7</v>
      </c>
      <c r="G14" s="7" t="n">
        <v>24</v>
      </c>
      <c r="H14" s="5" t="n">
        <v>1823.34</v>
      </c>
      <c r="I14" s="8" t="n">
        <f aca="false">IF(F14&gt;0,H14/F14,0)</f>
        <v>1.20059261210246</v>
      </c>
      <c r="J14" s="9" t="n">
        <f aca="false">IF(G14&gt;0,F14/G14,0)</f>
        <v>63.2791666666667</v>
      </c>
      <c r="K14" s="23" t="s">
        <v>38</v>
      </c>
      <c r="L14" s="4" t="s">
        <v>221</v>
      </c>
    </row>
    <row r="15" customFormat="false" ht="15" hidden="false" customHeight="false" outlineLevel="0" collapsed="false">
      <c r="A15" s="4" t="s">
        <v>134</v>
      </c>
      <c r="B15" s="4" t="s">
        <v>89</v>
      </c>
      <c r="C15" s="4" t="s">
        <v>133</v>
      </c>
      <c r="D15" s="4" t="s">
        <v>136</v>
      </c>
      <c r="E15" s="4" t="n">
        <v>1</v>
      </c>
      <c r="F15" s="5" t="n">
        <v>1493.23</v>
      </c>
      <c r="G15" s="7" t="n">
        <v>38</v>
      </c>
      <c r="H15" s="5" t="n">
        <v>2376.66</v>
      </c>
      <c r="I15" s="8" t="n">
        <f aca="false">IF(F15&gt;0,H15/F15,0)</f>
        <v>1.59162352752088</v>
      </c>
      <c r="J15" s="9" t="n">
        <f aca="false">IF(G15&gt;0,F15/G15,0)</f>
        <v>39.2955263157895</v>
      </c>
      <c r="K15" s="20" t="s">
        <v>36</v>
      </c>
      <c r="L15" s="4" t="s">
        <v>130</v>
      </c>
    </row>
    <row r="16" customFormat="false" ht="15" hidden="false" customHeight="false" outlineLevel="0" collapsed="false">
      <c r="A16" s="4" t="s">
        <v>114</v>
      </c>
      <c r="B16" s="4" t="s">
        <v>89</v>
      </c>
      <c r="C16" s="4" t="s">
        <v>113</v>
      </c>
      <c r="D16" s="4" t="s">
        <v>116</v>
      </c>
      <c r="E16" s="4" t="n">
        <v>1</v>
      </c>
      <c r="F16" s="5" t="n">
        <v>1409.73</v>
      </c>
      <c r="G16" s="7" t="n">
        <v>26</v>
      </c>
      <c r="H16" s="5" t="n">
        <v>2297.06</v>
      </c>
      <c r="I16" s="8" t="n">
        <f aca="false">IF(F16&gt;0,H16/F16,0)</f>
        <v>1.62943258638179</v>
      </c>
      <c r="J16" s="9" t="n">
        <f aca="false">IF(G16&gt;0,F16/G16,0)</f>
        <v>54.2203846153846</v>
      </c>
      <c r="K16" s="20" t="s">
        <v>36</v>
      </c>
      <c r="L16" s="4" t="s">
        <v>108</v>
      </c>
    </row>
    <row r="17" customFormat="false" ht="15" hidden="false" customHeight="false" outlineLevel="0" collapsed="false">
      <c r="A17" s="4" t="s">
        <v>216</v>
      </c>
      <c r="B17" s="4" t="s">
        <v>89</v>
      </c>
      <c r="C17" s="4" t="s">
        <v>90</v>
      </c>
      <c r="D17" s="4" t="s">
        <v>412</v>
      </c>
      <c r="E17" s="4" t="n">
        <v>1</v>
      </c>
      <c r="F17" s="5" t="n">
        <v>1277.91</v>
      </c>
      <c r="G17" s="7" t="n">
        <v>24</v>
      </c>
      <c r="H17" s="5" t="n">
        <v>1537.86</v>
      </c>
      <c r="I17" s="8" t="n">
        <f aca="false">IF(F17&gt;0,H17/F17,0)</f>
        <v>1.20341808108552</v>
      </c>
      <c r="J17" s="9" t="n">
        <f aca="false">IF(G17&gt;0,F17/G17,0)</f>
        <v>53.24625</v>
      </c>
      <c r="K17" s="23" t="s">
        <v>38</v>
      </c>
      <c r="L17" s="4" t="s">
        <v>214</v>
      </c>
    </row>
    <row r="18" customFormat="false" ht="15" hidden="false" customHeight="false" outlineLevel="0" collapsed="false">
      <c r="A18" s="4" t="s">
        <v>158</v>
      </c>
      <c r="B18" s="4" t="s">
        <v>157</v>
      </c>
      <c r="C18" s="4" t="s">
        <v>90</v>
      </c>
      <c r="D18" s="4" t="s">
        <v>412</v>
      </c>
      <c r="E18" s="4" t="n">
        <v>1</v>
      </c>
      <c r="F18" s="5" t="n">
        <v>1200</v>
      </c>
      <c r="G18" s="7" t="n">
        <v>30</v>
      </c>
      <c r="H18" s="5" t="n">
        <v>1763.76</v>
      </c>
      <c r="I18" s="8" t="n">
        <f aca="false">IF(F18&gt;0,H18/F18,0)</f>
        <v>1.4698</v>
      </c>
      <c r="J18" s="9" t="n">
        <f aca="false">IF(G18&gt;0,F18/G18,0)</f>
        <v>40</v>
      </c>
      <c r="K18" s="20" t="s">
        <v>36</v>
      </c>
      <c r="L18" s="4" t="s">
        <v>153</v>
      </c>
    </row>
    <row r="19" customFormat="false" ht="15" hidden="false" customHeight="false" outlineLevel="0" collapsed="false">
      <c r="A19" s="4" t="s">
        <v>329</v>
      </c>
      <c r="B19" s="4" t="s">
        <v>89</v>
      </c>
      <c r="C19" s="4" t="s">
        <v>133</v>
      </c>
      <c r="D19" s="4" t="s">
        <v>136</v>
      </c>
      <c r="E19" s="4" t="n">
        <v>1</v>
      </c>
      <c r="F19" s="5" t="n">
        <v>672.95</v>
      </c>
      <c r="G19" s="7" t="n">
        <v>17</v>
      </c>
      <c r="H19" s="5" t="n">
        <v>1031.71</v>
      </c>
      <c r="I19" s="8" t="n">
        <f aca="false">IF(F19&gt;0,H19/F19,0)</f>
        <v>1.53311538747307</v>
      </c>
      <c r="J19" s="9" t="n">
        <f aca="false">IF(G19&gt;0,F19/G19,0)</f>
        <v>39.5852941176471</v>
      </c>
      <c r="K19" s="25" t="s">
        <v>42</v>
      </c>
      <c r="L19" s="4" t="s">
        <v>327</v>
      </c>
    </row>
    <row r="20" customFormat="false" ht="15" hidden="false" customHeight="false" outlineLevel="0" collapsed="false">
      <c r="A20" s="4" t="s">
        <v>390</v>
      </c>
      <c r="B20" s="4" t="s">
        <v>89</v>
      </c>
      <c r="C20" s="4" t="s">
        <v>90</v>
      </c>
      <c r="D20" s="4" t="s">
        <v>412</v>
      </c>
      <c r="E20" s="4" t="n">
        <v>1</v>
      </c>
      <c r="F20" s="5" t="n">
        <v>590.51</v>
      </c>
      <c r="G20" s="7" t="n">
        <v>12</v>
      </c>
      <c r="H20" s="5" t="n">
        <v>777.86</v>
      </c>
      <c r="I20" s="8" t="n">
        <f aca="false">IF(F20&gt;0,H20/F20,0)</f>
        <v>1.31726812416386</v>
      </c>
      <c r="J20" s="9" t="n">
        <f aca="false">IF(G20&gt;0,F20/G20,0)</f>
        <v>49.2091666666667</v>
      </c>
      <c r="K20" s="25" t="s">
        <v>42</v>
      </c>
      <c r="L20" s="4" t="s">
        <v>389</v>
      </c>
    </row>
    <row r="21" customFormat="false" ht="15" hidden="false" customHeight="false" outlineLevel="0" collapsed="false">
      <c r="A21" s="4" t="s">
        <v>287</v>
      </c>
      <c r="B21" s="4" t="s">
        <v>89</v>
      </c>
      <c r="C21" s="4" t="s">
        <v>133</v>
      </c>
      <c r="D21" s="4" t="s">
        <v>288</v>
      </c>
      <c r="E21" s="4" t="n">
        <v>1</v>
      </c>
      <c r="F21" s="5" t="n">
        <v>578.29</v>
      </c>
      <c r="G21" s="7" t="n">
        <v>18</v>
      </c>
      <c r="H21" s="5" t="n">
        <v>1237.35</v>
      </c>
      <c r="I21" s="8" t="n">
        <f aca="false">IF(F21&gt;0,H21/F21,0)</f>
        <v>2.13967040758097</v>
      </c>
      <c r="J21" s="9" t="n">
        <f aca="false">IF(G21&gt;0,F21/G21,0)</f>
        <v>32.1272222222222</v>
      </c>
      <c r="K21" s="25" t="s">
        <v>42</v>
      </c>
      <c r="L21" s="4" t="s">
        <v>284</v>
      </c>
    </row>
    <row r="22" customFormat="false" ht="15" hidden="false" customHeight="false" outlineLevel="0" collapsed="false">
      <c r="A22" s="4" t="s">
        <v>280</v>
      </c>
      <c r="B22" s="4" t="s">
        <v>89</v>
      </c>
      <c r="C22" s="4" t="s">
        <v>90</v>
      </c>
      <c r="D22" s="4" t="s">
        <v>412</v>
      </c>
      <c r="E22" s="4" t="n">
        <v>1</v>
      </c>
      <c r="F22" s="5" t="n">
        <v>443.23</v>
      </c>
      <c r="G22" s="7" t="n">
        <v>12</v>
      </c>
      <c r="H22" s="5" t="n">
        <v>956.84</v>
      </c>
      <c r="I22" s="8" t="n">
        <f aca="false">IF(F22&gt;0,H22/F22,0)</f>
        <v>2.15878889064368</v>
      </c>
      <c r="J22" s="9" t="n">
        <f aca="false">IF(G22&gt;0,F22/G22,0)</f>
        <v>36.9358333333333</v>
      </c>
      <c r="K22" s="25" t="s">
        <v>42</v>
      </c>
      <c r="L22" s="4" t="s">
        <v>277</v>
      </c>
    </row>
    <row r="23" customFormat="false" ht="15" hidden="false" customHeight="false" outlineLevel="0" collapsed="false">
      <c r="A23" s="4" t="s">
        <v>318</v>
      </c>
      <c r="B23" s="4" t="s">
        <v>89</v>
      </c>
      <c r="C23" s="4" t="s">
        <v>113</v>
      </c>
      <c r="D23" s="4" t="s">
        <v>136</v>
      </c>
      <c r="E23" s="4" t="n">
        <v>1</v>
      </c>
      <c r="F23" s="5" t="n">
        <v>434.6</v>
      </c>
      <c r="G23" s="7" t="n">
        <v>10</v>
      </c>
      <c r="H23" s="5" t="n">
        <v>743.2</v>
      </c>
      <c r="I23" s="8" t="n">
        <f aca="false">IF(F23&gt;0,H23/F23,0)</f>
        <v>1.7100782328578</v>
      </c>
      <c r="J23" s="9" t="n">
        <f aca="false">IF(G23&gt;0,F23/G23,0)</f>
        <v>43.46</v>
      </c>
      <c r="K23" s="25" t="s">
        <v>42</v>
      </c>
      <c r="L23" s="4" t="s">
        <v>315</v>
      </c>
    </row>
    <row r="24" customFormat="false" ht="15" hidden="false" customHeight="false" outlineLevel="0" collapsed="false">
      <c r="A24" s="4" t="s">
        <v>311</v>
      </c>
      <c r="B24" s="4" t="s">
        <v>89</v>
      </c>
      <c r="C24" s="4" t="s">
        <v>90</v>
      </c>
      <c r="D24" s="4" t="s">
        <v>412</v>
      </c>
      <c r="E24" s="4" t="n">
        <v>1</v>
      </c>
      <c r="F24" s="5" t="n">
        <v>376.28</v>
      </c>
      <c r="G24" s="7" t="n">
        <v>10</v>
      </c>
      <c r="H24" s="5" t="n">
        <v>657.97</v>
      </c>
      <c r="I24" s="8" t="n">
        <f aca="false">IF(F24&gt;0,H24/F24,0)</f>
        <v>1.74861805038801</v>
      </c>
      <c r="J24" s="9" t="n">
        <f aca="false">IF(G24&gt;0,F24/G24,0)</f>
        <v>37.628</v>
      </c>
      <c r="K24" s="25" t="s">
        <v>42</v>
      </c>
      <c r="L24" s="4" t="s">
        <v>308</v>
      </c>
    </row>
    <row r="25" customFormat="false" ht="15" hidden="false" customHeight="false" outlineLevel="0" collapsed="false">
      <c r="A25" s="4" t="s">
        <v>372</v>
      </c>
      <c r="B25" s="4" t="s">
        <v>157</v>
      </c>
      <c r="C25" s="4" t="s">
        <v>90</v>
      </c>
      <c r="D25" s="4" t="s">
        <v>412</v>
      </c>
      <c r="E25" s="4" t="n">
        <v>1</v>
      </c>
      <c r="F25" s="5" t="n">
        <v>373.28</v>
      </c>
      <c r="G25" s="7" t="n">
        <v>8</v>
      </c>
      <c r="H25" s="5" t="n">
        <v>523.67</v>
      </c>
      <c r="I25" s="8" t="n">
        <f aca="false">IF(F25&gt;0,H25/F25,0)</f>
        <v>1.40288791255894</v>
      </c>
      <c r="J25" s="9" t="n">
        <f aca="false">IF(G25&gt;0,F25/G25,0)</f>
        <v>46.66</v>
      </c>
      <c r="K25" s="25" t="s">
        <v>42</v>
      </c>
      <c r="L25" s="4" t="s">
        <v>368</v>
      </c>
    </row>
    <row r="26" customFormat="false" ht="15" hidden="false" customHeight="false" outlineLevel="0" collapsed="false">
      <c r="A26" s="4" t="s">
        <v>324</v>
      </c>
      <c r="B26" s="4" t="s">
        <v>157</v>
      </c>
      <c r="C26" s="4" t="s">
        <v>90</v>
      </c>
      <c r="D26" s="4" t="s">
        <v>412</v>
      </c>
      <c r="E26" s="4" t="n">
        <v>1</v>
      </c>
      <c r="F26" s="5" t="n">
        <v>333.22</v>
      </c>
      <c r="G26" s="7" t="n">
        <v>8</v>
      </c>
      <c r="H26" s="5" t="n">
        <v>534.19</v>
      </c>
      <c r="I26" s="8" t="n">
        <f aca="false">IF(F26&gt;0,H26/F26,0)</f>
        <v>1.6031150591201</v>
      </c>
      <c r="J26" s="9" t="n">
        <f aca="false">IF(G26&gt;0,F26/G26,0)</f>
        <v>41.6525</v>
      </c>
      <c r="K26" s="25" t="s">
        <v>42</v>
      </c>
      <c r="L26" s="4" t="s">
        <v>322</v>
      </c>
    </row>
    <row r="27" customFormat="false" ht="15" hidden="false" customHeight="false" outlineLevel="0" collapsed="false">
      <c r="A27" s="4" t="s">
        <v>379</v>
      </c>
      <c r="B27" s="4" t="s">
        <v>89</v>
      </c>
      <c r="C27" s="4" t="s">
        <v>133</v>
      </c>
      <c r="D27" s="4" t="s">
        <v>136</v>
      </c>
      <c r="E27" s="4" t="n">
        <v>1</v>
      </c>
      <c r="F27" s="5" t="n">
        <v>325.33</v>
      </c>
      <c r="G27" s="7" t="n">
        <v>7</v>
      </c>
      <c r="H27" s="5" t="n">
        <v>451.77</v>
      </c>
      <c r="I27" s="8" t="n">
        <f aca="false">IF(F27&gt;0,H27/F27,0)</f>
        <v>1.38865152306888</v>
      </c>
      <c r="J27" s="9" t="n">
        <f aca="false">IF(G27&gt;0,F27/G27,0)</f>
        <v>46.4757142857143</v>
      </c>
      <c r="K27" s="25" t="s">
        <v>42</v>
      </c>
      <c r="L27" s="4" t="s">
        <v>376</v>
      </c>
    </row>
    <row r="28" customFormat="false" ht="15" hidden="false" customHeight="false" outlineLevel="0" collapsed="false">
      <c r="A28" s="4" t="s">
        <v>349</v>
      </c>
      <c r="B28" s="4" t="s">
        <v>89</v>
      </c>
      <c r="C28" s="4" t="s">
        <v>133</v>
      </c>
      <c r="D28" s="4" t="s">
        <v>350</v>
      </c>
      <c r="E28" s="4" t="n">
        <v>1</v>
      </c>
      <c r="F28" s="5" t="n">
        <v>324.46</v>
      </c>
      <c r="G28" s="7" t="n">
        <v>6</v>
      </c>
      <c r="H28" s="5" t="n">
        <v>477.72</v>
      </c>
      <c r="I28" s="8" t="n">
        <f aca="false">IF(F28&gt;0,H28/F28,0)</f>
        <v>1.47235406521605</v>
      </c>
      <c r="J28" s="9" t="n">
        <f aca="false">IF(G28&gt;0,F28/G28,0)</f>
        <v>54.0766666666667</v>
      </c>
      <c r="K28" s="25" t="s">
        <v>42</v>
      </c>
      <c r="L28" s="4" t="s">
        <v>346</v>
      </c>
    </row>
    <row r="29" customFormat="false" ht="15" hidden="false" customHeight="false" outlineLevel="0" collapsed="false">
      <c r="A29" s="4" t="s">
        <v>362</v>
      </c>
      <c r="B29" s="4" t="s">
        <v>89</v>
      </c>
      <c r="C29" s="4" t="s">
        <v>113</v>
      </c>
      <c r="D29" s="4" t="s">
        <v>116</v>
      </c>
      <c r="E29" s="4" t="n">
        <v>1</v>
      </c>
      <c r="F29" s="5" t="n">
        <v>324.46</v>
      </c>
      <c r="G29" s="7" t="n">
        <v>8</v>
      </c>
      <c r="H29" s="5" t="n">
        <v>462.17</v>
      </c>
      <c r="I29" s="8" t="n">
        <f aca="false">IF(F29&gt;0,H29/F29,0)</f>
        <v>1.42442828083585</v>
      </c>
      <c r="J29" s="9" t="n">
        <f aca="false">IF(G29&gt;0,F29/G29,0)</f>
        <v>40.5575</v>
      </c>
      <c r="K29" s="25" t="s">
        <v>42</v>
      </c>
      <c r="L29" s="4" t="s">
        <v>359</v>
      </c>
    </row>
    <row r="30" customFormat="false" ht="15" hidden="false" customHeight="false" outlineLevel="0" collapsed="false">
      <c r="A30" s="4" t="s">
        <v>299</v>
      </c>
      <c r="B30" s="4" t="s">
        <v>89</v>
      </c>
      <c r="C30" s="4" t="s">
        <v>90</v>
      </c>
      <c r="D30" s="4" t="s">
        <v>412</v>
      </c>
      <c r="E30" s="4" t="n">
        <v>1</v>
      </c>
      <c r="F30" s="5" t="n">
        <v>321.43</v>
      </c>
      <c r="G30" s="7" t="n">
        <v>11</v>
      </c>
      <c r="H30" s="5" t="n">
        <v>582.08</v>
      </c>
      <c r="I30" s="8" t="n">
        <f aca="false">IF(F30&gt;0,H30/F30,0)</f>
        <v>1.81090750707775</v>
      </c>
      <c r="J30" s="9" t="n">
        <f aca="false">IF(G30&gt;0,F30/G30,0)</f>
        <v>29.2209090909091</v>
      </c>
      <c r="K30" s="25" t="s">
        <v>42</v>
      </c>
      <c r="L30" s="4" t="s">
        <v>297</v>
      </c>
    </row>
    <row r="31" customFormat="false" ht="15" hidden="false" customHeight="false" outlineLevel="0" collapsed="false">
      <c r="A31" s="4" t="s">
        <v>385</v>
      </c>
      <c r="B31" s="4" t="s">
        <v>89</v>
      </c>
      <c r="C31" s="4" t="s">
        <v>90</v>
      </c>
      <c r="D31" s="4" t="s">
        <v>412</v>
      </c>
      <c r="E31" s="4" t="n">
        <v>1</v>
      </c>
      <c r="F31" s="5" t="n">
        <v>318.14</v>
      </c>
      <c r="G31" s="7" t="n">
        <v>7</v>
      </c>
      <c r="H31" s="5" t="n">
        <v>439.73</v>
      </c>
      <c r="I31" s="8" t="n">
        <f aca="false">IF(F31&gt;0,H31/F31,0)</f>
        <v>1.38219023071604</v>
      </c>
      <c r="J31" s="9" t="n">
        <f aca="false">IF(G31&gt;0,F31/G31,0)</f>
        <v>45.4485714285714</v>
      </c>
      <c r="K31" s="25" t="s">
        <v>42</v>
      </c>
      <c r="L31" s="4" t="s">
        <v>383</v>
      </c>
    </row>
    <row r="32" customFormat="false" ht="15" hidden="false" customHeight="false" outlineLevel="0" collapsed="false">
      <c r="A32" s="4" t="s">
        <v>343</v>
      </c>
      <c r="B32" s="4" t="s">
        <v>89</v>
      </c>
      <c r="C32" s="4" t="s">
        <v>90</v>
      </c>
      <c r="D32" s="4" t="s">
        <v>412</v>
      </c>
      <c r="E32" s="4" t="n">
        <v>1</v>
      </c>
      <c r="F32" s="5" t="n">
        <v>317.41</v>
      </c>
      <c r="G32" s="7" t="n">
        <v>9</v>
      </c>
      <c r="H32" s="5" t="n">
        <v>474.14</v>
      </c>
      <c r="I32" s="8" t="n">
        <f aca="false">IF(F32&gt;0,H32/F32,0)</f>
        <v>1.49377776377556</v>
      </c>
      <c r="J32" s="9" t="n">
        <f aca="false">IF(G32&gt;0,F32/G32,0)</f>
        <v>35.2677777777778</v>
      </c>
      <c r="K32" s="25" t="s">
        <v>42</v>
      </c>
      <c r="L32" s="4" t="s">
        <v>340</v>
      </c>
    </row>
    <row r="33" customFormat="false" ht="15" hidden="false" customHeight="false" outlineLevel="0" collapsed="false">
      <c r="A33" s="4" t="s">
        <v>337</v>
      </c>
      <c r="B33" s="4" t="s">
        <v>157</v>
      </c>
      <c r="C33" s="4" t="s">
        <v>90</v>
      </c>
      <c r="D33" s="4" t="s">
        <v>412</v>
      </c>
      <c r="E33" s="4" t="n">
        <v>1</v>
      </c>
      <c r="F33" s="5" t="n">
        <v>264.3</v>
      </c>
      <c r="G33" s="7" t="n">
        <v>7</v>
      </c>
      <c r="H33" s="5" t="n">
        <v>404.53</v>
      </c>
      <c r="I33" s="8" t="n">
        <f aca="false">IF(F33&gt;0,H33/F33,0)</f>
        <v>1.53057132046916</v>
      </c>
      <c r="J33" s="9" t="n">
        <f aca="false">IF(G33&gt;0,F33/G33,0)</f>
        <v>37.7571428571429</v>
      </c>
      <c r="K33" s="25" t="s">
        <v>42</v>
      </c>
      <c r="L33" s="4" t="s">
        <v>334</v>
      </c>
    </row>
    <row r="35" customFormat="false" ht="15" hidden="false" customHeight="false" outlineLevel="0" collapsed="false">
      <c r="A35" s="2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4" style="0" width="34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6" min="14" style="0" width="9"/>
    <col collapsed="false" customWidth="true" hidden="false" outlineLevel="0" max="17" min="17" style="0" width="12"/>
    <col collapsed="false" customWidth="true" hidden="false" outlineLevel="0" max="19" min="18" style="0" width="10"/>
    <col collapsed="false" customWidth="true" hidden="false" outlineLevel="0" max="21" min="20" style="0" width="11"/>
    <col collapsed="false" customWidth="true" hidden="false" outlineLevel="0" max="22" min="22" style="0" width="10"/>
  </cols>
  <sheetData>
    <row r="1" customFormat="false" ht="31.5" hidden="false" customHeight="true" outlineLevel="0" collapsed="false">
      <c r="A1" s="19" t="s">
        <v>60</v>
      </c>
      <c r="B1" s="19" t="s">
        <v>418</v>
      </c>
      <c r="C1" s="19" t="s">
        <v>59</v>
      </c>
      <c r="D1" s="19" t="s">
        <v>61</v>
      </c>
      <c r="E1" s="19" t="s">
        <v>62</v>
      </c>
      <c r="F1" s="19" t="s">
        <v>63</v>
      </c>
      <c r="G1" s="19" t="s">
        <v>64</v>
      </c>
      <c r="H1" s="19" t="s">
        <v>81</v>
      </c>
      <c r="I1" s="19" t="s">
        <v>3</v>
      </c>
      <c r="J1" s="19" t="s">
        <v>5</v>
      </c>
      <c r="K1" s="19" t="s">
        <v>6</v>
      </c>
      <c r="L1" s="19" t="s">
        <v>7</v>
      </c>
      <c r="M1" s="19" t="s">
        <v>8</v>
      </c>
      <c r="N1" s="19" t="s">
        <v>11</v>
      </c>
      <c r="O1" s="19" t="s">
        <v>10</v>
      </c>
      <c r="P1" s="19" t="s">
        <v>12</v>
      </c>
      <c r="Q1" s="19" t="s">
        <v>9</v>
      </c>
      <c r="R1" s="19" t="s">
        <v>70</v>
      </c>
      <c r="S1" s="19" t="s">
        <v>13</v>
      </c>
      <c r="T1" s="19" t="s">
        <v>14</v>
      </c>
      <c r="U1" s="19" t="s">
        <v>71</v>
      </c>
      <c r="V1" s="19" t="s">
        <v>72</v>
      </c>
    </row>
    <row r="2" customFormat="false" ht="15" hidden="false" customHeight="false" outlineLevel="0" collapsed="false">
      <c r="A2" s="4" t="s">
        <v>272</v>
      </c>
      <c r="B2" s="4" t="str">
        <f aca="false">IF(AND(I2&gt;='Read Me &amp; Markers'!$B$18,J2&gt;='Read Me &amp; Markers'!$B$19,L2&gt;='Read Me &amp; Markers'!$B$20),"A. Proven winner",IF(AND(I2&gt;='Read Me &amp; Markers'!$B$18,J2&gt;='Read Me &amp; Markers'!$B$19,L2&gt;='Read Me &amp; Markers'!$B$21),"B. Strong performer",IF(AND(I2&gt;='Read Me &amp; Markers'!$B$22,L2&gt;='Read Me &amp; Markers'!$B$23),"C. Scale workhorse",IF(AND(I2&gt;='Read Me &amp; Markers'!$B$24,I2&lt;'Read Me &amp; Markers'!$B$18,J2&gt;='Read Me &amp; Markers'!$B$25,L2&gt;='Read Me &amp; Markers'!$B$26),"D. Promising (needs more spend)",""))))</f>
        <v>C. Scale workhorse</v>
      </c>
      <c r="C2" s="4" t="s">
        <v>271</v>
      </c>
      <c r="D2" s="4" t="s">
        <v>228</v>
      </c>
      <c r="E2" s="4" t="s">
        <v>273</v>
      </c>
      <c r="F2" s="4" t="s">
        <v>111</v>
      </c>
      <c r="G2" s="4" t="s">
        <v>262</v>
      </c>
      <c r="H2" s="4" t="s">
        <v>275</v>
      </c>
      <c r="I2" s="5" t="n">
        <v>66429.42</v>
      </c>
      <c r="J2" s="7" t="n">
        <v>1117</v>
      </c>
      <c r="K2" s="5" t="n">
        <v>66508.13</v>
      </c>
      <c r="L2" s="8" t="n">
        <v>1.001185</v>
      </c>
      <c r="M2" s="9" t="n">
        <v>59.47</v>
      </c>
      <c r="N2" s="10" t="n">
        <v>0.05773769</v>
      </c>
      <c r="O2" s="5" t="n">
        <v>166.43</v>
      </c>
      <c r="P2" s="11" t="n">
        <v>2.108914</v>
      </c>
      <c r="Q2" s="7" t="n">
        <v>399150</v>
      </c>
      <c r="R2" s="7" t="n">
        <v>23046</v>
      </c>
      <c r="S2" s="7" t="n">
        <v>1046</v>
      </c>
      <c r="T2" s="7" t="n">
        <v>2834</v>
      </c>
      <c r="U2" s="7" t="n">
        <v>370957</v>
      </c>
      <c r="V2" s="7" t="n">
        <v>80946</v>
      </c>
    </row>
    <row r="3" customFormat="false" ht="15" hidden="false" customHeight="false" outlineLevel="0" collapsed="false">
      <c r="A3" s="4" t="s">
        <v>419</v>
      </c>
      <c r="B3" s="4" t="str">
        <f aca="false">IF(AND(I3&gt;='Read Me &amp; Markers'!$B$18,J3&gt;='Read Me &amp; Markers'!$B$19,L3&gt;='Read Me &amp; Markers'!$B$20),"A. Proven winner",IF(AND(I3&gt;='Read Me &amp; Markers'!$B$18,J3&gt;='Read Me &amp; Markers'!$B$19,L3&gt;='Read Me &amp; Markers'!$B$21),"B. Strong performer",IF(AND(I3&gt;='Read Me &amp; Markers'!$B$22,L3&gt;='Read Me &amp; Markers'!$B$23),"C. Scale workhorse",IF(AND(I3&gt;='Read Me &amp; Markers'!$B$24,I3&lt;'Read Me &amp; Markers'!$B$18,J3&gt;='Read Me &amp; Markers'!$B$25,L3&gt;='Read Me &amp; Markers'!$B$26),"D. Promising (needs more spend)",""))))</f>
        <v/>
      </c>
      <c r="C3" s="4" t="s">
        <v>169</v>
      </c>
      <c r="D3" s="4" t="s">
        <v>228</v>
      </c>
      <c r="E3" s="4" t="s">
        <v>420</v>
      </c>
      <c r="F3" s="4" t="s">
        <v>87</v>
      </c>
      <c r="G3" s="4" t="s">
        <v>262</v>
      </c>
      <c r="H3" s="4" t="s">
        <v>421</v>
      </c>
      <c r="I3" s="5" t="n">
        <v>48771.81</v>
      </c>
      <c r="J3" s="7" t="n">
        <v>689</v>
      </c>
      <c r="K3" s="5" t="n">
        <v>38827.43</v>
      </c>
      <c r="L3" s="8" t="n">
        <v>0.796104</v>
      </c>
      <c r="M3" s="9" t="n">
        <v>70.79</v>
      </c>
      <c r="N3" s="10" t="n">
        <v>0.08679342</v>
      </c>
      <c r="O3" s="5" t="n">
        <v>234.87</v>
      </c>
      <c r="P3" s="11" t="n">
        <v>1.445444</v>
      </c>
      <c r="Q3" s="7" t="n">
        <v>207654</v>
      </c>
      <c r="R3" s="7" t="n">
        <v>18023</v>
      </c>
      <c r="S3" s="7" t="n">
        <v>537</v>
      </c>
      <c r="T3" s="7" t="n">
        <v>1705</v>
      </c>
      <c r="U3" s="7" t="n">
        <v>186803</v>
      </c>
      <c r="V3" s="7" t="n">
        <v>70027</v>
      </c>
    </row>
    <row r="4" customFormat="false" ht="15" hidden="false" customHeight="false" outlineLevel="0" collapsed="false">
      <c r="A4" s="4" t="s">
        <v>147</v>
      </c>
      <c r="B4" s="4" t="str">
        <f aca="false">IF(AND(I4&gt;='Read Me &amp; Markers'!$B$18,J4&gt;='Read Me &amp; Markers'!$B$19,L4&gt;='Read Me &amp; Markers'!$B$20),"A. Proven winner",IF(AND(I4&gt;='Read Me &amp; Markers'!$B$18,J4&gt;='Read Me &amp; Markers'!$B$19,L4&gt;='Read Me &amp; Markers'!$B$21),"B. Strong performer",IF(AND(I4&gt;='Read Me &amp; Markers'!$B$22,L4&gt;='Read Me &amp; Markers'!$B$23),"C. Scale workhorse",IF(AND(I4&gt;='Read Me &amp; Markers'!$B$24,I4&lt;'Read Me &amp; Markers'!$B$18,J4&gt;='Read Me &amp; Markers'!$B$25,L4&gt;='Read Me &amp; Markers'!$B$26),"D. Promising (needs more spend)",""))))</f>
        <v>A. Proven winner</v>
      </c>
      <c r="C4" s="4" t="s">
        <v>83</v>
      </c>
      <c r="D4" s="4" t="s">
        <v>85</v>
      </c>
      <c r="E4" s="4" t="s">
        <v>148</v>
      </c>
      <c r="F4" s="4" t="s">
        <v>87</v>
      </c>
      <c r="G4" s="4" t="s">
        <v>88</v>
      </c>
      <c r="H4" s="4" t="s">
        <v>150</v>
      </c>
      <c r="I4" s="5" t="n">
        <v>36342.32</v>
      </c>
      <c r="J4" s="7" t="n">
        <v>866</v>
      </c>
      <c r="K4" s="5" t="n">
        <v>53976.31</v>
      </c>
      <c r="L4" s="8" t="n">
        <v>1.485219</v>
      </c>
      <c r="M4" s="9" t="n">
        <v>41.97</v>
      </c>
      <c r="N4" s="10" t="n">
        <v>0.04720497</v>
      </c>
      <c r="O4" s="5" t="n">
        <v>112.66</v>
      </c>
      <c r="P4" s="11" t="n">
        <v>1.770856</v>
      </c>
      <c r="Q4" s="7" t="n">
        <v>322572</v>
      </c>
      <c r="R4" s="7" t="n">
        <v>15227</v>
      </c>
      <c r="S4" s="7" t="n">
        <v>2557</v>
      </c>
      <c r="T4" s="7" t="n">
        <v>1905</v>
      </c>
      <c r="U4" s="7" t="n">
        <v>297219</v>
      </c>
      <c r="V4" s="7" t="n">
        <v>57700</v>
      </c>
    </row>
    <row r="5" customFormat="false" ht="15" hidden="false" customHeight="false" outlineLevel="0" collapsed="false">
      <c r="A5" s="4" t="s">
        <v>266</v>
      </c>
      <c r="B5" s="4" t="str">
        <f aca="false">IF(AND(I5&gt;='Read Me &amp; Markers'!$B$18,J5&gt;='Read Me &amp; Markers'!$B$19,L5&gt;='Read Me &amp; Markers'!$B$20),"A. Proven winner",IF(AND(I5&gt;='Read Me &amp; Markers'!$B$18,J5&gt;='Read Me &amp; Markers'!$B$19,L5&gt;='Read Me &amp; Markers'!$B$21),"B. Strong performer",IF(AND(I5&gt;='Read Me &amp; Markers'!$B$22,L5&gt;='Read Me &amp; Markers'!$B$23),"C. Scale workhorse",IF(AND(I5&gt;='Read Me &amp; Markers'!$B$24,I5&lt;'Read Me &amp; Markers'!$B$18,J5&gt;='Read Me &amp; Markers'!$B$25,L5&gt;='Read Me &amp; Markers'!$B$26),"D. Promising (needs more spend)",""))))</f>
        <v>C. Scale workhorse</v>
      </c>
      <c r="C5" s="4" t="s">
        <v>192</v>
      </c>
      <c r="D5" s="4" t="s">
        <v>228</v>
      </c>
      <c r="E5" s="4" t="s">
        <v>267</v>
      </c>
      <c r="F5" s="4" t="s">
        <v>87</v>
      </c>
      <c r="G5" s="4" t="s">
        <v>262</v>
      </c>
      <c r="H5" s="4" t="s">
        <v>269</v>
      </c>
      <c r="I5" s="5" t="n">
        <v>19526.1</v>
      </c>
      <c r="J5" s="7" t="n">
        <v>318</v>
      </c>
      <c r="K5" s="5" t="n">
        <v>21345.86</v>
      </c>
      <c r="L5" s="8" t="n">
        <v>1.093196</v>
      </c>
      <c r="M5" s="9" t="n">
        <v>61.4</v>
      </c>
      <c r="N5" s="10" t="n">
        <v>0.02969702</v>
      </c>
      <c r="O5" s="5" t="n">
        <v>96.13</v>
      </c>
      <c r="P5" s="11" t="n">
        <v>2.511878</v>
      </c>
      <c r="Q5" s="7" t="n">
        <v>203118</v>
      </c>
      <c r="R5" s="7" t="n">
        <v>6032</v>
      </c>
      <c r="S5" s="7" t="n">
        <v>321</v>
      </c>
      <c r="T5" s="7" t="n">
        <v>809</v>
      </c>
      <c r="U5" s="7" t="n">
        <v>169219</v>
      </c>
      <c r="V5" s="7" t="n">
        <v>9412</v>
      </c>
    </row>
    <row r="6" customFormat="false" ht="15" hidden="false" customHeight="false" outlineLevel="0" collapsed="false">
      <c r="A6" s="4" t="s">
        <v>170</v>
      </c>
      <c r="B6" s="4" t="str">
        <f aca="false">IF(AND(I6&gt;='Read Me &amp; Markers'!$B$18,J6&gt;='Read Me &amp; Markers'!$B$19,L6&gt;='Read Me &amp; Markers'!$B$20),"A. Proven winner",IF(AND(I6&gt;='Read Me &amp; Markers'!$B$18,J6&gt;='Read Me &amp; Markers'!$B$19,L6&gt;='Read Me &amp; Markers'!$B$21),"B. Strong performer",IF(AND(I6&gt;='Read Me &amp; Markers'!$B$22,L6&gt;='Read Me &amp; Markers'!$B$23),"C. Scale workhorse",IF(AND(I6&gt;='Read Me &amp; Markers'!$B$24,I6&lt;'Read Me &amp; Markers'!$B$18,J6&gt;='Read Me &amp; Markers'!$B$25,L6&gt;='Read Me &amp; Markers'!$B$26),"D. Promising (needs more spend)",""))))</f>
        <v>A. Proven winner</v>
      </c>
      <c r="C6" s="4" t="s">
        <v>169</v>
      </c>
      <c r="D6" s="4" t="s">
        <v>100</v>
      </c>
      <c r="E6" s="4" t="s">
        <v>171</v>
      </c>
      <c r="F6" s="4" t="s">
        <v>172</v>
      </c>
      <c r="G6" s="4" t="s">
        <v>173</v>
      </c>
      <c r="H6" s="4" t="s">
        <v>178</v>
      </c>
      <c r="I6" s="5" t="n">
        <v>16480.85</v>
      </c>
      <c r="J6" s="7" t="n">
        <v>395</v>
      </c>
      <c r="K6" s="5" t="n">
        <v>22893.89</v>
      </c>
      <c r="L6" s="8" t="n">
        <v>1.389121</v>
      </c>
      <c r="M6" s="9" t="n">
        <v>41.72</v>
      </c>
      <c r="N6" s="10" t="n">
        <v>0.06919453</v>
      </c>
      <c r="O6" s="5" t="n">
        <v>87.84</v>
      </c>
      <c r="P6" s="11" t="n">
        <v>1.09498</v>
      </c>
      <c r="Q6" s="7" t="n">
        <v>187616</v>
      </c>
      <c r="R6" s="7" t="n">
        <v>12982</v>
      </c>
      <c r="S6" s="7" t="n">
        <v>1023</v>
      </c>
      <c r="T6" s="7" t="n">
        <v>790</v>
      </c>
      <c r="U6" s="7" t="n">
        <v>180193</v>
      </c>
      <c r="V6" s="7" t="n">
        <v>71708</v>
      </c>
    </row>
    <row r="7" customFormat="false" ht="15" hidden="false" customHeight="false" outlineLevel="0" collapsed="false">
      <c r="A7" s="4" t="s">
        <v>422</v>
      </c>
      <c r="B7" s="4" t="str">
        <f aca="false">IF(AND(I7&gt;='Read Me &amp; Markers'!$B$18,J7&gt;='Read Me &amp; Markers'!$B$19,L7&gt;='Read Me &amp; Markers'!$B$20),"A. Proven winner",IF(AND(I7&gt;='Read Me &amp; Markers'!$B$18,J7&gt;='Read Me &amp; Markers'!$B$19,L7&gt;='Read Me &amp; Markers'!$B$21),"B. Strong performer",IF(AND(I7&gt;='Read Me &amp; Markers'!$B$22,L7&gt;='Read Me &amp; Markers'!$B$23),"C. Scale workhorse",IF(AND(I7&gt;='Read Me &amp; Markers'!$B$24,I7&lt;'Read Me &amp; Markers'!$B$18,J7&gt;='Read Me &amp; Markers'!$B$25,L7&gt;='Read Me &amp; Markers'!$B$26),"D. Promising (needs more spend)",""))))</f>
        <v/>
      </c>
      <c r="C7" s="4" t="s">
        <v>423</v>
      </c>
      <c r="D7" s="4" t="s">
        <v>109</v>
      </c>
      <c r="E7" s="4" t="s">
        <v>424</v>
      </c>
      <c r="F7" s="4" t="s">
        <v>87</v>
      </c>
      <c r="G7" s="4" t="s">
        <v>425</v>
      </c>
      <c r="H7" s="4" t="s">
        <v>426</v>
      </c>
      <c r="I7" s="5" t="n">
        <v>13721.3</v>
      </c>
      <c r="J7" s="7" t="n">
        <v>148</v>
      </c>
      <c r="K7" s="5" t="n">
        <v>7298.49</v>
      </c>
      <c r="L7" s="8" t="n">
        <v>0.53191</v>
      </c>
      <c r="M7" s="9" t="n">
        <v>92.71</v>
      </c>
      <c r="N7" s="10" t="n">
        <v>0.04914259</v>
      </c>
      <c r="O7" s="5" t="n">
        <v>159.52</v>
      </c>
      <c r="P7" s="11" t="n">
        <v>1.298987</v>
      </c>
      <c r="Q7" s="7" t="n">
        <v>86015</v>
      </c>
      <c r="R7" s="7" t="n">
        <v>4227</v>
      </c>
      <c r="S7" s="7" t="n">
        <v>389</v>
      </c>
      <c r="T7" s="7" t="n">
        <v>397</v>
      </c>
      <c r="U7" s="7" t="n">
        <v>81160</v>
      </c>
      <c r="V7" s="7" t="n">
        <v>31243</v>
      </c>
    </row>
    <row r="8" customFormat="false" ht="15" hidden="false" customHeight="false" outlineLevel="0" collapsed="false">
      <c r="A8" s="4" t="s">
        <v>199</v>
      </c>
      <c r="B8" s="4" t="str">
        <f aca="false">IF(AND(I8&gt;='Read Me &amp; Markers'!$B$18,J8&gt;='Read Me &amp; Markers'!$B$19,L8&gt;='Read Me &amp; Markers'!$B$20),"A. Proven winner",IF(AND(I8&gt;='Read Me &amp; Markers'!$B$18,J8&gt;='Read Me &amp; Markers'!$B$19,L8&gt;='Read Me &amp; Markers'!$B$21),"B. Strong performer",IF(AND(I8&gt;='Read Me &amp; Markers'!$B$22,L8&gt;='Read Me &amp; Markers'!$B$23),"C. Scale workhorse",IF(AND(I8&gt;='Read Me &amp; Markers'!$B$24,I8&lt;'Read Me &amp; Markers'!$B$18,J8&gt;='Read Me &amp; Markers'!$B$25,L8&gt;='Read Me &amp; Markers'!$B$26),"D. Promising (needs more spend)",""))))</f>
        <v>B. Strong performer</v>
      </c>
      <c r="C8" s="4" t="s">
        <v>83</v>
      </c>
      <c r="D8" s="4" t="s">
        <v>85</v>
      </c>
      <c r="E8" s="4" t="s">
        <v>200</v>
      </c>
      <c r="F8" s="4" t="s">
        <v>87</v>
      </c>
      <c r="G8" s="4" t="s">
        <v>201</v>
      </c>
      <c r="H8" s="4" t="s">
        <v>203</v>
      </c>
      <c r="I8" s="5" t="n">
        <v>13539.24</v>
      </c>
      <c r="J8" s="7" t="n">
        <v>262</v>
      </c>
      <c r="K8" s="5" t="n">
        <v>16514.4</v>
      </c>
      <c r="L8" s="8" t="n">
        <v>1.219744</v>
      </c>
      <c r="M8" s="9" t="n">
        <v>51.68</v>
      </c>
      <c r="N8" s="10" t="n">
        <v>0.02535233</v>
      </c>
      <c r="O8" s="5" t="n">
        <v>69.64</v>
      </c>
      <c r="P8" s="11" t="n">
        <v>2.204808</v>
      </c>
      <c r="Q8" s="7" t="n">
        <v>194420</v>
      </c>
      <c r="R8" s="7" t="n">
        <v>4929</v>
      </c>
      <c r="S8" s="7" t="n">
        <v>763</v>
      </c>
      <c r="T8" s="7" t="n">
        <v>626</v>
      </c>
      <c r="U8" s="7" t="n">
        <v>173129</v>
      </c>
      <c r="V8" s="7" t="n">
        <v>7139</v>
      </c>
    </row>
    <row r="9" customFormat="false" ht="15" hidden="false" customHeight="false" outlineLevel="0" collapsed="false">
      <c r="A9" s="4" t="s">
        <v>163</v>
      </c>
      <c r="B9" s="4" t="str">
        <f aca="false">IF(AND(I9&gt;='Read Me &amp; Markers'!$B$18,J9&gt;='Read Me &amp; Markers'!$B$19,L9&gt;='Read Me &amp; Markers'!$B$20),"A. Proven winner",IF(AND(I9&gt;='Read Me &amp; Markers'!$B$18,J9&gt;='Read Me &amp; Markers'!$B$19,L9&gt;='Read Me &amp; Markers'!$B$21),"B. Strong performer",IF(AND(I9&gt;='Read Me &amp; Markers'!$B$22,L9&gt;='Read Me &amp; Markers'!$B$23),"C. Scale workhorse",IF(AND(I9&gt;='Read Me &amp; Markers'!$B$24,I9&lt;'Read Me &amp; Markers'!$B$18,J9&gt;='Read Me &amp; Markers'!$B$25,L9&gt;='Read Me &amp; Markers'!$B$26),"D. Promising (needs more spend)",""))))</f>
        <v>A. Proven winner</v>
      </c>
      <c r="C9" s="4" t="s">
        <v>121</v>
      </c>
      <c r="D9" s="4" t="s">
        <v>100</v>
      </c>
      <c r="E9" s="4" t="s">
        <v>164</v>
      </c>
      <c r="F9" s="4" t="s">
        <v>87</v>
      </c>
      <c r="G9" s="4" t="s">
        <v>88</v>
      </c>
      <c r="H9" s="4" t="s">
        <v>167</v>
      </c>
      <c r="I9" s="5" t="n">
        <v>7578.6</v>
      </c>
      <c r="J9" s="7" t="n">
        <v>157</v>
      </c>
      <c r="K9" s="5" t="n">
        <v>10583.75</v>
      </c>
      <c r="L9" s="8" t="n">
        <v>1.396531</v>
      </c>
      <c r="M9" s="9" t="n">
        <v>48.27</v>
      </c>
      <c r="N9" s="10" t="n">
        <v>0.0258393</v>
      </c>
      <c r="O9" s="5" t="n">
        <v>65.41</v>
      </c>
      <c r="P9" s="11" t="n">
        <v>2.18825</v>
      </c>
      <c r="Q9" s="7" t="n">
        <v>115870</v>
      </c>
      <c r="R9" s="7" t="n">
        <v>2994</v>
      </c>
      <c r="S9" s="7" t="n">
        <v>486</v>
      </c>
      <c r="T9" s="7" t="n">
        <v>359</v>
      </c>
      <c r="U9" s="7" t="n">
        <v>102172</v>
      </c>
      <c r="V9" s="7" t="n">
        <v>7261</v>
      </c>
    </row>
    <row r="10" customFormat="false" ht="15" hidden="false" customHeight="false" outlineLevel="0" collapsed="false">
      <c r="A10" s="4" t="s">
        <v>260</v>
      </c>
      <c r="B10" s="4" t="str">
        <f aca="false">IF(AND(I10&gt;='Read Me &amp; Markers'!$B$18,J10&gt;='Read Me &amp; Markers'!$B$19,L10&gt;='Read Me &amp; Markers'!$B$20),"A. Proven winner",IF(AND(I10&gt;='Read Me &amp; Markers'!$B$18,J10&gt;='Read Me &amp; Markers'!$B$19,L10&gt;='Read Me &amp; Markers'!$B$21),"B. Strong performer",IF(AND(I10&gt;='Read Me &amp; Markers'!$B$22,L10&gt;='Read Me &amp; Markers'!$B$23),"C. Scale workhorse",IF(AND(I10&gt;='Read Me &amp; Markers'!$B$24,I10&lt;'Read Me &amp; Markers'!$B$18,J10&gt;='Read Me &amp; Markers'!$B$25,L10&gt;='Read Me &amp; Markers'!$B$26),"D. Promising (needs more spend)",""))))</f>
        <v>B. Strong performer</v>
      </c>
      <c r="C10" s="4" t="s">
        <v>192</v>
      </c>
      <c r="D10" s="4" t="s">
        <v>228</v>
      </c>
      <c r="E10" s="4" t="s">
        <v>261</v>
      </c>
      <c r="F10" s="4" t="s">
        <v>111</v>
      </c>
      <c r="G10" s="4" t="s">
        <v>262</v>
      </c>
      <c r="H10" s="4" t="s">
        <v>264</v>
      </c>
      <c r="I10" s="5" t="n">
        <v>6943.02</v>
      </c>
      <c r="J10" s="7" t="n">
        <v>109</v>
      </c>
      <c r="K10" s="5" t="n">
        <v>7706.08</v>
      </c>
      <c r="L10" s="8" t="n">
        <v>1.109903</v>
      </c>
      <c r="M10" s="9" t="n">
        <v>63.7</v>
      </c>
      <c r="N10" s="10" t="n">
        <v>0.0262326</v>
      </c>
      <c r="O10" s="5" t="n">
        <v>92.22</v>
      </c>
      <c r="P10" s="11" t="n">
        <v>2.254199</v>
      </c>
      <c r="Q10" s="7" t="n">
        <v>75288</v>
      </c>
      <c r="R10" s="7" t="n">
        <v>1975</v>
      </c>
      <c r="S10" s="7" t="n">
        <v>122</v>
      </c>
      <c r="T10" s="7" t="n">
        <v>279</v>
      </c>
      <c r="U10" s="7" t="n">
        <v>61087</v>
      </c>
      <c r="V10" s="7" t="n">
        <v>3073</v>
      </c>
    </row>
    <row r="11" customFormat="false" ht="15" hidden="false" customHeight="false" outlineLevel="0" collapsed="false">
      <c r="A11" s="4" t="s">
        <v>122</v>
      </c>
      <c r="B11" s="4" t="str">
        <f aca="false">IF(AND(I11&gt;='Read Me &amp; Markers'!$B$18,J11&gt;='Read Me &amp; Markers'!$B$19,L11&gt;='Read Me &amp; Markers'!$B$20),"A. Proven winner",IF(AND(I11&gt;='Read Me &amp; Markers'!$B$18,J11&gt;='Read Me &amp; Markers'!$B$19,L11&gt;='Read Me &amp; Markers'!$B$21),"B. Strong performer",IF(AND(I11&gt;='Read Me &amp; Markers'!$B$22,L11&gt;='Read Me &amp; Markers'!$B$23),"C. Scale workhorse",IF(AND(I11&gt;='Read Me &amp; Markers'!$B$24,I11&lt;'Read Me &amp; Markers'!$B$18,J11&gt;='Read Me &amp; Markers'!$B$25,L11&gt;='Read Me &amp; Markers'!$B$26),"D. Promising (needs more spend)",""))))</f>
        <v>A. Proven winner</v>
      </c>
      <c r="C11" s="4" t="s">
        <v>121</v>
      </c>
      <c r="D11" s="4" t="s">
        <v>100</v>
      </c>
      <c r="E11" s="4" t="s">
        <v>123</v>
      </c>
      <c r="F11" s="4" t="s">
        <v>87</v>
      </c>
      <c r="G11" s="4" t="s">
        <v>124</v>
      </c>
      <c r="H11" s="4" t="s">
        <v>127</v>
      </c>
      <c r="I11" s="5" t="n">
        <v>6572.42</v>
      </c>
      <c r="J11" s="7" t="n">
        <v>163</v>
      </c>
      <c r="K11" s="5" t="n">
        <v>10470.66</v>
      </c>
      <c r="L11" s="8" t="n">
        <v>1.593121</v>
      </c>
      <c r="M11" s="9" t="n">
        <v>40.32</v>
      </c>
      <c r="N11" s="10" t="n">
        <v>0.04816885</v>
      </c>
      <c r="O11" s="5" t="n">
        <v>126.69</v>
      </c>
      <c r="P11" s="11" t="n">
        <v>1.176257</v>
      </c>
      <c r="Q11" s="7" t="n">
        <v>51880</v>
      </c>
      <c r="R11" s="7" t="n">
        <v>2499</v>
      </c>
      <c r="S11" s="7" t="n">
        <v>411</v>
      </c>
      <c r="T11" s="7" t="n">
        <v>338</v>
      </c>
      <c r="U11" s="7" t="n">
        <v>49111</v>
      </c>
      <c r="V11" s="7" t="n">
        <v>9571</v>
      </c>
    </row>
    <row r="12" customFormat="false" ht="15" hidden="false" customHeight="false" outlineLevel="0" collapsed="false">
      <c r="A12" s="4" t="s">
        <v>427</v>
      </c>
      <c r="B12" s="4" t="str">
        <f aca="false">IF(AND(I12&gt;='Read Me &amp; Markers'!$B$18,J12&gt;='Read Me &amp; Markers'!$B$19,L12&gt;='Read Me &amp; Markers'!$B$20),"A. Proven winner",IF(AND(I12&gt;='Read Me &amp; Markers'!$B$18,J12&gt;='Read Me &amp; Markers'!$B$19,L12&gt;='Read Me &amp; Markers'!$B$21),"B. Strong performer",IF(AND(I12&gt;='Read Me &amp; Markers'!$B$22,L12&gt;='Read Me &amp; Markers'!$B$23),"C. Scale workhorse",IF(AND(I12&gt;='Read Me &amp; Markers'!$B$24,I12&lt;'Read Me &amp; Markers'!$B$18,J12&gt;='Read Me &amp; Markers'!$B$25,L12&gt;='Read Me &amp; Markers'!$B$26),"D. Promising (needs more spend)",""))))</f>
        <v/>
      </c>
      <c r="C12" s="4" t="s">
        <v>428</v>
      </c>
      <c r="D12" s="4" t="s">
        <v>109</v>
      </c>
      <c r="E12" s="4" t="s">
        <v>429</v>
      </c>
      <c r="F12" s="4" t="s">
        <v>430</v>
      </c>
      <c r="G12" s="4" t="s">
        <v>431</v>
      </c>
      <c r="H12" s="4" t="s">
        <v>432</v>
      </c>
      <c r="I12" s="5" t="n">
        <v>6344.1</v>
      </c>
      <c r="J12" s="7" t="n">
        <v>101</v>
      </c>
      <c r="K12" s="5" t="n">
        <v>6254.79</v>
      </c>
      <c r="L12" s="8" t="n">
        <v>0.985922</v>
      </c>
      <c r="M12" s="9" t="n">
        <v>62.81</v>
      </c>
      <c r="N12" s="10" t="n">
        <v>0.07357904</v>
      </c>
      <c r="O12" s="5" t="n">
        <v>167.25</v>
      </c>
      <c r="P12" s="11" t="n">
        <v>1.381657</v>
      </c>
      <c r="Q12" s="7" t="n">
        <v>37932</v>
      </c>
      <c r="R12" s="7" t="n">
        <v>2791</v>
      </c>
      <c r="S12" s="7" t="n">
        <v>165</v>
      </c>
      <c r="T12" s="7" t="n">
        <v>269</v>
      </c>
      <c r="U12" s="7" t="n">
        <v>35579</v>
      </c>
      <c r="V12" s="7" t="n">
        <v>9217</v>
      </c>
    </row>
    <row r="13" customFormat="false" ht="15" hidden="false" customHeight="false" outlineLevel="0" collapsed="false">
      <c r="A13" s="4" t="s">
        <v>433</v>
      </c>
      <c r="B13" s="4" t="str">
        <f aca="false">IF(AND(I13&gt;='Read Me &amp; Markers'!$B$18,J13&gt;='Read Me &amp; Markers'!$B$19,L13&gt;='Read Me &amp; Markers'!$B$20),"A. Proven winner",IF(AND(I13&gt;='Read Me &amp; Markers'!$B$18,J13&gt;='Read Me &amp; Markers'!$B$19,L13&gt;='Read Me &amp; Markers'!$B$21),"B. Strong performer",IF(AND(I13&gt;='Read Me &amp; Markers'!$B$22,L13&gt;='Read Me &amp; Markers'!$B$23),"C. Scale workhorse",IF(AND(I13&gt;='Read Me &amp; Markers'!$B$24,I13&lt;'Read Me &amp; Markers'!$B$18,J13&gt;='Read Me &amp; Markers'!$B$25,L13&gt;='Read Me &amp; Markers'!$B$26),"D. Promising (needs more spend)",""))))</f>
        <v/>
      </c>
      <c r="C13" s="4" t="s">
        <v>434</v>
      </c>
      <c r="D13" s="4" t="s">
        <v>109</v>
      </c>
      <c r="E13" s="4" t="s">
        <v>435</v>
      </c>
      <c r="F13" s="4" t="s">
        <v>111</v>
      </c>
      <c r="G13" s="4" t="s">
        <v>436</v>
      </c>
      <c r="H13" s="4" t="s">
        <v>437</v>
      </c>
      <c r="I13" s="5" t="n">
        <v>6258.82</v>
      </c>
      <c r="J13" s="7" t="n">
        <v>100</v>
      </c>
      <c r="K13" s="5" t="n">
        <v>6217.83</v>
      </c>
      <c r="L13" s="8" t="n">
        <v>0.993451</v>
      </c>
      <c r="M13" s="9" t="n">
        <v>62.59</v>
      </c>
      <c r="N13" s="10" t="n">
        <v>0.02771191</v>
      </c>
      <c r="O13" s="5" t="n">
        <v>86.29</v>
      </c>
      <c r="P13" s="11" t="n">
        <v>1.459837</v>
      </c>
      <c r="Q13" s="7" t="n">
        <v>72532</v>
      </c>
      <c r="R13" s="7" t="n">
        <v>2010</v>
      </c>
      <c r="S13" s="7" t="n">
        <v>126</v>
      </c>
      <c r="T13" s="7" t="n">
        <v>232</v>
      </c>
      <c r="U13" s="7" t="n">
        <v>69947</v>
      </c>
      <c r="V13" s="7" t="n">
        <v>12486</v>
      </c>
    </row>
    <row r="14" customFormat="false" ht="15" hidden="false" customHeight="false" outlineLevel="0" collapsed="false">
      <c r="A14" s="4" t="s">
        <v>438</v>
      </c>
      <c r="B14" s="4" t="str">
        <f aca="false">IF(AND(I14&gt;='Read Me &amp; Markers'!$B$18,J14&gt;='Read Me &amp; Markers'!$B$19,L14&gt;='Read Me &amp; Markers'!$B$20),"A. Proven winner",IF(AND(I14&gt;='Read Me &amp; Markers'!$B$18,J14&gt;='Read Me &amp; Markers'!$B$19,L14&gt;='Read Me &amp; Markers'!$B$21),"B. Strong performer",IF(AND(I14&gt;='Read Me &amp; Markers'!$B$22,L14&gt;='Read Me &amp; Markers'!$B$23),"C. Scale workhorse",IF(AND(I14&gt;='Read Me &amp; Markers'!$B$24,I14&lt;'Read Me &amp; Markers'!$B$18,J14&gt;='Read Me &amp; Markers'!$B$25,L14&gt;='Read Me &amp; Markers'!$B$26),"D. Promising (needs more spend)",""))))</f>
        <v/>
      </c>
      <c r="C14" s="4" t="s">
        <v>121</v>
      </c>
      <c r="D14" s="4" t="s">
        <v>100</v>
      </c>
      <c r="E14" s="4" t="s">
        <v>439</v>
      </c>
      <c r="F14" s="4" t="s">
        <v>87</v>
      </c>
      <c r="G14" s="4" t="s">
        <v>440</v>
      </c>
      <c r="H14" s="4" t="s">
        <v>441</v>
      </c>
      <c r="I14" s="5" t="n">
        <v>6224.22</v>
      </c>
      <c r="J14" s="7" t="n">
        <v>101</v>
      </c>
      <c r="K14" s="5" t="n">
        <v>6087.77</v>
      </c>
      <c r="L14" s="8" t="n">
        <v>0.978078</v>
      </c>
      <c r="M14" s="9" t="n">
        <v>61.63</v>
      </c>
      <c r="N14" s="10" t="n">
        <v>0.04058258</v>
      </c>
      <c r="O14" s="5" t="n">
        <v>108.18</v>
      </c>
      <c r="P14" s="11" t="n">
        <v>1.114475</v>
      </c>
      <c r="Q14" s="7" t="n">
        <v>57537</v>
      </c>
      <c r="R14" s="7" t="n">
        <v>2335</v>
      </c>
      <c r="S14" s="7" t="n">
        <v>279</v>
      </c>
      <c r="T14" s="7" t="n">
        <v>237</v>
      </c>
      <c r="U14" s="7" t="n">
        <v>54560</v>
      </c>
      <c r="V14" s="7" t="n">
        <v>13362</v>
      </c>
    </row>
    <row r="15" customFormat="false" ht="15" hidden="false" customHeight="false" outlineLevel="0" collapsed="false">
      <c r="A15" s="4" t="s">
        <v>442</v>
      </c>
      <c r="B15" s="4" t="str">
        <f aca="false">IF(AND(I15&gt;='Read Me &amp; Markers'!$B$18,J15&gt;='Read Me &amp; Markers'!$B$19,L15&gt;='Read Me &amp; Markers'!$B$20),"A. Proven winner",IF(AND(I15&gt;='Read Me &amp; Markers'!$B$18,J15&gt;='Read Me &amp; Markers'!$B$19,L15&gt;='Read Me &amp; Markers'!$B$21),"B. Strong performer",IF(AND(I15&gt;='Read Me &amp; Markers'!$B$22,L15&gt;='Read Me &amp; Markers'!$B$23),"C. Scale workhorse",IF(AND(I15&gt;='Read Me &amp; Markers'!$B$24,I15&lt;'Read Me &amp; Markers'!$B$18,J15&gt;='Read Me &amp; Markers'!$B$25,L15&gt;='Read Me &amp; Markers'!$B$26),"D. Promising (needs more spend)",""))))</f>
        <v/>
      </c>
      <c r="C15" s="4" t="s">
        <v>192</v>
      </c>
      <c r="D15" s="4" t="s">
        <v>228</v>
      </c>
      <c r="E15" s="4" t="s">
        <v>443</v>
      </c>
      <c r="F15" s="4" t="s">
        <v>230</v>
      </c>
      <c r="G15" s="4" t="s">
        <v>262</v>
      </c>
      <c r="H15" s="4" t="s">
        <v>444</v>
      </c>
      <c r="I15" s="5" t="n">
        <v>5339.9</v>
      </c>
      <c r="J15" s="7" t="n">
        <v>89</v>
      </c>
      <c r="K15" s="5" t="n">
        <v>5473.28</v>
      </c>
      <c r="L15" s="8" t="n">
        <v>1.024978</v>
      </c>
      <c r="M15" s="9" t="n">
        <v>60</v>
      </c>
      <c r="N15" s="10" t="n">
        <v>0.05737912</v>
      </c>
      <c r="O15" s="5" t="n">
        <v>149.68</v>
      </c>
      <c r="P15" s="11" t="n">
        <v>1.151326</v>
      </c>
      <c r="Q15" s="7" t="n">
        <v>35675</v>
      </c>
      <c r="R15" s="7" t="n">
        <v>2047</v>
      </c>
      <c r="S15" s="7" t="n">
        <v>62</v>
      </c>
      <c r="T15" s="7" t="n">
        <v>244</v>
      </c>
      <c r="U15" s="7" t="n">
        <v>34065</v>
      </c>
      <c r="V15" s="7" t="n">
        <v>9468</v>
      </c>
    </row>
    <row r="16" customFormat="false" ht="15" hidden="false" customHeight="false" outlineLevel="0" collapsed="false">
      <c r="A16" s="4" t="s">
        <v>445</v>
      </c>
      <c r="B16" s="4" t="str">
        <f aca="false">IF(AND(I16&gt;='Read Me &amp; Markers'!$B$18,J16&gt;='Read Me &amp; Markers'!$B$19,L16&gt;='Read Me &amp; Markers'!$B$20),"A. Proven winner",IF(AND(I16&gt;='Read Me &amp; Markers'!$B$18,J16&gt;='Read Me &amp; Markers'!$B$19,L16&gt;='Read Me &amp; Markers'!$B$21),"B. Strong performer",IF(AND(I16&gt;='Read Me &amp; Markers'!$B$22,L16&gt;='Read Me &amp; Markers'!$B$23),"C. Scale workhorse",IF(AND(I16&gt;='Read Me &amp; Markers'!$B$24,I16&lt;'Read Me &amp; Markers'!$B$18,J16&gt;='Read Me &amp; Markers'!$B$25,L16&gt;='Read Me &amp; Markers'!$B$26),"D. Promising (needs more spend)",""))))</f>
        <v/>
      </c>
      <c r="C16" s="4" t="s">
        <v>446</v>
      </c>
      <c r="D16" s="4" t="s">
        <v>109</v>
      </c>
      <c r="E16" s="4" t="s">
        <v>429</v>
      </c>
      <c r="F16" s="4" t="s">
        <v>87</v>
      </c>
      <c r="G16" s="4" t="s">
        <v>431</v>
      </c>
      <c r="H16" s="4" t="s">
        <v>447</v>
      </c>
      <c r="I16" s="5" t="n">
        <v>4661.14</v>
      </c>
      <c r="J16" s="7" t="n">
        <v>58</v>
      </c>
      <c r="K16" s="5" t="n">
        <v>2901.05</v>
      </c>
      <c r="L16" s="8" t="n">
        <v>0.622391</v>
      </c>
      <c r="M16" s="9" t="n">
        <v>80.36</v>
      </c>
      <c r="N16" s="10" t="n">
        <v>0.04070407</v>
      </c>
      <c r="O16" s="5" t="n">
        <v>98.61</v>
      </c>
      <c r="P16" s="11" t="n">
        <v>1.189401</v>
      </c>
      <c r="Q16" s="7" t="n">
        <v>47268</v>
      </c>
      <c r="R16" s="7" t="n">
        <v>1924</v>
      </c>
      <c r="S16" s="7" t="n">
        <v>103</v>
      </c>
      <c r="T16" s="7" t="n">
        <v>125</v>
      </c>
      <c r="U16" s="7" t="n">
        <v>45541</v>
      </c>
      <c r="V16" s="7" t="n">
        <v>11516</v>
      </c>
    </row>
    <row r="17" customFormat="false" ht="15" hidden="false" customHeight="false" outlineLevel="0" collapsed="false">
      <c r="A17" s="4" t="s">
        <v>251</v>
      </c>
      <c r="B17" s="4" t="str">
        <f aca="false">IF(AND(I17&gt;='Read Me &amp; Markers'!$B$18,J17&gt;='Read Me &amp; Markers'!$B$19,L17&gt;='Read Me &amp; Markers'!$B$20),"A. Proven winner",IF(AND(I17&gt;='Read Me &amp; Markers'!$B$18,J17&gt;='Read Me &amp; Markers'!$B$19,L17&gt;='Read Me &amp; Markers'!$B$21),"B. Strong performer",IF(AND(I17&gt;='Read Me &amp; Markers'!$B$22,L17&gt;='Read Me &amp; Markers'!$B$23),"C. Scale workhorse",IF(AND(I17&gt;='Read Me &amp; Markers'!$B$24,I17&lt;'Read Me &amp; Markers'!$B$18,J17&gt;='Read Me &amp; Markers'!$B$25,L17&gt;='Read Me &amp; Markers'!$B$26),"D. Promising (needs more spend)",""))))</f>
        <v>B. Strong performer</v>
      </c>
      <c r="C17" s="4" t="s">
        <v>129</v>
      </c>
      <c r="D17" s="4" t="s">
        <v>206</v>
      </c>
      <c r="E17" s="4" t="s">
        <v>252</v>
      </c>
      <c r="F17" s="4" t="s">
        <v>253</v>
      </c>
      <c r="G17" s="4" t="s">
        <v>254</v>
      </c>
      <c r="H17" s="4" t="s">
        <v>258</v>
      </c>
      <c r="I17" s="5" t="n">
        <v>4576.45</v>
      </c>
      <c r="J17" s="7" t="n">
        <v>76</v>
      </c>
      <c r="K17" s="5" t="n">
        <v>5227.4</v>
      </c>
      <c r="L17" s="8" t="n">
        <v>1.142239</v>
      </c>
      <c r="M17" s="9" t="n">
        <v>60.22</v>
      </c>
      <c r="N17" s="10" t="n">
        <v>0.04478302</v>
      </c>
      <c r="O17" s="5" t="n">
        <v>111.38</v>
      </c>
      <c r="P17" s="11" t="n">
        <v>1.297921</v>
      </c>
      <c r="Q17" s="7" t="n">
        <v>41087</v>
      </c>
      <c r="R17" s="7" t="n">
        <v>1840</v>
      </c>
      <c r="S17" s="7" t="n">
        <v>201</v>
      </c>
      <c r="T17" s="7" t="n">
        <v>154</v>
      </c>
      <c r="U17" s="7" t="n">
        <v>38668</v>
      </c>
      <c r="V17" s="7" t="n">
        <v>11343</v>
      </c>
    </row>
    <row r="18" customFormat="false" ht="15" hidden="false" customHeight="false" outlineLevel="0" collapsed="false">
      <c r="A18" s="4" t="s">
        <v>448</v>
      </c>
      <c r="B18" s="4" t="str">
        <f aca="false">IF(AND(I18&gt;='Read Me &amp; Markers'!$B$18,J18&gt;='Read Me &amp; Markers'!$B$19,L18&gt;='Read Me &amp; Markers'!$B$20),"A. Proven winner",IF(AND(I18&gt;='Read Me &amp; Markers'!$B$18,J18&gt;='Read Me &amp; Markers'!$B$19,L18&gt;='Read Me &amp; Markers'!$B$21),"B. Strong performer",IF(AND(I18&gt;='Read Me &amp; Markers'!$B$22,L18&gt;='Read Me &amp; Markers'!$B$23),"C. Scale workhorse",IF(AND(I18&gt;='Read Me &amp; Markers'!$B$24,I18&lt;'Read Me &amp; Markers'!$B$18,J18&gt;='Read Me &amp; Markers'!$B$25,L18&gt;='Read Me &amp; Markers'!$B$26),"D. Promising (needs more spend)",""))))</f>
        <v/>
      </c>
      <c r="C18" s="4" t="s">
        <v>271</v>
      </c>
      <c r="D18" s="4" t="s">
        <v>228</v>
      </c>
      <c r="E18" s="4" t="s">
        <v>449</v>
      </c>
      <c r="F18" s="4" t="s">
        <v>230</v>
      </c>
      <c r="G18" s="4" t="s">
        <v>262</v>
      </c>
      <c r="H18" s="4" t="s">
        <v>450</v>
      </c>
      <c r="I18" s="5" t="n">
        <v>4069.7</v>
      </c>
      <c r="J18" s="7" t="n">
        <v>74</v>
      </c>
      <c r="K18" s="5" t="n">
        <v>4256.5</v>
      </c>
      <c r="L18" s="8" t="n">
        <v>1.0459</v>
      </c>
      <c r="M18" s="9" t="n">
        <v>55</v>
      </c>
      <c r="N18" s="10" t="n">
        <v>0.06170254</v>
      </c>
      <c r="O18" s="5" t="n">
        <v>113.62</v>
      </c>
      <c r="P18" s="11" t="n">
        <v>1.235665</v>
      </c>
      <c r="Q18" s="7" t="n">
        <v>35817</v>
      </c>
      <c r="R18" s="7" t="n">
        <v>2210</v>
      </c>
      <c r="S18" s="7" t="n">
        <v>80</v>
      </c>
      <c r="T18" s="7" t="n">
        <v>225</v>
      </c>
      <c r="U18" s="7" t="n">
        <v>31467</v>
      </c>
      <c r="V18" s="7" t="n">
        <v>6048</v>
      </c>
    </row>
    <row r="19" customFormat="false" ht="15" hidden="false" customHeight="false" outlineLevel="0" collapsed="false">
      <c r="A19" s="4" t="s">
        <v>180</v>
      </c>
      <c r="B19" s="4" t="str">
        <f aca="false">IF(AND(I19&gt;='Read Me &amp; Markers'!$B$18,J19&gt;='Read Me &amp; Markers'!$B$19,L19&gt;='Read Me &amp; Markers'!$B$20),"A. Proven winner",IF(AND(I19&gt;='Read Me &amp; Markers'!$B$18,J19&gt;='Read Me &amp; Markers'!$B$19,L19&gt;='Read Me &amp; Markers'!$B$21),"B. Strong performer",IF(AND(I19&gt;='Read Me &amp; Markers'!$B$22,L19&gt;='Read Me &amp; Markers'!$B$23),"C. Scale workhorse",IF(AND(I19&gt;='Read Me &amp; Markers'!$B$24,I19&lt;'Read Me &amp; Markers'!$B$18,J19&gt;='Read Me &amp; Markers'!$B$25,L19&gt;='Read Me &amp; Markers'!$B$26),"D. Promising (needs more spend)",""))))</f>
        <v>A. Proven winner</v>
      </c>
      <c r="C19" s="4" t="s">
        <v>121</v>
      </c>
      <c r="D19" s="4" t="s">
        <v>100</v>
      </c>
      <c r="E19" s="4" t="s">
        <v>181</v>
      </c>
      <c r="F19" s="4" t="s">
        <v>87</v>
      </c>
      <c r="G19" s="4" t="s">
        <v>142</v>
      </c>
      <c r="H19" s="4" t="s">
        <v>184</v>
      </c>
      <c r="I19" s="5" t="n">
        <v>4060.67</v>
      </c>
      <c r="J19" s="7" t="n">
        <v>86</v>
      </c>
      <c r="K19" s="5" t="n">
        <v>5594.95</v>
      </c>
      <c r="L19" s="8" t="n">
        <v>1.377839</v>
      </c>
      <c r="M19" s="9" t="n">
        <v>47.22</v>
      </c>
      <c r="N19" s="10" t="n">
        <v>0.04588548</v>
      </c>
      <c r="O19" s="5" t="n">
        <v>89.32</v>
      </c>
      <c r="P19" s="11" t="n">
        <v>1.194393</v>
      </c>
      <c r="Q19" s="7" t="n">
        <v>45461</v>
      </c>
      <c r="R19" s="7" t="n">
        <v>2086</v>
      </c>
      <c r="S19" s="7" t="n">
        <v>252</v>
      </c>
      <c r="T19" s="7" t="n">
        <v>193</v>
      </c>
      <c r="U19" s="7" t="n">
        <v>42881</v>
      </c>
      <c r="V19" s="7" t="n">
        <v>10606</v>
      </c>
    </row>
    <row r="20" customFormat="false" ht="15" hidden="false" customHeight="false" outlineLevel="0" collapsed="false">
      <c r="A20" s="4" t="s">
        <v>451</v>
      </c>
      <c r="B20" s="4" t="str">
        <f aca="false">IF(AND(I20&gt;='Read Me &amp; Markers'!$B$18,J20&gt;='Read Me &amp; Markers'!$B$19,L20&gt;='Read Me &amp; Markers'!$B$20),"A. Proven winner",IF(AND(I20&gt;='Read Me &amp; Markers'!$B$18,J20&gt;='Read Me &amp; Markers'!$B$19,L20&gt;='Read Me &amp; Markers'!$B$21),"B. Strong performer",IF(AND(I20&gt;='Read Me &amp; Markers'!$B$22,L20&gt;='Read Me &amp; Markers'!$B$23),"C. Scale workhorse",IF(AND(I20&gt;='Read Me &amp; Markers'!$B$24,I20&lt;'Read Me &amp; Markers'!$B$18,J20&gt;='Read Me &amp; Markers'!$B$25,L20&gt;='Read Me &amp; Markers'!$B$26),"D. Promising (needs more spend)",""))))</f>
        <v/>
      </c>
      <c r="C20" s="4" t="s">
        <v>452</v>
      </c>
      <c r="D20" s="4" t="s">
        <v>109</v>
      </c>
      <c r="E20" s="4" t="s">
        <v>110</v>
      </c>
      <c r="F20" s="4" t="s">
        <v>111</v>
      </c>
      <c r="G20" s="4" t="s">
        <v>112</v>
      </c>
      <c r="H20" s="4" t="s">
        <v>453</v>
      </c>
      <c r="I20" s="5" t="n">
        <v>3566.3</v>
      </c>
      <c r="J20" s="7" t="n">
        <v>51</v>
      </c>
      <c r="K20" s="5" t="n">
        <v>3735.02</v>
      </c>
      <c r="L20" s="8" t="n">
        <v>1.04731</v>
      </c>
      <c r="M20" s="9" t="n">
        <v>69.93</v>
      </c>
      <c r="N20" s="10" t="n">
        <v>0.01471621</v>
      </c>
      <c r="O20" s="5" t="n">
        <v>44.74</v>
      </c>
      <c r="P20" s="11" t="n">
        <v>1.975366</v>
      </c>
      <c r="Q20" s="7" t="n">
        <v>79708</v>
      </c>
      <c r="R20" s="7" t="n">
        <v>1173</v>
      </c>
      <c r="S20" s="7" t="n">
        <v>46</v>
      </c>
      <c r="T20" s="7" t="n">
        <v>106</v>
      </c>
      <c r="U20" s="7" t="n">
        <v>0</v>
      </c>
      <c r="V20" s="7" t="n">
        <v>0</v>
      </c>
    </row>
    <row r="21" customFormat="false" ht="15" hidden="false" customHeight="false" outlineLevel="0" collapsed="false">
      <c r="A21" s="4" t="s">
        <v>227</v>
      </c>
      <c r="B21" s="4" t="str">
        <f aca="false">IF(AND(I21&gt;='Read Me &amp; Markers'!$B$18,J21&gt;='Read Me &amp; Markers'!$B$19,L21&gt;='Read Me &amp; Markers'!$B$20),"A. Proven winner",IF(AND(I21&gt;='Read Me &amp; Markers'!$B$18,J21&gt;='Read Me &amp; Markers'!$B$19,L21&gt;='Read Me &amp; Markers'!$B$21),"B. Strong performer",IF(AND(I21&gt;='Read Me &amp; Markers'!$B$22,L21&gt;='Read Me &amp; Markers'!$B$23),"C. Scale workhorse",IF(AND(I21&gt;='Read Me &amp; Markers'!$B$24,I21&lt;'Read Me &amp; Markers'!$B$18,J21&gt;='Read Me &amp; Markers'!$B$25,L21&gt;='Read Me &amp; Markers'!$B$26),"D. Promising (needs more spend)",""))))</f>
        <v>B. Strong performer</v>
      </c>
      <c r="C21" s="4" t="s">
        <v>226</v>
      </c>
      <c r="D21" s="4" t="s">
        <v>228</v>
      </c>
      <c r="E21" s="4" t="s">
        <v>229</v>
      </c>
      <c r="F21" s="4" t="s">
        <v>230</v>
      </c>
      <c r="G21" s="4" t="s">
        <v>231</v>
      </c>
      <c r="H21" s="4" t="s">
        <v>234</v>
      </c>
      <c r="I21" s="5" t="n">
        <v>3496.14</v>
      </c>
      <c r="J21" s="7" t="n">
        <v>67</v>
      </c>
      <c r="K21" s="5" t="n">
        <v>4150.75</v>
      </c>
      <c r="L21" s="8" t="n">
        <v>1.187238</v>
      </c>
      <c r="M21" s="9" t="n">
        <v>52.18</v>
      </c>
      <c r="N21" s="10" t="n">
        <v>0.06181885</v>
      </c>
      <c r="O21" s="5" t="n">
        <v>160.09</v>
      </c>
      <c r="P21" s="11" t="n">
        <v>1.295562</v>
      </c>
      <c r="Q21" s="7" t="n">
        <v>21838</v>
      </c>
      <c r="R21" s="7" t="n">
        <v>1350</v>
      </c>
      <c r="S21" s="7" t="n">
        <v>39</v>
      </c>
      <c r="T21" s="7" t="n">
        <v>172</v>
      </c>
      <c r="U21" s="7" t="n">
        <v>20195</v>
      </c>
      <c r="V21" s="7" t="n">
        <v>5091</v>
      </c>
    </row>
    <row r="22" customFormat="false" ht="15" hidden="false" customHeight="false" outlineLevel="0" collapsed="false">
      <c r="A22" s="4" t="s">
        <v>454</v>
      </c>
      <c r="B22" s="4" t="str">
        <f aca="false">IF(AND(I22&gt;='Read Me &amp; Markers'!$B$18,J22&gt;='Read Me &amp; Markers'!$B$19,L22&gt;='Read Me &amp; Markers'!$B$20),"A. Proven winner",IF(AND(I22&gt;='Read Me &amp; Markers'!$B$18,J22&gt;='Read Me &amp; Markers'!$B$19,L22&gt;='Read Me &amp; Markers'!$B$21),"B. Strong performer",IF(AND(I22&gt;='Read Me &amp; Markers'!$B$22,L22&gt;='Read Me &amp; Markers'!$B$23),"C. Scale workhorse",IF(AND(I22&gt;='Read Me &amp; Markers'!$B$24,I22&lt;'Read Me &amp; Markers'!$B$18,J22&gt;='Read Me &amp; Markers'!$B$25,L22&gt;='Read Me &amp; Markers'!$B$26),"D. Promising (needs more spend)",""))))</f>
        <v/>
      </c>
      <c r="C22" s="4" t="s">
        <v>455</v>
      </c>
      <c r="D22" s="4" t="s">
        <v>109</v>
      </c>
      <c r="E22" s="4" t="s">
        <v>429</v>
      </c>
      <c r="F22" s="4" t="s">
        <v>172</v>
      </c>
      <c r="G22" s="4" t="s">
        <v>431</v>
      </c>
      <c r="H22" s="4" t="s">
        <v>456</v>
      </c>
      <c r="I22" s="5" t="n">
        <v>3109.18</v>
      </c>
      <c r="J22" s="7" t="n">
        <v>39</v>
      </c>
      <c r="K22" s="5" t="n">
        <v>1874.63</v>
      </c>
      <c r="L22" s="8" t="n">
        <v>0.602934</v>
      </c>
      <c r="M22" s="9" t="n">
        <v>79.72</v>
      </c>
      <c r="N22" s="10" t="n">
        <v>0.05233121</v>
      </c>
      <c r="O22" s="5" t="n">
        <v>107.54</v>
      </c>
      <c r="P22" s="11" t="n">
        <v>1.140918</v>
      </c>
      <c r="Q22" s="7" t="n">
        <v>28912</v>
      </c>
      <c r="R22" s="7" t="n">
        <v>1513</v>
      </c>
      <c r="S22" s="7" t="n">
        <v>126</v>
      </c>
      <c r="T22" s="7" t="n">
        <v>144</v>
      </c>
      <c r="U22" s="7" t="n">
        <v>27142</v>
      </c>
      <c r="V22" s="7" t="n">
        <v>12658</v>
      </c>
    </row>
    <row r="23" customFormat="false" ht="15" hidden="false" customHeight="false" outlineLevel="0" collapsed="false">
      <c r="A23" s="4" t="s">
        <v>457</v>
      </c>
      <c r="B23" s="4" t="str">
        <f aca="false">IF(AND(I23&gt;='Read Me &amp; Markers'!$B$18,J23&gt;='Read Me &amp; Markers'!$B$19,L23&gt;='Read Me &amp; Markers'!$B$20),"A. Proven winner",IF(AND(I23&gt;='Read Me &amp; Markers'!$B$18,J23&gt;='Read Me &amp; Markers'!$B$19,L23&gt;='Read Me &amp; Markers'!$B$21),"B. Strong performer",IF(AND(I23&gt;='Read Me &amp; Markers'!$B$22,L23&gt;='Read Me &amp; Markers'!$B$23),"C. Scale workhorse",IF(AND(I23&gt;='Read Me &amp; Markers'!$B$24,I23&lt;'Read Me &amp; Markers'!$B$18,J23&gt;='Read Me &amp; Markers'!$B$25,L23&gt;='Read Me &amp; Markers'!$B$26),"D. Promising (needs more spend)",""))))</f>
        <v/>
      </c>
      <c r="C23" s="4" t="s">
        <v>458</v>
      </c>
      <c r="D23" s="4" t="s">
        <v>228</v>
      </c>
      <c r="E23" s="4" t="s">
        <v>459</v>
      </c>
      <c r="F23" s="4" t="s">
        <v>230</v>
      </c>
      <c r="G23" s="4" t="s">
        <v>262</v>
      </c>
      <c r="H23" s="4" t="s">
        <v>460</v>
      </c>
      <c r="I23" s="5" t="n">
        <v>3070.42</v>
      </c>
      <c r="J23" s="7" t="n">
        <v>62</v>
      </c>
      <c r="K23" s="5" t="n">
        <v>3331.78</v>
      </c>
      <c r="L23" s="8" t="n">
        <v>1.085122</v>
      </c>
      <c r="M23" s="9" t="n">
        <v>49.52</v>
      </c>
      <c r="N23" s="10" t="n">
        <v>0.05916154</v>
      </c>
      <c r="O23" s="5" t="n">
        <v>124.25</v>
      </c>
      <c r="P23" s="11" t="n">
        <v>1.292942</v>
      </c>
      <c r="Q23" s="7" t="n">
        <v>24712</v>
      </c>
      <c r="R23" s="7" t="n">
        <v>1462</v>
      </c>
      <c r="S23" s="7" t="n">
        <v>47</v>
      </c>
      <c r="T23" s="7" t="n">
        <v>170</v>
      </c>
      <c r="U23" s="7" t="n">
        <v>23403</v>
      </c>
      <c r="V23" s="7" t="n">
        <v>4674</v>
      </c>
    </row>
    <row r="24" customFormat="false" ht="15" hidden="false" customHeight="false" outlineLevel="0" collapsed="false">
      <c r="A24" s="4" t="s">
        <v>186</v>
      </c>
      <c r="B24" s="4" t="str">
        <f aca="false">IF(AND(I24&gt;='Read Me &amp; Markers'!$B$18,J24&gt;='Read Me &amp; Markers'!$B$19,L24&gt;='Read Me &amp; Markers'!$B$20),"A. Proven winner",IF(AND(I24&gt;='Read Me &amp; Markers'!$B$18,J24&gt;='Read Me &amp; Markers'!$B$19,L24&gt;='Read Me &amp; Markers'!$B$21),"B. Strong performer",IF(AND(I24&gt;='Read Me &amp; Markers'!$B$22,L24&gt;='Read Me &amp; Markers'!$B$23),"C. Scale workhorse",IF(AND(I24&gt;='Read Me &amp; Markers'!$B$24,I24&lt;'Read Me &amp; Markers'!$B$18,J24&gt;='Read Me &amp; Markers'!$B$25,L24&gt;='Read Me &amp; Markers'!$B$26),"D. Promising (needs more spend)",""))))</f>
        <v>A. Proven winner</v>
      </c>
      <c r="C24" s="4" t="s">
        <v>121</v>
      </c>
      <c r="D24" s="4" t="s">
        <v>100</v>
      </c>
      <c r="E24" s="4" t="s">
        <v>187</v>
      </c>
      <c r="F24" s="4" t="s">
        <v>87</v>
      </c>
      <c r="G24" s="4" t="s">
        <v>188</v>
      </c>
      <c r="H24" s="4" t="s">
        <v>190</v>
      </c>
      <c r="I24" s="5" t="n">
        <v>2654.79</v>
      </c>
      <c r="J24" s="7" t="n">
        <v>58</v>
      </c>
      <c r="K24" s="5" t="n">
        <v>3592.47</v>
      </c>
      <c r="L24" s="8" t="n">
        <v>1.353203</v>
      </c>
      <c r="M24" s="9" t="n">
        <v>45.77</v>
      </c>
      <c r="N24" s="10" t="n">
        <v>0.04463756</v>
      </c>
      <c r="O24" s="5" t="n">
        <v>71.65</v>
      </c>
      <c r="P24" s="11" t="n">
        <v>1.10008</v>
      </c>
      <c r="Q24" s="7" t="n">
        <v>37054</v>
      </c>
      <c r="R24" s="7" t="n">
        <v>1654</v>
      </c>
      <c r="S24" s="7" t="n">
        <v>133</v>
      </c>
      <c r="T24" s="7" t="n">
        <v>107</v>
      </c>
      <c r="U24" s="7" t="n">
        <v>35610</v>
      </c>
      <c r="V24" s="7" t="n">
        <v>9008</v>
      </c>
    </row>
    <row r="25" customFormat="false" ht="15" hidden="false" customHeight="false" outlineLevel="0" collapsed="false">
      <c r="A25" s="4" t="s">
        <v>461</v>
      </c>
      <c r="B25" s="4" t="str">
        <f aca="false">IF(AND(I25&gt;='Read Me &amp; Markers'!$B$18,J25&gt;='Read Me &amp; Markers'!$B$19,L25&gt;='Read Me &amp; Markers'!$B$20),"A. Proven winner",IF(AND(I25&gt;='Read Me &amp; Markers'!$B$18,J25&gt;='Read Me &amp; Markers'!$B$19,L25&gt;='Read Me &amp; Markers'!$B$21),"B. Strong performer",IF(AND(I25&gt;='Read Me &amp; Markers'!$B$22,L25&gt;='Read Me &amp; Markers'!$B$23),"C. Scale workhorse",IF(AND(I25&gt;='Read Me &amp; Markers'!$B$24,I25&lt;'Read Me &amp; Markers'!$B$18,J25&gt;='Read Me &amp; Markers'!$B$25,L25&gt;='Read Me &amp; Markers'!$B$26),"D. Promising (needs more spend)",""))))</f>
        <v/>
      </c>
      <c r="C25" s="4" t="s">
        <v>169</v>
      </c>
      <c r="D25" s="4" t="s">
        <v>100</v>
      </c>
      <c r="E25" s="4" t="s">
        <v>462</v>
      </c>
      <c r="F25" s="4" t="s">
        <v>87</v>
      </c>
      <c r="G25" s="4" t="s">
        <v>208</v>
      </c>
      <c r="H25" s="4" t="s">
        <v>463</v>
      </c>
      <c r="I25" s="5" t="n">
        <v>2553.07</v>
      </c>
      <c r="J25" s="7" t="n">
        <v>38</v>
      </c>
      <c r="K25" s="5" t="n">
        <v>2601.74</v>
      </c>
      <c r="L25" s="8" t="n">
        <v>1.019063</v>
      </c>
      <c r="M25" s="9" t="n">
        <v>67.19</v>
      </c>
      <c r="N25" s="10" t="n">
        <v>0.07887976</v>
      </c>
      <c r="O25" s="5" t="n">
        <v>107.52</v>
      </c>
      <c r="P25" s="11" t="n">
        <v>1.268972</v>
      </c>
      <c r="Q25" s="7" t="n">
        <v>23745</v>
      </c>
      <c r="R25" s="7" t="n">
        <v>1873</v>
      </c>
      <c r="S25" s="7" t="n">
        <v>138</v>
      </c>
      <c r="T25" s="7" t="n">
        <v>102</v>
      </c>
      <c r="U25" s="7" t="n">
        <v>22974</v>
      </c>
      <c r="V25" s="7" t="n">
        <v>5909</v>
      </c>
    </row>
    <row r="26" customFormat="false" ht="15" hidden="false" customHeight="false" outlineLevel="0" collapsed="false">
      <c r="A26" s="4" t="s">
        <v>464</v>
      </c>
      <c r="B26" s="4" t="str">
        <f aca="false">IF(AND(I26&gt;='Read Me &amp; Markers'!$B$18,J26&gt;='Read Me &amp; Markers'!$B$19,L26&gt;='Read Me &amp; Markers'!$B$20),"A. Proven winner",IF(AND(I26&gt;='Read Me &amp; Markers'!$B$18,J26&gt;='Read Me &amp; Markers'!$B$19,L26&gt;='Read Me &amp; Markers'!$B$21),"B. Strong performer",IF(AND(I26&gt;='Read Me &amp; Markers'!$B$22,L26&gt;='Read Me &amp; Markers'!$B$23),"C. Scale workhorse",IF(AND(I26&gt;='Read Me &amp; Markers'!$B$24,I26&lt;'Read Me &amp; Markers'!$B$18,J26&gt;='Read Me &amp; Markers'!$B$25,L26&gt;='Read Me &amp; Markers'!$B$26),"D. Promising (needs more spend)",""))))</f>
        <v/>
      </c>
      <c r="C26" s="4" t="s">
        <v>465</v>
      </c>
      <c r="D26" s="4" t="s">
        <v>109</v>
      </c>
      <c r="E26" s="4" t="s">
        <v>424</v>
      </c>
      <c r="F26" s="4" t="s">
        <v>87</v>
      </c>
      <c r="G26" s="4" t="s">
        <v>425</v>
      </c>
      <c r="H26" s="4" t="s">
        <v>466</v>
      </c>
      <c r="I26" s="5" t="n">
        <v>2535.68</v>
      </c>
      <c r="J26" s="7" t="n">
        <v>28</v>
      </c>
      <c r="K26" s="5" t="n">
        <v>1558.43</v>
      </c>
      <c r="L26" s="8" t="n">
        <v>0.6146</v>
      </c>
      <c r="M26" s="9" t="n">
        <v>90.56</v>
      </c>
      <c r="N26" s="10" t="n">
        <v>0.06345957</v>
      </c>
      <c r="O26" s="5" t="n">
        <v>152.67</v>
      </c>
      <c r="P26" s="11" t="n">
        <v>1.514867</v>
      </c>
      <c r="Q26" s="7" t="n">
        <v>16609</v>
      </c>
      <c r="R26" s="7" t="n">
        <v>1054</v>
      </c>
      <c r="S26" s="7" t="n">
        <v>52</v>
      </c>
      <c r="T26" s="7" t="n">
        <v>104</v>
      </c>
      <c r="U26" s="7" t="n">
        <v>15815</v>
      </c>
      <c r="V26" s="7" t="n">
        <v>3085</v>
      </c>
    </row>
    <row r="27" customFormat="false" ht="15" hidden="false" customHeight="false" outlineLevel="0" collapsed="false">
      <c r="A27" s="4" t="s">
        <v>467</v>
      </c>
      <c r="B27" s="4" t="str">
        <f aca="false">IF(AND(I27&gt;='Read Me &amp; Markers'!$B$18,J27&gt;='Read Me &amp; Markers'!$B$19,L27&gt;='Read Me &amp; Markers'!$B$20),"A. Proven winner",IF(AND(I27&gt;='Read Me &amp; Markers'!$B$18,J27&gt;='Read Me &amp; Markers'!$B$19,L27&gt;='Read Me &amp; Markers'!$B$21),"B. Strong performer",IF(AND(I27&gt;='Read Me &amp; Markers'!$B$22,L27&gt;='Read Me &amp; Markers'!$B$23),"C. Scale workhorse",IF(AND(I27&gt;='Read Me &amp; Markers'!$B$24,I27&lt;'Read Me &amp; Markers'!$B$18,J27&gt;='Read Me &amp; Markers'!$B$25,L27&gt;='Read Me &amp; Markers'!$B$26),"D. Promising (needs more spend)",""))))</f>
        <v/>
      </c>
      <c r="C27" s="4" t="s">
        <v>468</v>
      </c>
      <c r="D27" s="4" t="s">
        <v>109</v>
      </c>
      <c r="E27" s="4" t="s">
        <v>469</v>
      </c>
      <c r="F27" s="4" t="s">
        <v>111</v>
      </c>
      <c r="G27" s="4" t="s">
        <v>470</v>
      </c>
      <c r="H27" s="4" t="s">
        <v>471</v>
      </c>
      <c r="I27" s="5" t="n">
        <v>2471.56</v>
      </c>
      <c r="J27" s="7" t="n">
        <v>43</v>
      </c>
      <c r="K27" s="5" t="n">
        <v>2647.74</v>
      </c>
      <c r="L27" s="8" t="n">
        <v>1.071283</v>
      </c>
      <c r="M27" s="9" t="n">
        <v>57.48</v>
      </c>
      <c r="N27" s="10" t="n">
        <v>0.03084452</v>
      </c>
      <c r="O27" s="5" t="n">
        <v>91.63</v>
      </c>
      <c r="P27" s="11" t="n">
        <v>1.63113</v>
      </c>
      <c r="Q27" s="7" t="n">
        <v>26974</v>
      </c>
      <c r="R27" s="7" t="n">
        <v>832</v>
      </c>
      <c r="S27" s="7" t="n">
        <v>34</v>
      </c>
      <c r="T27" s="7" t="n">
        <v>104</v>
      </c>
      <c r="U27" s="7" t="n">
        <v>22069</v>
      </c>
      <c r="V27" s="7" t="n">
        <v>1516</v>
      </c>
    </row>
    <row r="28" customFormat="false" ht="15" hidden="false" customHeight="false" outlineLevel="0" collapsed="false">
      <c r="A28" s="4" t="s">
        <v>84</v>
      </c>
      <c r="B28" s="4" t="str">
        <f aca="false">IF(AND(I28&gt;='Read Me &amp; Markers'!$B$18,J28&gt;='Read Me &amp; Markers'!$B$19,L28&gt;='Read Me &amp; Markers'!$B$20),"A. Proven winner",IF(AND(I28&gt;='Read Me &amp; Markers'!$B$18,J28&gt;='Read Me &amp; Markers'!$B$19,L28&gt;='Read Me &amp; Markers'!$B$21),"B. Strong performer",IF(AND(I28&gt;='Read Me &amp; Markers'!$B$22,L28&gt;='Read Me &amp; Markers'!$B$23),"C. Scale workhorse",IF(AND(I28&gt;='Read Me &amp; Markers'!$B$24,I28&lt;'Read Me &amp; Markers'!$B$18,J28&gt;='Read Me &amp; Markers'!$B$25,L28&gt;='Read Me &amp; Markers'!$B$26),"D. Promising (needs more spend)",""))))</f>
        <v>A. Proven winner</v>
      </c>
      <c r="C28" s="4" t="s">
        <v>83</v>
      </c>
      <c r="D28" s="4" t="s">
        <v>85</v>
      </c>
      <c r="E28" s="4" t="s">
        <v>86</v>
      </c>
      <c r="F28" s="4" t="s">
        <v>87</v>
      </c>
      <c r="G28" s="4" t="s">
        <v>88</v>
      </c>
      <c r="H28" s="4" t="s">
        <v>96</v>
      </c>
      <c r="I28" s="5" t="n">
        <v>2401.61</v>
      </c>
      <c r="J28" s="7" t="n">
        <v>71</v>
      </c>
      <c r="K28" s="5" t="n">
        <v>4981.57</v>
      </c>
      <c r="L28" s="8" t="n">
        <v>2.074263</v>
      </c>
      <c r="M28" s="9" t="n">
        <v>33.83</v>
      </c>
      <c r="N28" s="10" t="n">
        <v>0.03077266</v>
      </c>
      <c r="O28" s="5" t="n">
        <v>66.94</v>
      </c>
      <c r="P28" s="11" t="n">
        <v>2.257062</v>
      </c>
      <c r="Q28" s="7" t="n">
        <v>35876</v>
      </c>
      <c r="R28" s="7" t="n">
        <v>1104</v>
      </c>
      <c r="S28" s="7" t="n">
        <v>202</v>
      </c>
      <c r="T28" s="7" t="n">
        <v>163</v>
      </c>
      <c r="U28" s="7" t="n">
        <v>29419</v>
      </c>
      <c r="V28" s="7" t="n">
        <v>1263</v>
      </c>
    </row>
    <row r="29" customFormat="false" ht="15" hidden="false" customHeight="false" outlineLevel="0" collapsed="false">
      <c r="A29" s="4" t="s">
        <v>243</v>
      </c>
      <c r="B29" s="4" t="str">
        <f aca="false">IF(AND(I29&gt;='Read Me &amp; Markers'!$B$18,J29&gt;='Read Me &amp; Markers'!$B$19,L29&gt;='Read Me &amp; Markers'!$B$20),"A. Proven winner",IF(AND(I29&gt;='Read Me &amp; Markers'!$B$18,J29&gt;='Read Me &amp; Markers'!$B$19,L29&gt;='Read Me &amp; Markers'!$B$21),"B. Strong performer",IF(AND(I29&gt;='Read Me &amp; Markers'!$B$22,L29&gt;='Read Me &amp; Markers'!$B$23),"C. Scale workhorse",IF(AND(I29&gt;='Read Me &amp; Markers'!$B$24,I29&lt;'Read Me &amp; Markers'!$B$18,J29&gt;='Read Me &amp; Markers'!$B$25,L29&gt;='Read Me &amp; Markers'!$B$26),"D. Promising (needs more spend)",""))))</f>
        <v>B. Strong performer</v>
      </c>
      <c r="C29" s="4" t="s">
        <v>83</v>
      </c>
      <c r="D29" s="4" t="s">
        <v>228</v>
      </c>
      <c r="E29" s="4" t="s">
        <v>244</v>
      </c>
      <c r="F29" s="4" t="s">
        <v>230</v>
      </c>
      <c r="G29" s="4" t="s">
        <v>245</v>
      </c>
      <c r="H29" s="4" t="s">
        <v>249</v>
      </c>
      <c r="I29" s="5" t="n">
        <v>2257.36</v>
      </c>
      <c r="J29" s="7" t="n">
        <v>41</v>
      </c>
      <c r="K29" s="5" t="n">
        <v>2622.5</v>
      </c>
      <c r="L29" s="8" t="n">
        <v>1.161755</v>
      </c>
      <c r="M29" s="9" t="n">
        <v>55.06</v>
      </c>
      <c r="N29" s="10" t="n">
        <v>0.04727866</v>
      </c>
      <c r="O29" s="5" t="n">
        <v>141.55</v>
      </c>
      <c r="P29" s="11" t="n">
        <v>1.231791</v>
      </c>
      <c r="Q29" s="7" t="n">
        <v>15948</v>
      </c>
      <c r="R29" s="7" t="n">
        <v>754</v>
      </c>
      <c r="S29" s="7" t="n">
        <v>52</v>
      </c>
      <c r="T29" s="7" t="n">
        <v>82</v>
      </c>
      <c r="U29" s="7" t="n">
        <v>14778</v>
      </c>
      <c r="V29" s="7" t="n">
        <v>3242</v>
      </c>
    </row>
    <row r="30" customFormat="false" ht="15" hidden="false" customHeight="false" outlineLevel="0" collapsed="false">
      <c r="A30" s="4" t="s">
        <v>472</v>
      </c>
      <c r="B30" s="4" t="str">
        <f aca="false">IF(AND(I30&gt;='Read Me &amp; Markers'!$B$18,J30&gt;='Read Me &amp; Markers'!$B$19,L30&gt;='Read Me &amp; Markers'!$B$20),"A. Proven winner",IF(AND(I30&gt;='Read Me &amp; Markers'!$B$18,J30&gt;='Read Me &amp; Markers'!$B$19,L30&gt;='Read Me &amp; Markers'!$B$21),"B. Strong performer",IF(AND(I30&gt;='Read Me &amp; Markers'!$B$22,L30&gt;='Read Me &amp; Markers'!$B$23),"C. Scale workhorse",IF(AND(I30&gt;='Read Me &amp; Markers'!$B$24,I30&lt;'Read Me &amp; Markers'!$B$18,J30&gt;='Read Me &amp; Markers'!$B$25,L30&gt;='Read Me &amp; Markers'!$B$26),"D. Promising (needs more spend)",""))))</f>
        <v/>
      </c>
      <c r="C30" s="4" t="s">
        <v>473</v>
      </c>
      <c r="D30" s="4" t="s">
        <v>109</v>
      </c>
      <c r="E30" s="4" t="s">
        <v>474</v>
      </c>
      <c r="F30" s="4" t="s">
        <v>111</v>
      </c>
      <c r="G30" s="4" t="s">
        <v>475</v>
      </c>
      <c r="H30" s="4" t="s">
        <v>476</v>
      </c>
      <c r="I30" s="5" t="n">
        <v>2137.47</v>
      </c>
      <c r="J30" s="7" t="n">
        <v>33</v>
      </c>
      <c r="K30" s="5" t="n">
        <v>2273.14</v>
      </c>
      <c r="L30" s="8" t="n">
        <v>1.063472</v>
      </c>
      <c r="M30" s="9" t="n">
        <v>64.77</v>
      </c>
      <c r="N30" s="10" t="n">
        <v>0.01450215</v>
      </c>
      <c r="O30" s="5" t="n">
        <v>51.32</v>
      </c>
      <c r="P30" s="11" t="n">
        <v>2.208207</v>
      </c>
      <c r="Q30" s="7" t="n">
        <v>41649</v>
      </c>
      <c r="R30" s="7" t="n">
        <v>604</v>
      </c>
      <c r="S30" s="7" t="n">
        <v>37</v>
      </c>
      <c r="T30" s="7" t="n">
        <v>70</v>
      </c>
      <c r="U30" s="7" t="n">
        <v>0</v>
      </c>
      <c r="V30" s="7" t="n">
        <v>0</v>
      </c>
    </row>
    <row r="31" customFormat="false" ht="15" hidden="false" customHeight="false" outlineLevel="0" collapsed="false">
      <c r="A31" s="4" t="s">
        <v>477</v>
      </c>
      <c r="B31" s="4" t="str">
        <f aca="false">IF(AND(I31&gt;='Read Me &amp; Markers'!$B$18,J31&gt;='Read Me &amp; Markers'!$B$19,L31&gt;='Read Me &amp; Markers'!$B$20),"A. Proven winner",IF(AND(I31&gt;='Read Me &amp; Markers'!$B$18,J31&gt;='Read Me &amp; Markers'!$B$19,L31&gt;='Read Me &amp; Markers'!$B$21),"B. Strong performer",IF(AND(I31&gt;='Read Me &amp; Markers'!$B$22,L31&gt;='Read Me &amp; Markers'!$B$23),"C. Scale workhorse",IF(AND(I31&gt;='Read Me &amp; Markers'!$B$24,I31&lt;'Read Me &amp; Markers'!$B$18,J31&gt;='Read Me &amp; Markers'!$B$25,L31&gt;='Read Me &amp; Markers'!$B$26),"D. Promising (needs more spend)",""))))</f>
        <v/>
      </c>
      <c r="C31" s="4" t="s">
        <v>121</v>
      </c>
      <c r="D31" s="4" t="s">
        <v>100</v>
      </c>
      <c r="E31" s="4" t="s">
        <v>478</v>
      </c>
      <c r="F31" s="4" t="s">
        <v>87</v>
      </c>
      <c r="G31" s="4" t="s">
        <v>124</v>
      </c>
      <c r="H31" s="4" t="s">
        <v>479</v>
      </c>
      <c r="I31" s="5" t="n">
        <v>2105.37</v>
      </c>
      <c r="J31" s="7" t="n">
        <v>27</v>
      </c>
      <c r="K31" s="5" t="n">
        <v>1665.22</v>
      </c>
      <c r="L31" s="8" t="n">
        <v>0.790939</v>
      </c>
      <c r="M31" s="9" t="n">
        <v>77.98</v>
      </c>
      <c r="N31" s="10" t="n">
        <v>0.06973534</v>
      </c>
      <c r="O31" s="5" t="n">
        <v>126.35</v>
      </c>
      <c r="P31" s="11" t="n">
        <v>1.123828</v>
      </c>
      <c r="Q31" s="7" t="n">
        <v>16663</v>
      </c>
      <c r="R31" s="7" t="n">
        <v>1162</v>
      </c>
      <c r="S31" s="7" t="n">
        <v>93</v>
      </c>
      <c r="T31" s="7" t="n">
        <v>73</v>
      </c>
      <c r="U31" s="7" t="n">
        <v>15458</v>
      </c>
      <c r="V31" s="7" t="n">
        <v>5799</v>
      </c>
    </row>
    <row r="32" customFormat="false" ht="15" hidden="false" customHeight="false" outlineLevel="0" collapsed="false">
      <c r="A32" s="4" t="s">
        <v>205</v>
      </c>
      <c r="B32" s="4" t="str">
        <f aca="false">IF(AND(I32&gt;='Read Me &amp; Markers'!$B$18,J32&gt;='Read Me &amp; Markers'!$B$19,L32&gt;='Read Me &amp; Markers'!$B$20),"A. Proven winner",IF(AND(I32&gt;='Read Me &amp; Markers'!$B$18,J32&gt;='Read Me &amp; Markers'!$B$19,L32&gt;='Read Me &amp; Markers'!$B$21),"B. Strong performer",IF(AND(I32&gt;='Read Me &amp; Markers'!$B$22,L32&gt;='Read Me &amp; Markers'!$B$23),"C. Scale workhorse",IF(AND(I32&gt;='Read Me &amp; Markers'!$B$24,I32&lt;'Read Me &amp; Markers'!$B$18,J32&gt;='Read Me &amp; Markers'!$B$25,L32&gt;='Read Me &amp; Markers'!$B$26),"D. Promising (needs more spend)",""))))</f>
        <v>B. Strong performer</v>
      </c>
      <c r="C32" s="4" t="s">
        <v>129</v>
      </c>
      <c r="D32" s="4" t="s">
        <v>206</v>
      </c>
      <c r="E32" s="4" t="s">
        <v>207</v>
      </c>
      <c r="F32" s="4" t="s">
        <v>87</v>
      </c>
      <c r="G32" s="4" t="s">
        <v>208</v>
      </c>
      <c r="H32" s="4" t="s">
        <v>212</v>
      </c>
      <c r="I32" s="5" t="n">
        <v>1757.8</v>
      </c>
      <c r="J32" s="7" t="n">
        <v>29</v>
      </c>
      <c r="K32" s="5" t="n">
        <v>2143.87</v>
      </c>
      <c r="L32" s="8" t="n">
        <v>1.219633</v>
      </c>
      <c r="M32" s="9" t="n">
        <v>60.61</v>
      </c>
      <c r="N32" s="10" t="n">
        <v>0.03686007</v>
      </c>
      <c r="O32" s="5" t="n">
        <v>99.99</v>
      </c>
      <c r="P32" s="11" t="n">
        <v>1.364377</v>
      </c>
      <c r="Q32" s="7" t="n">
        <v>17580</v>
      </c>
      <c r="R32" s="7" t="n">
        <v>648</v>
      </c>
      <c r="S32" s="7" t="n">
        <v>80</v>
      </c>
      <c r="T32" s="7" t="n">
        <v>75</v>
      </c>
      <c r="U32" s="7" t="n">
        <v>16230</v>
      </c>
      <c r="V32" s="7" t="n">
        <v>3662</v>
      </c>
    </row>
    <row r="33" customFormat="false" ht="15" hidden="false" customHeight="false" outlineLevel="0" collapsed="false">
      <c r="A33" s="4" t="s">
        <v>140</v>
      </c>
      <c r="B33" s="4" t="str">
        <f aca="false">IF(AND(I33&gt;='Read Me &amp; Markers'!$B$18,J33&gt;='Read Me &amp; Markers'!$B$19,L33&gt;='Read Me &amp; Markers'!$B$20),"A. Proven winner",IF(AND(I33&gt;='Read Me &amp; Markers'!$B$18,J33&gt;='Read Me &amp; Markers'!$B$19,L33&gt;='Read Me &amp; Markers'!$B$21),"B. Strong performer",IF(AND(I33&gt;='Read Me &amp; Markers'!$B$22,L33&gt;='Read Me &amp; Markers'!$B$23),"C. Scale workhorse",IF(AND(I33&gt;='Read Me &amp; Markers'!$B$24,I33&lt;'Read Me &amp; Markers'!$B$18,J33&gt;='Read Me &amp; Markers'!$B$25,L33&gt;='Read Me &amp; Markers'!$B$26),"D. Promising (needs more spend)",""))))</f>
        <v>A. Proven winner</v>
      </c>
      <c r="C33" s="4" t="s">
        <v>98</v>
      </c>
      <c r="D33" s="4" t="s">
        <v>100</v>
      </c>
      <c r="E33" s="4" t="s">
        <v>141</v>
      </c>
      <c r="F33" s="4" t="s">
        <v>87</v>
      </c>
      <c r="G33" s="4" t="s">
        <v>142</v>
      </c>
      <c r="H33" s="4" t="s">
        <v>145</v>
      </c>
      <c r="I33" s="5" t="n">
        <v>1703.96</v>
      </c>
      <c r="J33" s="7" t="n">
        <v>37</v>
      </c>
      <c r="K33" s="5" t="n">
        <v>2604.41</v>
      </c>
      <c r="L33" s="8" t="n">
        <v>1.528446</v>
      </c>
      <c r="M33" s="9" t="n">
        <v>46.05</v>
      </c>
      <c r="N33" s="10" t="n">
        <v>0.02451674</v>
      </c>
      <c r="O33" s="5" t="n">
        <v>66.95</v>
      </c>
      <c r="P33" s="11" t="n">
        <v>1.662986</v>
      </c>
      <c r="Q33" s="7" t="n">
        <v>25452</v>
      </c>
      <c r="R33" s="7" t="n">
        <v>624</v>
      </c>
      <c r="S33" s="7" t="n">
        <v>118</v>
      </c>
      <c r="T33" s="7" t="n">
        <v>94</v>
      </c>
      <c r="U33" s="7" t="n">
        <v>21957</v>
      </c>
      <c r="V33" s="7" t="n">
        <v>1224</v>
      </c>
    </row>
    <row r="34" customFormat="false" ht="15" hidden="false" customHeight="false" outlineLevel="0" collapsed="false">
      <c r="A34" s="4" t="s">
        <v>236</v>
      </c>
      <c r="B34" s="4" t="str">
        <f aca="false">IF(AND(I34&gt;='Read Me &amp; Markers'!$B$18,J34&gt;='Read Me &amp; Markers'!$B$19,L34&gt;='Read Me &amp; Markers'!$B$20),"A. Proven winner",IF(AND(I34&gt;='Read Me &amp; Markers'!$B$18,J34&gt;='Read Me &amp; Markers'!$B$19,L34&gt;='Read Me &amp; Markers'!$B$21),"B. Strong performer",IF(AND(I34&gt;='Read Me &amp; Markers'!$B$22,L34&gt;='Read Me &amp; Markers'!$B$23),"C. Scale workhorse",IF(AND(I34&gt;='Read Me &amp; Markers'!$B$24,I34&lt;'Read Me &amp; Markers'!$B$18,J34&gt;='Read Me &amp; Markers'!$B$25,L34&gt;='Read Me &amp; Markers'!$B$26),"D. Promising (needs more spend)",""))))</f>
        <v>B. Strong performer</v>
      </c>
      <c r="C34" s="4" t="s">
        <v>121</v>
      </c>
      <c r="D34" s="4" t="s">
        <v>100</v>
      </c>
      <c r="E34" s="4" t="s">
        <v>237</v>
      </c>
      <c r="F34" s="4" t="s">
        <v>87</v>
      </c>
      <c r="G34" s="4" t="s">
        <v>208</v>
      </c>
      <c r="H34" s="4" t="s">
        <v>241</v>
      </c>
      <c r="I34" s="5" t="n">
        <v>1685.44</v>
      </c>
      <c r="J34" s="7" t="n">
        <v>38</v>
      </c>
      <c r="K34" s="5" t="n">
        <v>1987.32</v>
      </c>
      <c r="L34" s="8" t="n">
        <v>1.179111</v>
      </c>
      <c r="M34" s="9" t="n">
        <v>44.35</v>
      </c>
      <c r="N34" s="10" t="n">
        <v>0.05544971</v>
      </c>
      <c r="O34" s="5" t="n">
        <v>110.73</v>
      </c>
      <c r="P34" s="11" t="n">
        <v>1.40092</v>
      </c>
      <c r="Q34" s="7" t="n">
        <v>15221</v>
      </c>
      <c r="R34" s="7" t="n">
        <v>844</v>
      </c>
      <c r="S34" s="7" t="n">
        <v>107</v>
      </c>
      <c r="T34" s="7" t="n">
        <v>92</v>
      </c>
      <c r="U34" s="7" t="n">
        <v>14044</v>
      </c>
      <c r="V34" s="7" t="n">
        <v>3383</v>
      </c>
    </row>
    <row r="35" customFormat="false" ht="15" hidden="false" customHeight="false" outlineLevel="0" collapsed="false">
      <c r="A35" s="4" t="s">
        <v>480</v>
      </c>
      <c r="B35" s="4" t="str">
        <f aca="false">IF(AND(I35&gt;='Read Me &amp; Markers'!$B$18,J35&gt;='Read Me &amp; Markers'!$B$19,L35&gt;='Read Me &amp; Markers'!$B$20),"A. Proven winner",IF(AND(I35&gt;='Read Me &amp; Markers'!$B$18,J35&gt;='Read Me &amp; Markers'!$B$19,L35&gt;='Read Me &amp; Markers'!$B$21),"B. Strong performer",IF(AND(I35&gt;='Read Me &amp; Markers'!$B$22,L35&gt;='Read Me &amp; Markers'!$B$23),"C. Scale workhorse",IF(AND(I35&gt;='Read Me &amp; Markers'!$B$24,I35&lt;'Read Me &amp; Markers'!$B$18,J35&gt;='Read Me &amp; Markers'!$B$25,L35&gt;='Read Me &amp; Markers'!$B$26),"D. Promising (needs more spend)",""))))</f>
        <v/>
      </c>
      <c r="C35" s="4" t="s">
        <v>481</v>
      </c>
      <c r="D35" s="4" t="s">
        <v>109</v>
      </c>
      <c r="E35" s="4" t="s">
        <v>482</v>
      </c>
      <c r="F35" s="4" t="s">
        <v>87</v>
      </c>
      <c r="G35" s="4" t="s">
        <v>483</v>
      </c>
      <c r="H35" s="4" t="s">
        <v>484</v>
      </c>
      <c r="I35" s="5" t="n">
        <v>1659.67</v>
      </c>
      <c r="J35" s="7" t="n">
        <v>23</v>
      </c>
      <c r="K35" s="5" t="n">
        <v>1357.3</v>
      </c>
      <c r="L35" s="8" t="n">
        <v>0.817813</v>
      </c>
      <c r="M35" s="9" t="n">
        <v>72.16</v>
      </c>
      <c r="N35" s="10" t="n">
        <v>0.02393796</v>
      </c>
      <c r="O35" s="5" t="n">
        <v>93.26</v>
      </c>
      <c r="P35" s="11" t="n">
        <v>1.89299</v>
      </c>
      <c r="Q35" s="7" t="n">
        <v>17796</v>
      </c>
      <c r="R35" s="7" t="n">
        <v>426</v>
      </c>
      <c r="S35" s="7" t="n">
        <v>52</v>
      </c>
      <c r="T35" s="7" t="n">
        <v>82</v>
      </c>
      <c r="U35" s="7" t="n">
        <v>15253</v>
      </c>
      <c r="V35" s="7" t="n">
        <v>837</v>
      </c>
    </row>
    <row r="36" customFormat="false" ht="15" hidden="false" customHeight="false" outlineLevel="0" collapsed="false">
      <c r="A36" s="4" t="s">
        <v>485</v>
      </c>
      <c r="B36" s="4" t="str">
        <f aca="false">IF(AND(I36&gt;='Read Me &amp; Markers'!$B$18,J36&gt;='Read Me &amp; Markers'!$B$19,L36&gt;='Read Me &amp; Markers'!$B$20),"A. Proven winner",IF(AND(I36&gt;='Read Me &amp; Markers'!$B$18,J36&gt;='Read Me &amp; Markers'!$B$19,L36&gt;='Read Me &amp; Markers'!$B$21),"B. Strong performer",IF(AND(I36&gt;='Read Me &amp; Markers'!$B$22,L36&gt;='Read Me &amp; Markers'!$B$23),"C. Scale workhorse",IF(AND(I36&gt;='Read Me &amp; Markers'!$B$24,I36&lt;'Read Me &amp; Markers'!$B$18,J36&gt;='Read Me &amp; Markers'!$B$25,L36&gt;='Read Me &amp; Markers'!$B$26),"D. Promising (needs more spend)",""))))</f>
        <v/>
      </c>
      <c r="C36" s="4" t="s">
        <v>98</v>
      </c>
      <c r="D36" s="4" t="s">
        <v>100</v>
      </c>
      <c r="E36" s="4" t="s">
        <v>478</v>
      </c>
      <c r="F36" s="4" t="s">
        <v>87</v>
      </c>
      <c r="G36" s="4" t="s">
        <v>124</v>
      </c>
      <c r="H36" s="4" t="s">
        <v>486</v>
      </c>
      <c r="I36" s="5" t="n">
        <v>1609.91</v>
      </c>
      <c r="J36" s="7" t="n">
        <v>30</v>
      </c>
      <c r="K36" s="5" t="n">
        <v>1736.06</v>
      </c>
      <c r="L36" s="8" t="n">
        <v>1.078358</v>
      </c>
      <c r="M36" s="9" t="n">
        <v>53.66</v>
      </c>
      <c r="N36" s="10" t="n">
        <v>0.0585582</v>
      </c>
      <c r="O36" s="5" t="n">
        <v>127.4</v>
      </c>
      <c r="P36" s="11" t="n">
        <v>1.181249</v>
      </c>
      <c r="Q36" s="7" t="n">
        <v>12637</v>
      </c>
      <c r="R36" s="7" t="n">
        <v>740</v>
      </c>
      <c r="S36" s="7" t="n">
        <v>89</v>
      </c>
      <c r="T36" s="7" t="n">
        <v>95</v>
      </c>
      <c r="U36" s="7" t="n">
        <v>11855</v>
      </c>
      <c r="V36" s="7" t="n">
        <v>2668</v>
      </c>
    </row>
    <row r="37" customFormat="false" ht="15" hidden="false" customHeight="false" outlineLevel="0" collapsed="false">
      <c r="A37" s="4" t="s">
        <v>487</v>
      </c>
      <c r="B37" s="4" t="str">
        <f aca="false">IF(AND(I37&gt;='Read Me &amp; Markers'!$B$18,J37&gt;='Read Me &amp; Markers'!$B$19,L37&gt;='Read Me &amp; Markers'!$B$20),"A. Proven winner",IF(AND(I37&gt;='Read Me &amp; Markers'!$B$18,J37&gt;='Read Me &amp; Markers'!$B$19,L37&gt;='Read Me &amp; Markers'!$B$21),"B. Strong performer",IF(AND(I37&gt;='Read Me &amp; Markers'!$B$22,L37&gt;='Read Me &amp; Markers'!$B$23),"C. Scale workhorse",IF(AND(I37&gt;='Read Me &amp; Markers'!$B$24,I37&lt;'Read Me &amp; Markers'!$B$18,J37&gt;='Read Me &amp; Markers'!$B$25,L37&gt;='Read Me &amp; Markers'!$B$26),"D. Promising (needs more spend)",""))))</f>
        <v/>
      </c>
      <c r="C37" s="4" t="s">
        <v>488</v>
      </c>
      <c r="D37" s="4" t="s">
        <v>109</v>
      </c>
      <c r="E37" s="4" t="s">
        <v>489</v>
      </c>
      <c r="F37" s="4" t="s">
        <v>172</v>
      </c>
      <c r="G37" s="4" t="s">
        <v>490</v>
      </c>
      <c r="H37" s="4" t="s">
        <v>491</v>
      </c>
      <c r="I37" s="5" t="n">
        <v>1527.25</v>
      </c>
      <c r="J37" s="7" t="n">
        <v>19</v>
      </c>
      <c r="K37" s="5" t="n">
        <v>965.06</v>
      </c>
      <c r="L37" s="8" t="n">
        <v>0.631894</v>
      </c>
      <c r="M37" s="9" t="n">
        <v>80.38</v>
      </c>
      <c r="N37" s="10" t="n">
        <v>0.03105407</v>
      </c>
      <c r="O37" s="5" t="n">
        <v>112.65</v>
      </c>
      <c r="P37" s="11" t="n">
        <v>1.073992</v>
      </c>
      <c r="Q37" s="7" t="n">
        <v>13557</v>
      </c>
      <c r="R37" s="7" t="n">
        <v>421</v>
      </c>
      <c r="S37" s="7" t="n">
        <v>61</v>
      </c>
      <c r="T37" s="7" t="n">
        <v>66</v>
      </c>
      <c r="U37" s="7" t="n">
        <v>12865</v>
      </c>
      <c r="V37" s="7" t="n">
        <v>3505</v>
      </c>
    </row>
    <row r="38" customFormat="false" ht="15" hidden="false" customHeight="false" outlineLevel="0" collapsed="false">
      <c r="A38" s="4" t="s">
        <v>221</v>
      </c>
      <c r="B38" s="4" t="str">
        <f aca="false">IF(AND(I38&gt;='Read Me &amp; Markers'!$B$18,J38&gt;='Read Me &amp; Markers'!$B$19,L38&gt;='Read Me &amp; Markers'!$B$20),"A. Proven winner",IF(AND(I38&gt;='Read Me &amp; Markers'!$B$18,J38&gt;='Read Me &amp; Markers'!$B$19,L38&gt;='Read Me &amp; Markers'!$B$21),"B. Strong performer",IF(AND(I38&gt;='Read Me &amp; Markers'!$B$22,L38&gt;='Read Me &amp; Markers'!$B$23),"C. Scale workhorse",IF(AND(I38&gt;='Read Me &amp; Markers'!$B$24,I38&lt;'Read Me &amp; Markers'!$B$18,J38&gt;='Read Me &amp; Markers'!$B$25,L38&gt;='Read Me &amp; Markers'!$B$26),"D. Promising (needs more spend)",""))))</f>
        <v>B. Strong performer</v>
      </c>
      <c r="C38" s="4" t="s">
        <v>220</v>
      </c>
      <c r="D38" s="4" t="s">
        <v>109</v>
      </c>
      <c r="E38" s="4" t="s">
        <v>110</v>
      </c>
      <c r="F38" s="4" t="s">
        <v>111</v>
      </c>
      <c r="G38" s="4" t="s">
        <v>112</v>
      </c>
      <c r="H38" s="4" t="s">
        <v>224</v>
      </c>
      <c r="I38" s="5" t="n">
        <v>1518.7</v>
      </c>
      <c r="J38" s="7" t="n">
        <v>24</v>
      </c>
      <c r="K38" s="5" t="n">
        <v>1823.34</v>
      </c>
      <c r="L38" s="8" t="n">
        <v>1.200593</v>
      </c>
      <c r="M38" s="9" t="n">
        <v>63.28</v>
      </c>
      <c r="N38" s="10" t="n">
        <v>0.015121</v>
      </c>
      <c r="O38" s="5" t="n">
        <v>55.6</v>
      </c>
      <c r="P38" s="11" t="n">
        <v>1.931612</v>
      </c>
      <c r="Q38" s="7" t="n">
        <v>27313</v>
      </c>
      <c r="R38" s="7" t="n">
        <v>413</v>
      </c>
      <c r="S38" s="7" t="n">
        <v>19</v>
      </c>
      <c r="T38" s="7" t="n">
        <v>52</v>
      </c>
      <c r="U38" s="7" t="n">
        <v>0</v>
      </c>
      <c r="V38" s="7" t="n">
        <v>0</v>
      </c>
    </row>
    <row r="39" customFormat="false" ht="15" hidden="false" customHeight="false" outlineLevel="0" collapsed="false">
      <c r="A39" s="4" t="s">
        <v>130</v>
      </c>
      <c r="B39" s="4" t="str">
        <f aca="false">IF(AND(I39&gt;='Read Me &amp; Markers'!$B$18,J39&gt;='Read Me &amp; Markers'!$B$19,L39&gt;='Read Me &amp; Markers'!$B$20),"A. Proven winner",IF(AND(I39&gt;='Read Me &amp; Markers'!$B$18,J39&gt;='Read Me &amp; Markers'!$B$19,L39&gt;='Read Me &amp; Markers'!$B$21),"B. Strong performer",IF(AND(I39&gt;='Read Me &amp; Markers'!$B$22,L39&gt;='Read Me &amp; Markers'!$B$23),"C. Scale workhorse",IF(AND(I39&gt;='Read Me &amp; Markers'!$B$24,I39&lt;'Read Me &amp; Markers'!$B$18,J39&gt;='Read Me &amp; Markers'!$B$25,L39&gt;='Read Me &amp; Markers'!$B$26),"D. Promising (needs more spend)",""))))</f>
        <v>A. Proven winner</v>
      </c>
      <c r="C39" s="4" t="s">
        <v>129</v>
      </c>
      <c r="D39" s="4" t="s">
        <v>100</v>
      </c>
      <c r="E39" s="4" t="s">
        <v>131</v>
      </c>
      <c r="F39" s="4" t="s">
        <v>87</v>
      </c>
      <c r="G39" s="4" t="s">
        <v>132</v>
      </c>
      <c r="H39" s="4" t="s">
        <v>138</v>
      </c>
      <c r="I39" s="5" t="n">
        <v>1493.23</v>
      </c>
      <c r="J39" s="7" t="n">
        <v>38</v>
      </c>
      <c r="K39" s="5" t="n">
        <v>2376.66</v>
      </c>
      <c r="L39" s="8" t="n">
        <v>1.591624</v>
      </c>
      <c r="M39" s="9" t="n">
        <v>39.3</v>
      </c>
      <c r="N39" s="10" t="n">
        <v>0.02006015</v>
      </c>
      <c r="O39" s="5" t="n">
        <v>51.03</v>
      </c>
      <c r="P39" s="11" t="n">
        <v>1.684338</v>
      </c>
      <c r="Q39" s="7" t="n">
        <v>29262</v>
      </c>
      <c r="R39" s="7" t="n">
        <v>587</v>
      </c>
      <c r="S39" s="7" t="n">
        <v>99</v>
      </c>
      <c r="T39" s="7" t="n">
        <v>82</v>
      </c>
      <c r="U39" s="7" t="n">
        <v>25250</v>
      </c>
      <c r="V39" s="7" t="n">
        <v>1753</v>
      </c>
    </row>
    <row r="40" customFormat="false" ht="15" hidden="false" customHeight="false" outlineLevel="0" collapsed="false">
      <c r="A40" s="4" t="s">
        <v>108</v>
      </c>
      <c r="B40" s="4" t="str">
        <f aca="false">IF(AND(I40&gt;='Read Me &amp; Markers'!$B$18,J40&gt;='Read Me &amp; Markers'!$B$19,L40&gt;='Read Me &amp; Markers'!$B$20),"A. Proven winner",IF(AND(I40&gt;='Read Me &amp; Markers'!$B$18,J40&gt;='Read Me &amp; Markers'!$B$19,L40&gt;='Read Me &amp; Markers'!$B$21),"B. Strong performer",IF(AND(I40&gt;='Read Me &amp; Markers'!$B$22,L40&gt;='Read Me &amp; Markers'!$B$23),"C. Scale workhorse",IF(AND(I40&gt;='Read Me &amp; Markers'!$B$24,I40&lt;'Read Me &amp; Markers'!$B$18,J40&gt;='Read Me &amp; Markers'!$B$25,L40&gt;='Read Me &amp; Markers'!$B$26),"D. Promising (needs more spend)",""))))</f>
        <v>A. Proven winner</v>
      </c>
      <c r="C40" s="4" t="s">
        <v>107</v>
      </c>
      <c r="D40" s="4" t="s">
        <v>109</v>
      </c>
      <c r="E40" s="4" t="s">
        <v>110</v>
      </c>
      <c r="F40" s="4" t="s">
        <v>111</v>
      </c>
      <c r="G40" s="4" t="s">
        <v>112</v>
      </c>
      <c r="H40" s="4" t="s">
        <v>119</v>
      </c>
      <c r="I40" s="5" t="n">
        <v>1409.73</v>
      </c>
      <c r="J40" s="7" t="n">
        <v>26</v>
      </c>
      <c r="K40" s="5" t="n">
        <v>2297.06</v>
      </c>
      <c r="L40" s="8" t="n">
        <v>1.629433</v>
      </c>
      <c r="M40" s="9" t="n">
        <v>54.22</v>
      </c>
      <c r="N40" s="10" t="n">
        <v>0.0126388</v>
      </c>
      <c r="O40" s="5" t="n">
        <v>42.42</v>
      </c>
      <c r="P40" s="11" t="n">
        <v>2.21673</v>
      </c>
      <c r="Q40" s="7" t="n">
        <v>33231</v>
      </c>
      <c r="R40" s="7" t="n">
        <v>420</v>
      </c>
      <c r="S40" s="7" t="n">
        <v>38</v>
      </c>
      <c r="T40" s="7" t="n">
        <v>74</v>
      </c>
      <c r="U40" s="7" t="n">
        <v>0</v>
      </c>
      <c r="V40" s="7" t="n">
        <v>0</v>
      </c>
    </row>
    <row r="41" customFormat="false" ht="15" hidden="false" customHeight="false" outlineLevel="0" collapsed="false">
      <c r="A41" s="4" t="s">
        <v>492</v>
      </c>
      <c r="B41" s="4" t="str">
        <f aca="false">IF(AND(I41&gt;='Read Me &amp; Markers'!$B$18,J41&gt;='Read Me &amp; Markers'!$B$19,L41&gt;='Read Me &amp; Markers'!$B$20),"A. Proven winner",IF(AND(I41&gt;='Read Me &amp; Markers'!$B$18,J41&gt;='Read Me &amp; Markers'!$B$19,L41&gt;='Read Me &amp; Markers'!$B$21),"B. Strong performer",IF(AND(I41&gt;='Read Me &amp; Markers'!$B$22,L41&gt;='Read Me &amp; Markers'!$B$23),"C. Scale workhorse",IF(AND(I41&gt;='Read Me &amp; Markers'!$B$24,I41&lt;'Read Me &amp; Markers'!$B$18,J41&gt;='Read Me &amp; Markers'!$B$25,L41&gt;='Read Me &amp; Markers'!$B$26),"D. Promising (needs more spend)",""))))</f>
        <v/>
      </c>
      <c r="C41" s="4" t="s">
        <v>226</v>
      </c>
      <c r="D41" s="4" t="s">
        <v>228</v>
      </c>
      <c r="E41" s="4" t="s">
        <v>493</v>
      </c>
      <c r="F41" s="4" t="s">
        <v>230</v>
      </c>
      <c r="G41" s="4" t="s">
        <v>262</v>
      </c>
      <c r="H41" s="4" t="s">
        <v>494</v>
      </c>
      <c r="I41" s="5" t="n">
        <v>1325.82</v>
      </c>
      <c r="J41" s="7" t="n">
        <v>17</v>
      </c>
      <c r="K41" s="5" t="n">
        <v>1021.66</v>
      </c>
      <c r="L41" s="8" t="n">
        <v>0.770587</v>
      </c>
      <c r="M41" s="9" t="n">
        <v>77.99</v>
      </c>
      <c r="N41" s="10" t="n">
        <v>0.03855044</v>
      </c>
      <c r="O41" s="5" t="n">
        <v>109.45</v>
      </c>
      <c r="P41" s="11" t="n">
        <v>1.388424</v>
      </c>
      <c r="Q41" s="7" t="n">
        <v>12114</v>
      </c>
      <c r="R41" s="7" t="n">
        <v>467</v>
      </c>
      <c r="S41" s="7" t="n">
        <v>12</v>
      </c>
      <c r="T41" s="7" t="n">
        <v>55</v>
      </c>
      <c r="U41" s="7" t="n">
        <v>10781</v>
      </c>
      <c r="V41" s="7" t="n">
        <v>2039</v>
      </c>
    </row>
    <row r="42" customFormat="false" ht="15" hidden="false" customHeight="false" outlineLevel="0" collapsed="false">
      <c r="A42" s="4" t="s">
        <v>495</v>
      </c>
      <c r="B42" s="4" t="str">
        <f aca="false">IF(AND(I42&gt;='Read Me &amp; Markers'!$B$18,J42&gt;='Read Me &amp; Markers'!$B$19,L42&gt;='Read Me &amp; Markers'!$B$20),"A. Proven winner",IF(AND(I42&gt;='Read Me &amp; Markers'!$B$18,J42&gt;='Read Me &amp; Markers'!$B$19,L42&gt;='Read Me &amp; Markers'!$B$21),"B. Strong performer",IF(AND(I42&gt;='Read Me &amp; Markers'!$B$22,L42&gt;='Read Me &amp; Markers'!$B$23),"C. Scale workhorse",IF(AND(I42&gt;='Read Me &amp; Markers'!$B$24,I42&lt;'Read Me &amp; Markers'!$B$18,J42&gt;='Read Me &amp; Markers'!$B$25,L42&gt;='Read Me &amp; Markers'!$B$26),"D. Promising (needs more spend)",""))))</f>
        <v/>
      </c>
      <c r="C42" s="4" t="s">
        <v>226</v>
      </c>
      <c r="D42" s="4" t="s">
        <v>228</v>
      </c>
      <c r="E42" s="4" t="s">
        <v>496</v>
      </c>
      <c r="F42" s="4" t="s">
        <v>230</v>
      </c>
      <c r="G42" s="4" t="s">
        <v>262</v>
      </c>
      <c r="H42" s="4" t="s">
        <v>497</v>
      </c>
      <c r="I42" s="5" t="n">
        <v>1293.21</v>
      </c>
      <c r="J42" s="7" t="n">
        <v>12</v>
      </c>
      <c r="K42" s="5" t="n">
        <v>767.11</v>
      </c>
      <c r="L42" s="8" t="n">
        <v>0.593183</v>
      </c>
      <c r="M42" s="9" t="n">
        <v>107.77</v>
      </c>
      <c r="N42" s="10" t="n">
        <v>0.06753329</v>
      </c>
      <c r="O42" s="5" t="n">
        <v>136.67</v>
      </c>
      <c r="P42" s="11" t="n">
        <v>1.121356</v>
      </c>
      <c r="Q42" s="7" t="n">
        <v>9462</v>
      </c>
      <c r="R42" s="7" t="n">
        <v>639</v>
      </c>
      <c r="S42" s="7" t="n">
        <v>15</v>
      </c>
      <c r="T42" s="7" t="n">
        <v>22</v>
      </c>
      <c r="U42" s="7" t="n">
        <v>8851</v>
      </c>
      <c r="V42" s="7" t="n">
        <v>3151</v>
      </c>
    </row>
    <row r="43" customFormat="false" ht="15" hidden="false" customHeight="false" outlineLevel="0" collapsed="false">
      <c r="A43" s="4" t="s">
        <v>498</v>
      </c>
      <c r="B43" s="4" t="str">
        <f aca="false">IF(AND(I43&gt;='Read Me &amp; Markers'!$B$18,J43&gt;='Read Me &amp; Markers'!$B$19,L43&gt;='Read Me &amp; Markers'!$B$20),"A. Proven winner",IF(AND(I43&gt;='Read Me &amp; Markers'!$B$18,J43&gt;='Read Me &amp; Markers'!$B$19,L43&gt;='Read Me &amp; Markers'!$B$21),"B. Strong performer",IF(AND(I43&gt;='Read Me &amp; Markers'!$B$22,L43&gt;='Read Me &amp; Markers'!$B$23),"C. Scale workhorse",IF(AND(I43&gt;='Read Me &amp; Markers'!$B$24,I43&lt;'Read Me &amp; Markers'!$B$18,J43&gt;='Read Me &amp; Markers'!$B$25,L43&gt;='Read Me &amp; Markers'!$B$26),"D. Promising (needs more spend)",""))))</f>
        <v/>
      </c>
      <c r="C43" s="4" t="s">
        <v>499</v>
      </c>
      <c r="D43" s="4" t="s">
        <v>109</v>
      </c>
      <c r="E43" s="4" t="s">
        <v>435</v>
      </c>
      <c r="F43" s="4" t="s">
        <v>87</v>
      </c>
      <c r="G43" s="4" t="s">
        <v>500</v>
      </c>
      <c r="H43" s="4" t="s">
        <v>501</v>
      </c>
      <c r="I43" s="5" t="n">
        <v>1290.94</v>
      </c>
      <c r="J43" s="7" t="n">
        <v>11</v>
      </c>
      <c r="K43" s="5" t="n">
        <v>587.56</v>
      </c>
      <c r="L43" s="8" t="n">
        <v>0.455141</v>
      </c>
      <c r="M43" s="9" t="n">
        <v>117.36</v>
      </c>
      <c r="N43" s="10" t="n">
        <v>0.02458234</v>
      </c>
      <c r="O43" s="5" t="n">
        <v>102.7</v>
      </c>
      <c r="P43" s="11" t="n">
        <v>1.620681</v>
      </c>
      <c r="Q43" s="7" t="n">
        <v>12570</v>
      </c>
      <c r="R43" s="7" t="n">
        <v>309</v>
      </c>
      <c r="S43" s="7" t="n">
        <v>19</v>
      </c>
      <c r="T43" s="7" t="n">
        <v>36</v>
      </c>
      <c r="U43" s="7" t="n">
        <v>11388</v>
      </c>
      <c r="V43" s="7" t="n">
        <v>1540</v>
      </c>
    </row>
    <row r="44" customFormat="false" ht="15" hidden="false" customHeight="false" outlineLevel="0" collapsed="false">
      <c r="A44" s="4" t="s">
        <v>214</v>
      </c>
      <c r="B44" s="4" t="str">
        <f aca="false">IF(AND(I44&gt;='Read Me &amp; Markers'!$B$18,J44&gt;='Read Me &amp; Markers'!$B$19,L44&gt;='Read Me &amp; Markers'!$B$20),"A. Proven winner",IF(AND(I44&gt;='Read Me &amp; Markers'!$B$18,J44&gt;='Read Me &amp; Markers'!$B$19,L44&gt;='Read Me &amp; Markers'!$B$21),"B. Strong performer",IF(AND(I44&gt;='Read Me &amp; Markers'!$B$22,L44&gt;='Read Me &amp; Markers'!$B$23),"C. Scale workhorse",IF(AND(I44&gt;='Read Me &amp; Markers'!$B$24,I44&lt;'Read Me &amp; Markers'!$B$18,J44&gt;='Read Me &amp; Markers'!$B$25,L44&gt;='Read Me &amp; Markers'!$B$26),"D. Promising (needs more spend)",""))))</f>
        <v>B. Strong performer</v>
      </c>
      <c r="C44" s="4" t="s">
        <v>98</v>
      </c>
      <c r="D44" s="4" t="s">
        <v>100</v>
      </c>
      <c r="E44" s="4" t="s">
        <v>215</v>
      </c>
      <c r="F44" s="4" t="s">
        <v>87</v>
      </c>
      <c r="G44" s="4" t="s">
        <v>188</v>
      </c>
      <c r="H44" s="4" t="s">
        <v>218</v>
      </c>
      <c r="I44" s="5" t="n">
        <v>1277.91</v>
      </c>
      <c r="J44" s="7" t="n">
        <v>24</v>
      </c>
      <c r="K44" s="5" t="n">
        <v>1537.86</v>
      </c>
      <c r="L44" s="8" t="n">
        <v>1.203418</v>
      </c>
      <c r="M44" s="9" t="n">
        <v>53.25</v>
      </c>
      <c r="N44" s="10" t="n">
        <v>0.02833433</v>
      </c>
      <c r="O44" s="5" t="n">
        <v>69.77</v>
      </c>
      <c r="P44" s="11" t="n">
        <v>1.654353</v>
      </c>
      <c r="Q44" s="7" t="n">
        <v>18317</v>
      </c>
      <c r="R44" s="7" t="n">
        <v>519</v>
      </c>
      <c r="S44" s="7" t="n">
        <v>77</v>
      </c>
      <c r="T44" s="7" t="n">
        <v>65</v>
      </c>
      <c r="U44" s="7" t="n">
        <v>16196</v>
      </c>
      <c r="V44" s="7" t="n">
        <v>1098</v>
      </c>
    </row>
    <row r="45" customFormat="false" ht="15" hidden="false" customHeight="false" outlineLevel="0" collapsed="false">
      <c r="A45" s="4" t="s">
        <v>502</v>
      </c>
      <c r="B45" s="4" t="str">
        <f aca="false">IF(AND(I45&gt;='Read Me &amp; Markers'!$B$18,J45&gt;='Read Me &amp; Markers'!$B$19,L45&gt;='Read Me &amp; Markers'!$B$20),"A. Proven winner",IF(AND(I45&gt;='Read Me &amp; Markers'!$B$18,J45&gt;='Read Me &amp; Markers'!$B$19,L45&gt;='Read Me &amp; Markers'!$B$21),"B. Strong performer",IF(AND(I45&gt;='Read Me &amp; Markers'!$B$22,L45&gt;='Read Me &amp; Markers'!$B$23),"C. Scale workhorse",IF(AND(I45&gt;='Read Me &amp; Markers'!$B$24,I45&lt;'Read Me &amp; Markers'!$B$18,J45&gt;='Read Me &amp; Markers'!$B$25,L45&gt;='Read Me &amp; Markers'!$B$26),"D. Promising (needs more spend)",""))))</f>
        <v/>
      </c>
      <c r="C45" s="4" t="s">
        <v>503</v>
      </c>
      <c r="D45" s="4" t="s">
        <v>109</v>
      </c>
      <c r="E45" s="4" t="s">
        <v>489</v>
      </c>
      <c r="F45" s="4" t="s">
        <v>111</v>
      </c>
      <c r="G45" s="4" t="s">
        <v>490</v>
      </c>
      <c r="H45" s="4" t="s">
        <v>504</v>
      </c>
      <c r="I45" s="5" t="n">
        <v>1237.85</v>
      </c>
      <c r="J45" s="7" t="n">
        <v>17</v>
      </c>
      <c r="K45" s="5" t="n">
        <v>1075.33</v>
      </c>
      <c r="L45" s="8" t="n">
        <v>0.868708</v>
      </c>
      <c r="M45" s="9" t="n">
        <v>72.81</v>
      </c>
      <c r="N45" s="10" t="n">
        <v>0.04846257</v>
      </c>
      <c r="O45" s="5" t="n">
        <v>137.91</v>
      </c>
      <c r="P45" s="11" t="n">
        <v>1.442159</v>
      </c>
      <c r="Q45" s="7" t="n">
        <v>8976</v>
      </c>
      <c r="R45" s="7" t="n">
        <v>435</v>
      </c>
      <c r="S45" s="7" t="n">
        <v>22</v>
      </c>
      <c r="T45" s="7" t="n">
        <v>53</v>
      </c>
      <c r="U45" s="7" t="n">
        <v>8666</v>
      </c>
      <c r="V45" s="7" t="n">
        <v>1733</v>
      </c>
    </row>
    <row r="46" customFormat="false" ht="15" hidden="false" customHeight="false" outlineLevel="0" collapsed="false">
      <c r="A46" s="4" t="s">
        <v>153</v>
      </c>
      <c r="B46" s="4" t="str">
        <f aca="false">IF(AND(I46&gt;='Read Me &amp; Markers'!$B$18,J46&gt;='Read Me &amp; Markers'!$B$19,L46&gt;='Read Me &amp; Markers'!$B$20),"A. Proven winner",IF(AND(I46&gt;='Read Me &amp; Markers'!$B$18,J46&gt;='Read Me &amp; Markers'!$B$19,L46&gt;='Read Me &amp; Markers'!$B$21),"B. Strong performer",IF(AND(I46&gt;='Read Me &amp; Markers'!$B$22,L46&gt;='Read Me &amp; Markers'!$B$23),"C. Scale workhorse",IF(AND(I46&gt;='Read Me &amp; Markers'!$B$24,I46&lt;'Read Me &amp; Markers'!$B$18,J46&gt;='Read Me &amp; Markers'!$B$25,L46&gt;='Read Me &amp; Markers'!$B$26),"D. Promising (needs more spend)",""))))</f>
        <v>A. Proven winner</v>
      </c>
      <c r="C46" s="4" t="s">
        <v>152</v>
      </c>
      <c r="D46" s="4" t="s">
        <v>154</v>
      </c>
      <c r="E46" s="4" t="s">
        <v>155</v>
      </c>
      <c r="F46" s="4" t="s">
        <v>87</v>
      </c>
      <c r="G46" s="4" t="s">
        <v>156</v>
      </c>
      <c r="H46" s="4" t="s">
        <v>161</v>
      </c>
      <c r="I46" s="5" t="n">
        <v>1200</v>
      </c>
      <c r="J46" s="7" t="n">
        <v>30</v>
      </c>
      <c r="K46" s="5" t="n">
        <v>1763.76</v>
      </c>
      <c r="L46" s="8" t="n">
        <v>1.4698</v>
      </c>
      <c r="M46" s="9" t="n">
        <v>40</v>
      </c>
      <c r="N46" s="10" t="n">
        <v>0.03207706</v>
      </c>
      <c r="O46" s="5" t="n">
        <v>56.11</v>
      </c>
      <c r="P46" s="11" t="n">
        <v>1.5085</v>
      </c>
      <c r="Q46" s="7" t="n">
        <v>21386</v>
      </c>
      <c r="R46" s="7" t="n">
        <v>686</v>
      </c>
      <c r="S46" s="7" t="n">
        <v>91</v>
      </c>
      <c r="T46" s="7" t="n">
        <v>72</v>
      </c>
      <c r="U46" s="7" t="n">
        <v>19234</v>
      </c>
      <c r="V46" s="7" t="n">
        <v>1414</v>
      </c>
    </row>
    <row r="47" customFormat="false" ht="15" hidden="false" customHeight="false" outlineLevel="0" collapsed="false">
      <c r="A47" s="4" t="s">
        <v>99</v>
      </c>
      <c r="B47" s="4" t="str">
        <f aca="false">IF(AND(I47&gt;='Read Me &amp; Markers'!$B$18,J47&gt;='Read Me &amp; Markers'!$B$19,L47&gt;='Read Me &amp; Markers'!$B$20),"A. Proven winner",IF(AND(I47&gt;='Read Me &amp; Markers'!$B$18,J47&gt;='Read Me &amp; Markers'!$B$19,L47&gt;='Read Me &amp; Markers'!$B$21),"B. Strong performer",IF(AND(I47&gt;='Read Me &amp; Markers'!$B$22,L47&gt;='Read Me &amp; Markers'!$B$23),"C. Scale workhorse",IF(AND(I47&gt;='Read Me &amp; Markers'!$B$24,I47&lt;'Read Me &amp; Markers'!$B$18,J47&gt;='Read Me &amp; Markers'!$B$25,L47&gt;='Read Me &amp; Markers'!$B$26),"D. Promising (needs more spend)",""))))</f>
        <v>A. Proven winner</v>
      </c>
      <c r="C47" s="4" t="s">
        <v>98</v>
      </c>
      <c r="D47" s="4" t="s">
        <v>100</v>
      </c>
      <c r="E47" s="4" t="s">
        <v>101</v>
      </c>
      <c r="F47" s="4" t="s">
        <v>87</v>
      </c>
      <c r="G47" s="4" t="s">
        <v>102</v>
      </c>
      <c r="H47" s="4" t="s">
        <v>105</v>
      </c>
      <c r="I47" s="5" t="n">
        <v>1159.35</v>
      </c>
      <c r="J47" s="7" t="n">
        <v>34</v>
      </c>
      <c r="K47" s="5" t="n">
        <v>2398.76</v>
      </c>
      <c r="L47" s="8" t="n">
        <v>2.069056</v>
      </c>
      <c r="M47" s="9" t="n">
        <v>34.1</v>
      </c>
      <c r="N47" s="10" t="n">
        <v>0.0257704</v>
      </c>
      <c r="O47" s="5" t="n">
        <v>62.9</v>
      </c>
      <c r="P47" s="11" t="n">
        <v>1.791776</v>
      </c>
      <c r="Q47" s="7" t="n">
        <v>18432</v>
      </c>
      <c r="R47" s="7" t="n">
        <v>475</v>
      </c>
      <c r="S47" s="7" t="n">
        <v>99</v>
      </c>
      <c r="T47" s="7" t="n">
        <v>80</v>
      </c>
      <c r="U47" s="7" t="n">
        <v>16419</v>
      </c>
      <c r="V47" s="7" t="n">
        <v>959</v>
      </c>
    </row>
    <row r="48" customFormat="false" ht="15" hidden="false" customHeight="false" outlineLevel="0" collapsed="false">
      <c r="A48" s="4" t="s">
        <v>505</v>
      </c>
      <c r="B48" s="4" t="str">
        <f aca="false">IF(AND(I48&gt;='Read Me &amp; Markers'!$B$18,J48&gt;='Read Me &amp; Markers'!$B$19,L48&gt;='Read Me &amp; Markers'!$B$20),"A. Proven winner",IF(AND(I48&gt;='Read Me &amp; Markers'!$B$18,J48&gt;='Read Me &amp; Markers'!$B$19,L48&gt;='Read Me &amp; Markers'!$B$21),"B. Strong performer",IF(AND(I48&gt;='Read Me &amp; Markers'!$B$22,L48&gt;='Read Me &amp; Markers'!$B$23),"C. Scale workhorse",IF(AND(I48&gt;='Read Me &amp; Markers'!$B$24,I48&lt;'Read Me &amp; Markers'!$B$18,J48&gt;='Read Me &amp; Markers'!$B$25,L48&gt;='Read Me &amp; Markers'!$B$26),"D. Promising (needs more spend)",""))))</f>
        <v/>
      </c>
      <c r="C48" s="4" t="s">
        <v>506</v>
      </c>
      <c r="D48" s="4" t="s">
        <v>109</v>
      </c>
      <c r="E48" s="4" t="s">
        <v>507</v>
      </c>
      <c r="F48" s="4" t="s">
        <v>111</v>
      </c>
      <c r="G48" s="4" t="s">
        <v>508</v>
      </c>
      <c r="H48" s="4" t="s">
        <v>509</v>
      </c>
      <c r="I48" s="5" t="n">
        <v>1142.54</v>
      </c>
      <c r="J48" s="7" t="n">
        <v>12</v>
      </c>
      <c r="K48" s="5" t="n">
        <v>583.68</v>
      </c>
      <c r="L48" s="8" t="n">
        <v>0.510862</v>
      </c>
      <c r="M48" s="9" t="n">
        <v>95.21</v>
      </c>
      <c r="N48" s="10" t="n">
        <v>0.11185744</v>
      </c>
      <c r="O48" s="5" t="n">
        <v>156.62</v>
      </c>
      <c r="P48" s="11" t="n">
        <v>1.497947</v>
      </c>
      <c r="Q48" s="7" t="n">
        <v>7295</v>
      </c>
      <c r="R48" s="7" t="n">
        <v>816</v>
      </c>
      <c r="S48" s="7" t="n">
        <v>32</v>
      </c>
      <c r="T48" s="7" t="n">
        <v>36</v>
      </c>
      <c r="U48" s="7" t="n">
        <v>7003</v>
      </c>
      <c r="V48" s="7" t="n">
        <v>1533</v>
      </c>
    </row>
    <row r="49" customFormat="false" ht="15" hidden="false" customHeight="false" outlineLevel="0" collapsed="false">
      <c r="A49" s="4" t="s">
        <v>510</v>
      </c>
      <c r="B49" s="4" t="str">
        <f aca="false">IF(AND(I49&gt;='Read Me &amp; Markers'!$B$18,J49&gt;='Read Me &amp; Markers'!$B$19,L49&gt;='Read Me &amp; Markers'!$B$20),"A. Proven winner",IF(AND(I49&gt;='Read Me &amp; Markers'!$B$18,J49&gt;='Read Me &amp; Markers'!$B$19,L49&gt;='Read Me &amp; Markers'!$B$21),"B. Strong performer",IF(AND(I49&gt;='Read Me &amp; Markers'!$B$22,L49&gt;='Read Me &amp; Markers'!$B$23),"C. Scale workhorse",IF(AND(I49&gt;='Read Me &amp; Markers'!$B$24,I49&lt;'Read Me &amp; Markers'!$B$18,J49&gt;='Read Me &amp; Markers'!$B$25,L49&gt;='Read Me &amp; Markers'!$B$26),"D. Promising (needs more spend)",""))))</f>
        <v/>
      </c>
      <c r="C49" s="4" t="s">
        <v>511</v>
      </c>
      <c r="D49" s="4" t="s">
        <v>109</v>
      </c>
      <c r="E49" s="4" t="s">
        <v>512</v>
      </c>
      <c r="F49" s="4" t="s">
        <v>172</v>
      </c>
      <c r="G49" s="4" t="s">
        <v>490</v>
      </c>
      <c r="H49" s="4" t="s">
        <v>513</v>
      </c>
      <c r="I49" s="5" t="n">
        <v>1040.18</v>
      </c>
      <c r="J49" s="7" t="n">
        <v>23</v>
      </c>
      <c r="K49" s="5" t="n">
        <v>963.41</v>
      </c>
      <c r="L49" s="8" t="n">
        <v>0.926195</v>
      </c>
      <c r="M49" s="9" t="n">
        <v>45.23</v>
      </c>
      <c r="N49" s="10" t="n">
        <v>0.04402822</v>
      </c>
      <c r="O49" s="5" t="n">
        <v>126.51</v>
      </c>
      <c r="P49" s="11" t="n">
        <v>1.082982</v>
      </c>
      <c r="Q49" s="7" t="n">
        <v>8222</v>
      </c>
      <c r="R49" s="7" t="n">
        <v>362</v>
      </c>
      <c r="S49" s="7" t="n">
        <v>50</v>
      </c>
      <c r="T49" s="7" t="n">
        <v>61</v>
      </c>
      <c r="U49" s="7" t="n">
        <v>7737</v>
      </c>
      <c r="V49" s="7" t="n">
        <v>2369</v>
      </c>
    </row>
    <row r="50" customFormat="false" ht="15" hidden="false" customHeight="false" outlineLevel="0" collapsed="false">
      <c r="A50" s="4" t="s">
        <v>514</v>
      </c>
      <c r="B50" s="4" t="str">
        <f aca="false">IF(AND(I50&gt;='Read Me &amp; Markers'!$B$18,J50&gt;='Read Me &amp; Markers'!$B$19,L50&gt;='Read Me &amp; Markers'!$B$20),"A. Proven winner",IF(AND(I50&gt;='Read Me &amp; Markers'!$B$18,J50&gt;='Read Me &amp; Markers'!$B$19,L50&gt;='Read Me &amp; Markers'!$B$21),"B. Strong performer",IF(AND(I50&gt;='Read Me &amp; Markers'!$B$22,L50&gt;='Read Me &amp; Markers'!$B$23),"C. Scale workhorse",IF(AND(I50&gt;='Read Me &amp; Markers'!$B$24,I50&lt;'Read Me &amp; Markers'!$B$18,J50&gt;='Read Me &amp; Markers'!$B$25,L50&gt;='Read Me &amp; Markers'!$B$26),"D. Promising (needs more spend)",""))))</f>
        <v/>
      </c>
      <c r="C50" s="4" t="s">
        <v>129</v>
      </c>
      <c r="D50" s="4" t="s">
        <v>206</v>
      </c>
      <c r="E50" s="4" t="s">
        <v>515</v>
      </c>
      <c r="F50" s="4" t="s">
        <v>87</v>
      </c>
      <c r="G50" s="4" t="s">
        <v>254</v>
      </c>
      <c r="H50" s="4" t="s">
        <v>516</v>
      </c>
      <c r="I50" s="5" t="n">
        <v>1037.4</v>
      </c>
      <c r="J50" s="7" t="n">
        <v>13</v>
      </c>
      <c r="K50" s="5" t="n">
        <v>821.51</v>
      </c>
      <c r="L50" s="8" t="n">
        <v>0.791893</v>
      </c>
      <c r="M50" s="9" t="n">
        <v>79.8</v>
      </c>
      <c r="N50" s="10" t="n">
        <v>0.04706124</v>
      </c>
      <c r="O50" s="5" t="n">
        <v>106.6</v>
      </c>
      <c r="P50" s="11" t="n">
        <v>1.359218</v>
      </c>
      <c r="Q50" s="7" t="n">
        <v>9732</v>
      </c>
      <c r="R50" s="7" t="n">
        <v>458</v>
      </c>
      <c r="S50" s="7" t="n">
        <v>39</v>
      </c>
      <c r="T50" s="7" t="n">
        <v>32</v>
      </c>
      <c r="U50" s="7" t="n">
        <v>9278</v>
      </c>
      <c r="V50" s="7" t="n">
        <v>1889</v>
      </c>
    </row>
    <row r="51" customFormat="false" ht="15" hidden="false" customHeight="false" outlineLevel="0" collapsed="false">
      <c r="A51" s="4" t="s">
        <v>193</v>
      </c>
      <c r="B51" s="4" t="str">
        <f aca="false">IF(AND(I51&gt;='Read Me &amp; Markers'!$B$18,J51&gt;='Read Me &amp; Markers'!$B$19,L51&gt;='Read Me &amp; Markers'!$B$20),"A. Proven winner",IF(AND(I51&gt;='Read Me &amp; Markers'!$B$18,J51&gt;='Read Me &amp; Markers'!$B$19,L51&gt;='Read Me &amp; Markers'!$B$21),"B. Strong performer",IF(AND(I51&gt;='Read Me &amp; Markers'!$B$22,L51&gt;='Read Me &amp; Markers'!$B$23),"C. Scale workhorse",IF(AND(I51&gt;='Read Me &amp; Markers'!$B$24,I51&lt;'Read Me &amp; Markers'!$B$18,J51&gt;='Read Me &amp; Markers'!$B$25,L51&gt;='Read Me &amp; Markers'!$B$26),"D. Promising (needs more spend)",""))))</f>
        <v>A. Proven winner</v>
      </c>
      <c r="C51" s="4" t="s">
        <v>192</v>
      </c>
      <c r="D51" s="4" t="s">
        <v>85</v>
      </c>
      <c r="E51" s="4" t="s">
        <v>194</v>
      </c>
      <c r="F51" s="4" t="s">
        <v>87</v>
      </c>
      <c r="G51" s="4" t="s">
        <v>195</v>
      </c>
      <c r="H51" s="4" t="s">
        <v>197</v>
      </c>
      <c r="I51" s="5" t="n">
        <v>1021.63</v>
      </c>
      <c r="J51" s="7" t="n">
        <v>21</v>
      </c>
      <c r="K51" s="5" t="n">
        <v>1370.4</v>
      </c>
      <c r="L51" s="8" t="n">
        <v>1.341386</v>
      </c>
      <c r="M51" s="9" t="n">
        <v>48.65</v>
      </c>
      <c r="N51" s="10" t="n">
        <v>0.02303805</v>
      </c>
      <c r="O51" s="5" t="n">
        <v>50.62</v>
      </c>
      <c r="P51" s="11" t="n">
        <v>1.923751</v>
      </c>
      <c r="Q51" s="7" t="n">
        <v>20184</v>
      </c>
      <c r="R51" s="7" t="n">
        <v>465</v>
      </c>
      <c r="S51" s="7" t="n">
        <v>75</v>
      </c>
      <c r="T51" s="7" t="n">
        <v>63</v>
      </c>
      <c r="U51" s="7" t="n">
        <v>16041</v>
      </c>
      <c r="V51" s="7" t="n">
        <v>573</v>
      </c>
    </row>
    <row r="52" customFormat="false" ht="15" hidden="false" customHeight="false" outlineLevel="0" collapsed="false">
      <c r="A52" s="4" t="s">
        <v>517</v>
      </c>
      <c r="B52" s="4" t="str">
        <f aca="false">IF(AND(I52&gt;='Read Me &amp; Markers'!$B$18,J52&gt;='Read Me &amp; Markers'!$B$19,L52&gt;='Read Me &amp; Markers'!$B$20),"A. Proven winner",IF(AND(I52&gt;='Read Me &amp; Markers'!$B$18,J52&gt;='Read Me &amp; Markers'!$B$19,L52&gt;='Read Me &amp; Markers'!$B$21),"B. Strong performer",IF(AND(I52&gt;='Read Me &amp; Markers'!$B$22,L52&gt;='Read Me &amp; Markers'!$B$23),"C. Scale workhorse",IF(AND(I52&gt;='Read Me &amp; Markers'!$B$24,I52&lt;'Read Me &amp; Markers'!$B$18,J52&gt;='Read Me &amp; Markers'!$B$25,L52&gt;='Read Me &amp; Markers'!$B$26),"D. Promising (needs more spend)",""))))</f>
        <v/>
      </c>
      <c r="C52" s="4" t="s">
        <v>518</v>
      </c>
      <c r="D52" s="4" t="s">
        <v>100</v>
      </c>
      <c r="E52" s="4" t="s">
        <v>347</v>
      </c>
      <c r="F52" s="4" t="s">
        <v>87</v>
      </c>
      <c r="G52" s="4" t="s">
        <v>348</v>
      </c>
      <c r="H52" s="4" t="s">
        <v>519</v>
      </c>
      <c r="I52" s="5" t="n">
        <v>984.24</v>
      </c>
      <c r="J52" s="7" t="n">
        <v>14</v>
      </c>
      <c r="K52" s="5" t="n">
        <v>968.5</v>
      </c>
      <c r="L52" s="8" t="n">
        <v>0.984008</v>
      </c>
      <c r="M52" s="9" t="n">
        <v>70.3</v>
      </c>
      <c r="N52" s="10" t="n">
        <v>0.02196777</v>
      </c>
      <c r="O52" s="5" t="n">
        <v>50.99</v>
      </c>
      <c r="P52" s="11" t="n">
        <v>1.506126</v>
      </c>
      <c r="Q52" s="7" t="n">
        <v>19301</v>
      </c>
      <c r="R52" s="7" t="n">
        <v>424</v>
      </c>
      <c r="S52" s="7" t="n">
        <v>51</v>
      </c>
      <c r="T52" s="7" t="n">
        <v>38</v>
      </c>
      <c r="U52" s="7" t="n">
        <v>16622</v>
      </c>
      <c r="V52" s="7" t="n">
        <v>757</v>
      </c>
    </row>
    <row r="53" customFormat="false" ht="15" hidden="false" customHeight="false" outlineLevel="0" collapsed="false">
      <c r="A53" s="4" t="s">
        <v>520</v>
      </c>
      <c r="B53" s="4" t="str">
        <f aca="false">IF(AND(I53&gt;='Read Me &amp; Markers'!$B$18,J53&gt;='Read Me &amp; Markers'!$B$19,L53&gt;='Read Me &amp; Markers'!$B$20),"A. Proven winner",IF(AND(I53&gt;='Read Me &amp; Markers'!$B$18,J53&gt;='Read Me &amp; Markers'!$B$19,L53&gt;='Read Me &amp; Markers'!$B$21),"B. Strong performer",IF(AND(I53&gt;='Read Me &amp; Markers'!$B$22,L53&gt;='Read Me &amp; Markers'!$B$23),"C. Scale workhorse",IF(AND(I53&gt;='Read Me &amp; Markers'!$B$24,I53&lt;'Read Me &amp; Markers'!$B$18,J53&gt;='Read Me &amp; Markers'!$B$25,L53&gt;='Read Me &amp; Markers'!$B$26),"D. Promising (needs more spend)",""))))</f>
        <v/>
      </c>
      <c r="C53" s="4" t="s">
        <v>98</v>
      </c>
      <c r="D53" s="4" t="s">
        <v>100</v>
      </c>
      <c r="E53" s="4" t="s">
        <v>521</v>
      </c>
      <c r="F53" s="4" t="s">
        <v>87</v>
      </c>
      <c r="G53" s="4" t="s">
        <v>440</v>
      </c>
      <c r="H53" s="4" t="s">
        <v>522</v>
      </c>
      <c r="I53" s="5" t="n">
        <v>947.26</v>
      </c>
      <c r="J53" s="7" t="n">
        <v>4</v>
      </c>
      <c r="K53" s="5" t="n">
        <v>311.78</v>
      </c>
      <c r="L53" s="8" t="n">
        <v>0.329139</v>
      </c>
      <c r="M53" s="9" t="n">
        <v>236.82</v>
      </c>
      <c r="N53" s="10" t="n">
        <v>0.0170806</v>
      </c>
      <c r="O53" s="5" t="n">
        <v>29.74</v>
      </c>
      <c r="P53" s="11" t="n">
        <v>1.349019</v>
      </c>
      <c r="Q53" s="7" t="n">
        <v>31849</v>
      </c>
      <c r="R53" s="7" t="n">
        <v>544</v>
      </c>
      <c r="S53" s="7" t="n">
        <v>19</v>
      </c>
      <c r="T53" s="7" t="n">
        <v>16</v>
      </c>
      <c r="U53" s="7" t="n">
        <v>29709</v>
      </c>
      <c r="V53" s="7" t="n">
        <v>6740</v>
      </c>
    </row>
    <row r="54" customFormat="false" ht="15" hidden="false" customHeight="false" outlineLevel="0" collapsed="false">
      <c r="A54" s="4" t="s">
        <v>303</v>
      </c>
      <c r="B54" s="4" t="str">
        <f aca="false">IF(AND(I54&gt;='Read Me &amp; Markers'!$B$18,J54&gt;='Read Me &amp; Markers'!$B$19,L54&gt;='Read Me &amp; Markers'!$B$20),"A. Proven winner",IF(AND(I54&gt;='Read Me &amp; Markers'!$B$18,J54&gt;='Read Me &amp; Markers'!$B$19,L54&gt;='Read Me &amp; Markers'!$B$21),"B. Strong performer",IF(AND(I54&gt;='Read Me &amp; Markers'!$B$22,L54&gt;='Read Me &amp; Markers'!$B$23),"C. Scale workhorse",IF(AND(I54&gt;='Read Me &amp; Markers'!$B$24,I54&lt;'Read Me &amp; Markers'!$B$18,J54&gt;='Read Me &amp; Markers'!$B$25,L54&gt;='Read Me &amp; Markers'!$B$26),"D. Promising (needs more spend)",""))))</f>
        <v>D. Promising (needs more spend)</v>
      </c>
      <c r="C54" s="4" t="s">
        <v>302</v>
      </c>
      <c r="D54" s="4" t="s">
        <v>228</v>
      </c>
      <c r="E54" s="4" t="s">
        <v>304</v>
      </c>
      <c r="F54" s="4" t="s">
        <v>87</v>
      </c>
      <c r="G54" s="4" t="s">
        <v>262</v>
      </c>
      <c r="H54" s="4" t="s">
        <v>305</v>
      </c>
      <c r="I54" s="5" t="n">
        <v>924.7</v>
      </c>
      <c r="J54" s="7" t="n">
        <v>24</v>
      </c>
      <c r="K54" s="5" t="n">
        <v>1662.03</v>
      </c>
      <c r="L54" s="8" t="n">
        <v>1.797372</v>
      </c>
      <c r="M54" s="9" t="n">
        <v>38.53</v>
      </c>
      <c r="N54" s="10" t="n">
        <v>0.03450468</v>
      </c>
      <c r="O54" s="5" t="n">
        <v>83.96</v>
      </c>
      <c r="P54" s="11" t="n">
        <v>1.509664</v>
      </c>
      <c r="Q54" s="7" t="n">
        <v>11013</v>
      </c>
      <c r="R54" s="7" t="n">
        <v>380</v>
      </c>
      <c r="S54" s="7" t="n">
        <v>68</v>
      </c>
      <c r="T54" s="7" t="n">
        <v>57</v>
      </c>
      <c r="U54" s="7" t="n">
        <v>9585</v>
      </c>
      <c r="V54" s="7" t="n">
        <v>479</v>
      </c>
    </row>
    <row r="55" customFormat="false" ht="15" hidden="false" customHeight="false" outlineLevel="0" collapsed="false">
      <c r="A55" s="4" t="s">
        <v>523</v>
      </c>
      <c r="B55" s="4" t="str">
        <f aca="false">IF(AND(I55&gt;='Read Me &amp; Markers'!$B$18,J55&gt;='Read Me &amp; Markers'!$B$19,L55&gt;='Read Me &amp; Markers'!$B$20),"A. Proven winner",IF(AND(I55&gt;='Read Me &amp; Markers'!$B$18,J55&gt;='Read Me &amp; Markers'!$B$19,L55&gt;='Read Me &amp; Markers'!$B$21),"B. Strong performer",IF(AND(I55&gt;='Read Me &amp; Markers'!$B$22,L55&gt;='Read Me &amp; Markers'!$B$23),"C. Scale workhorse",IF(AND(I55&gt;='Read Me &amp; Markers'!$B$24,I55&lt;'Read Me &amp; Markers'!$B$18,J55&gt;='Read Me &amp; Markers'!$B$25,L55&gt;='Read Me &amp; Markers'!$B$26),"D. Promising (needs more spend)",""))))</f>
        <v/>
      </c>
      <c r="C55" s="4" t="s">
        <v>129</v>
      </c>
      <c r="D55" s="4" t="s">
        <v>154</v>
      </c>
      <c r="E55" s="4" t="s">
        <v>524</v>
      </c>
      <c r="F55" s="4" t="s">
        <v>87</v>
      </c>
      <c r="G55" s="4" t="s">
        <v>88</v>
      </c>
      <c r="H55" s="4" t="s">
        <v>525</v>
      </c>
      <c r="I55" s="5" t="n">
        <v>862.58</v>
      </c>
      <c r="J55" s="7" t="n">
        <v>17</v>
      </c>
      <c r="K55" s="5" t="n">
        <v>1020.99</v>
      </c>
      <c r="L55" s="8" t="n">
        <v>1.183647</v>
      </c>
      <c r="M55" s="9" t="n">
        <v>50.74</v>
      </c>
      <c r="N55" s="10" t="n">
        <v>0.02813167</v>
      </c>
      <c r="O55" s="5" t="n">
        <v>49.73</v>
      </c>
      <c r="P55" s="11" t="n">
        <v>1.341712</v>
      </c>
      <c r="Q55" s="7" t="n">
        <v>17347</v>
      </c>
      <c r="R55" s="7" t="n">
        <v>488</v>
      </c>
      <c r="S55" s="7" t="n">
        <v>48</v>
      </c>
      <c r="T55" s="7" t="n">
        <v>36</v>
      </c>
      <c r="U55" s="7" t="n">
        <v>14463</v>
      </c>
      <c r="V55" s="7" t="n">
        <v>1292</v>
      </c>
    </row>
    <row r="56" customFormat="false" ht="15" hidden="false" customHeight="false" outlineLevel="0" collapsed="false">
      <c r="A56" s="4" t="s">
        <v>526</v>
      </c>
      <c r="B56" s="4" t="str">
        <f aca="false">IF(AND(I56&gt;='Read Me &amp; Markers'!$B$18,J56&gt;='Read Me &amp; Markers'!$B$19,L56&gt;='Read Me &amp; Markers'!$B$20),"A. Proven winner",IF(AND(I56&gt;='Read Me &amp; Markers'!$B$18,J56&gt;='Read Me &amp; Markers'!$B$19,L56&gt;='Read Me &amp; Markers'!$B$21),"B. Strong performer",IF(AND(I56&gt;='Read Me &amp; Markers'!$B$22,L56&gt;='Read Me &amp; Markers'!$B$23),"C. Scale workhorse",IF(AND(I56&gt;='Read Me &amp; Markers'!$B$24,I56&lt;'Read Me &amp; Markers'!$B$18,J56&gt;='Read Me &amp; Markers'!$B$25,L56&gt;='Read Me &amp; Markers'!$B$26),"D. Promising (needs more spend)",""))))</f>
        <v/>
      </c>
      <c r="C56" s="4" t="s">
        <v>527</v>
      </c>
      <c r="D56" s="4" t="s">
        <v>528</v>
      </c>
      <c r="E56" s="4" t="s">
        <v>529</v>
      </c>
      <c r="F56" s="4" t="s">
        <v>230</v>
      </c>
      <c r="G56" s="4" t="s">
        <v>530</v>
      </c>
      <c r="H56" s="4" t="s">
        <v>531</v>
      </c>
      <c r="I56" s="5" t="n">
        <v>846.77</v>
      </c>
      <c r="J56" s="7" t="n">
        <v>13</v>
      </c>
      <c r="K56" s="5" t="n">
        <v>794.66</v>
      </c>
      <c r="L56" s="8" t="n">
        <v>0.93846</v>
      </c>
      <c r="M56" s="9" t="n">
        <v>65.14</v>
      </c>
      <c r="N56" s="10" t="n">
        <v>0.03528916</v>
      </c>
      <c r="O56" s="5" t="n">
        <v>89.2</v>
      </c>
      <c r="P56" s="11" t="n">
        <v>1.312638</v>
      </c>
      <c r="Q56" s="7" t="n">
        <v>9493</v>
      </c>
      <c r="R56" s="7" t="n">
        <v>335</v>
      </c>
      <c r="S56" s="7" t="n">
        <v>30</v>
      </c>
      <c r="T56" s="7" t="n">
        <v>27</v>
      </c>
      <c r="U56" s="7" t="n">
        <v>8666</v>
      </c>
      <c r="V56" s="7" t="n">
        <v>547</v>
      </c>
    </row>
    <row r="57" customFormat="false" ht="15" hidden="false" customHeight="false" outlineLevel="0" collapsed="false">
      <c r="A57" s="4" t="s">
        <v>292</v>
      </c>
      <c r="B57" s="4" t="str">
        <f aca="false">IF(AND(I57&gt;='Read Me &amp; Markers'!$B$18,J57&gt;='Read Me &amp; Markers'!$B$19,L57&gt;='Read Me &amp; Markers'!$B$20),"A. Proven winner",IF(AND(I57&gt;='Read Me &amp; Markers'!$B$18,J57&gt;='Read Me &amp; Markers'!$B$19,L57&gt;='Read Me &amp; Markers'!$B$21),"B. Strong performer",IF(AND(I57&gt;='Read Me &amp; Markers'!$B$22,L57&gt;='Read Me &amp; Markers'!$B$23),"C. Scale workhorse",IF(AND(I57&gt;='Read Me &amp; Markers'!$B$24,I57&lt;'Read Me &amp; Markers'!$B$18,J57&gt;='Read Me &amp; Markers'!$B$25,L57&gt;='Read Me &amp; Markers'!$B$26),"D. Promising (needs more spend)",""))))</f>
        <v>D. Promising (needs more spend)</v>
      </c>
      <c r="C57" s="4" t="s">
        <v>169</v>
      </c>
      <c r="D57" s="4" t="s">
        <v>100</v>
      </c>
      <c r="E57" s="4" t="s">
        <v>293</v>
      </c>
      <c r="F57" s="4" t="s">
        <v>87</v>
      </c>
      <c r="G57" s="4" t="s">
        <v>294</v>
      </c>
      <c r="H57" s="4" t="s">
        <v>295</v>
      </c>
      <c r="I57" s="5" t="n">
        <v>786.55</v>
      </c>
      <c r="J57" s="7" t="n">
        <v>23</v>
      </c>
      <c r="K57" s="5" t="n">
        <v>1545.42</v>
      </c>
      <c r="L57" s="8" t="n">
        <v>1.964808</v>
      </c>
      <c r="M57" s="9" t="n">
        <v>34.2</v>
      </c>
      <c r="N57" s="10" t="n">
        <v>0.02936418</v>
      </c>
      <c r="O57" s="5" t="n">
        <v>63.63</v>
      </c>
      <c r="P57" s="11" t="n">
        <v>1.773092</v>
      </c>
      <c r="Q57" s="7" t="n">
        <v>12362</v>
      </c>
      <c r="R57" s="7" t="n">
        <v>363</v>
      </c>
      <c r="S57" s="7" t="n">
        <v>72</v>
      </c>
      <c r="T57" s="7" t="n">
        <v>73</v>
      </c>
      <c r="U57" s="7" t="n">
        <v>9722</v>
      </c>
      <c r="V57" s="7" t="n">
        <v>778</v>
      </c>
    </row>
    <row r="58" customFormat="false" ht="15" hidden="false" customHeight="false" outlineLevel="0" collapsed="false">
      <c r="A58" s="4" t="s">
        <v>532</v>
      </c>
      <c r="B58" s="4" t="str">
        <f aca="false">IF(AND(I58&gt;='Read Me &amp; Markers'!$B$18,J58&gt;='Read Me &amp; Markers'!$B$19,L58&gt;='Read Me &amp; Markers'!$B$20),"A. Proven winner",IF(AND(I58&gt;='Read Me &amp; Markers'!$B$18,J58&gt;='Read Me &amp; Markers'!$B$19,L58&gt;='Read Me &amp; Markers'!$B$21),"B. Strong performer",IF(AND(I58&gt;='Read Me &amp; Markers'!$B$22,L58&gt;='Read Me &amp; Markers'!$B$23),"C. Scale workhorse",IF(AND(I58&gt;='Read Me &amp; Markers'!$B$24,I58&lt;'Read Me &amp; Markers'!$B$18,J58&gt;='Read Me &amp; Markers'!$B$25,L58&gt;='Read Me &amp; Markers'!$B$26),"D. Promising (needs more spend)",""))))</f>
        <v/>
      </c>
      <c r="C58" s="4" t="s">
        <v>83</v>
      </c>
      <c r="D58" s="4" t="s">
        <v>85</v>
      </c>
      <c r="E58" s="4" t="s">
        <v>533</v>
      </c>
      <c r="F58" s="4" t="s">
        <v>253</v>
      </c>
      <c r="G58" s="4" t="s">
        <v>534</v>
      </c>
      <c r="H58" s="4" t="s">
        <v>535</v>
      </c>
      <c r="I58" s="5" t="n">
        <v>766.43</v>
      </c>
      <c r="J58" s="7" t="n">
        <v>13</v>
      </c>
      <c r="K58" s="5" t="n">
        <v>901.32</v>
      </c>
      <c r="L58" s="8" t="n">
        <v>1.175998</v>
      </c>
      <c r="M58" s="9" t="n">
        <v>58.96</v>
      </c>
      <c r="N58" s="10" t="n">
        <v>0.0590224</v>
      </c>
      <c r="O58" s="5" t="n">
        <v>107.96</v>
      </c>
      <c r="P58" s="11" t="n">
        <v>1.068161</v>
      </c>
      <c r="Q58" s="7" t="n">
        <v>7099</v>
      </c>
      <c r="R58" s="7" t="n">
        <v>419</v>
      </c>
      <c r="S58" s="7" t="n">
        <v>45</v>
      </c>
      <c r="T58" s="7" t="n">
        <v>39</v>
      </c>
      <c r="U58" s="7" t="n">
        <v>6645</v>
      </c>
      <c r="V58" s="7" t="n">
        <v>1341</v>
      </c>
    </row>
    <row r="59" customFormat="false" ht="15" hidden="false" customHeight="false" outlineLevel="0" collapsed="false">
      <c r="A59" s="4" t="s">
        <v>536</v>
      </c>
      <c r="B59" s="4" t="str">
        <f aca="false">IF(AND(I59&gt;='Read Me &amp; Markers'!$B$18,J59&gt;='Read Me &amp; Markers'!$B$19,L59&gt;='Read Me &amp; Markers'!$B$20),"A. Proven winner",IF(AND(I59&gt;='Read Me &amp; Markers'!$B$18,J59&gt;='Read Me &amp; Markers'!$B$19,L59&gt;='Read Me &amp; Markers'!$B$21),"B. Strong performer",IF(AND(I59&gt;='Read Me &amp; Markers'!$B$22,L59&gt;='Read Me &amp; Markers'!$B$23),"C. Scale workhorse",IF(AND(I59&gt;='Read Me &amp; Markers'!$B$24,I59&lt;'Read Me &amp; Markers'!$B$18,J59&gt;='Read Me &amp; Markers'!$B$25,L59&gt;='Read Me &amp; Markers'!$B$26),"D. Promising (needs more spend)",""))))</f>
        <v/>
      </c>
      <c r="C59" s="4" t="s">
        <v>169</v>
      </c>
      <c r="D59" s="4" t="s">
        <v>100</v>
      </c>
      <c r="E59" s="4" t="s">
        <v>537</v>
      </c>
      <c r="F59" s="4" t="s">
        <v>87</v>
      </c>
      <c r="G59" s="4" t="s">
        <v>538</v>
      </c>
      <c r="H59" s="4" t="s">
        <v>539</v>
      </c>
      <c r="I59" s="5" t="n">
        <v>761.22</v>
      </c>
      <c r="J59" s="7" t="n">
        <v>13</v>
      </c>
      <c r="K59" s="5" t="n">
        <v>645.2</v>
      </c>
      <c r="L59" s="8" t="n">
        <v>0.847587</v>
      </c>
      <c r="M59" s="9" t="n">
        <v>58.56</v>
      </c>
      <c r="N59" s="10" t="n">
        <v>0.09430512</v>
      </c>
      <c r="O59" s="5" t="n">
        <v>99.43</v>
      </c>
      <c r="P59" s="11" t="n">
        <v>1.207</v>
      </c>
      <c r="Q59" s="7" t="n">
        <v>7656</v>
      </c>
      <c r="R59" s="7" t="n">
        <v>722</v>
      </c>
      <c r="S59" s="7" t="n">
        <v>8</v>
      </c>
      <c r="T59" s="7" t="n">
        <v>41</v>
      </c>
      <c r="U59" s="7" t="n">
        <v>7287</v>
      </c>
      <c r="V59" s="7" t="n">
        <v>1413</v>
      </c>
    </row>
    <row r="60" customFormat="false" ht="15" hidden="false" customHeight="false" outlineLevel="0" collapsed="false">
      <c r="A60" s="4" t="s">
        <v>540</v>
      </c>
      <c r="B60" s="4" t="str">
        <f aca="false">IF(AND(I60&gt;='Read Me &amp; Markers'!$B$18,J60&gt;='Read Me &amp; Markers'!$B$19,L60&gt;='Read Me &amp; Markers'!$B$20),"A. Proven winner",IF(AND(I60&gt;='Read Me &amp; Markers'!$B$18,J60&gt;='Read Me &amp; Markers'!$B$19,L60&gt;='Read Me &amp; Markers'!$B$21),"B. Strong performer",IF(AND(I60&gt;='Read Me &amp; Markers'!$B$22,L60&gt;='Read Me &amp; Markers'!$B$23),"C. Scale workhorse",IF(AND(I60&gt;='Read Me &amp; Markers'!$B$24,I60&lt;'Read Me &amp; Markers'!$B$18,J60&gt;='Read Me &amp; Markers'!$B$25,L60&gt;='Read Me &amp; Markers'!$B$26),"D. Promising (needs more spend)",""))))</f>
        <v/>
      </c>
      <c r="C60" s="4" t="s">
        <v>541</v>
      </c>
      <c r="D60" s="4" t="s">
        <v>109</v>
      </c>
      <c r="E60" s="4" t="s">
        <v>542</v>
      </c>
      <c r="F60" s="4" t="s">
        <v>87</v>
      </c>
      <c r="G60" s="4" t="s">
        <v>286</v>
      </c>
      <c r="H60" s="4" t="s">
        <v>543</v>
      </c>
      <c r="I60" s="5" t="n">
        <v>739.75</v>
      </c>
      <c r="J60" s="7" t="n">
        <v>9</v>
      </c>
      <c r="K60" s="5" t="n">
        <v>347.64</v>
      </c>
      <c r="L60" s="8" t="n">
        <v>0.469943</v>
      </c>
      <c r="M60" s="9" t="n">
        <v>82.19</v>
      </c>
      <c r="N60" s="10" t="n">
        <v>0.02006969</v>
      </c>
      <c r="O60" s="5" t="n">
        <v>103.1</v>
      </c>
      <c r="P60" s="11" t="n">
        <v>1.19305</v>
      </c>
      <c r="Q60" s="7" t="n">
        <v>7175</v>
      </c>
      <c r="R60" s="7" t="n">
        <v>144</v>
      </c>
      <c r="S60" s="7" t="n">
        <v>41</v>
      </c>
      <c r="T60" s="7" t="n">
        <v>32</v>
      </c>
      <c r="U60" s="7" t="n">
        <v>6606</v>
      </c>
      <c r="V60" s="7" t="n">
        <v>2482</v>
      </c>
    </row>
    <row r="61" customFormat="false" ht="15" hidden="false" customHeight="false" outlineLevel="0" collapsed="false">
      <c r="A61" s="4" t="s">
        <v>544</v>
      </c>
      <c r="B61" s="4" t="str">
        <f aca="false">IF(AND(I61&gt;='Read Me &amp; Markers'!$B$18,J61&gt;='Read Me &amp; Markers'!$B$19,L61&gt;='Read Me &amp; Markers'!$B$20),"A. Proven winner",IF(AND(I61&gt;='Read Me &amp; Markers'!$B$18,J61&gt;='Read Me &amp; Markers'!$B$19,L61&gt;='Read Me &amp; Markers'!$B$21),"B. Strong performer",IF(AND(I61&gt;='Read Me &amp; Markers'!$B$22,L61&gt;='Read Me &amp; Markers'!$B$23),"C. Scale workhorse",IF(AND(I61&gt;='Read Me &amp; Markers'!$B$24,I61&lt;'Read Me &amp; Markers'!$B$18,J61&gt;='Read Me &amp; Markers'!$B$25,L61&gt;='Read Me &amp; Markers'!$B$26),"D. Promising (needs more spend)",""))))</f>
        <v/>
      </c>
      <c r="C61" s="4" t="s">
        <v>545</v>
      </c>
      <c r="D61" s="4" t="s">
        <v>109</v>
      </c>
      <c r="E61" s="4" t="s">
        <v>512</v>
      </c>
      <c r="F61" s="4" t="s">
        <v>430</v>
      </c>
      <c r="G61" s="4" t="s">
        <v>490</v>
      </c>
      <c r="H61" s="4" t="s">
        <v>546</v>
      </c>
      <c r="I61" s="5" t="n">
        <v>735.29</v>
      </c>
      <c r="J61" s="7" t="n">
        <v>10</v>
      </c>
      <c r="K61" s="5" t="n">
        <v>649.61</v>
      </c>
      <c r="L61" s="8" t="n">
        <v>0.883475</v>
      </c>
      <c r="M61" s="9" t="n">
        <v>73.53</v>
      </c>
      <c r="N61" s="10" t="n">
        <v>0.03184386</v>
      </c>
      <c r="O61" s="5" t="n">
        <v>94.41</v>
      </c>
      <c r="P61" s="11" t="n">
        <v>1.325391</v>
      </c>
      <c r="Q61" s="7" t="n">
        <v>7788</v>
      </c>
      <c r="R61" s="7" t="n">
        <v>248</v>
      </c>
      <c r="S61" s="7" t="n">
        <v>13</v>
      </c>
      <c r="T61" s="7" t="n">
        <v>32</v>
      </c>
      <c r="U61" s="7" t="n">
        <v>7549</v>
      </c>
      <c r="V61" s="7" t="n">
        <v>1205</v>
      </c>
    </row>
    <row r="62" customFormat="false" ht="15" hidden="false" customHeight="false" outlineLevel="0" collapsed="false">
      <c r="A62" s="4" t="s">
        <v>547</v>
      </c>
      <c r="B62" s="4" t="str">
        <f aca="false">IF(AND(I62&gt;='Read Me &amp; Markers'!$B$18,J62&gt;='Read Me &amp; Markers'!$B$19,L62&gt;='Read Me &amp; Markers'!$B$20),"A. Proven winner",IF(AND(I62&gt;='Read Me &amp; Markers'!$B$18,J62&gt;='Read Me &amp; Markers'!$B$19,L62&gt;='Read Me &amp; Markers'!$B$21),"B. Strong performer",IF(AND(I62&gt;='Read Me &amp; Markers'!$B$22,L62&gt;='Read Me &amp; Markers'!$B$23),"C. Scale workhorse",IF(AND(I62&gt;='Read Me &amp; Markers'!$B$24,I62&lt;'Read Me &amp; Markers'!$B$18,J62&gt;='Read Me &amp; Markers'!$B$25,L62&gt;='Read Me &amp; Markers'!$B$26),"D. Promising (needs more spend)",""))))</f>
        <v/>
      </c>
      <c r="C62" s="4" t="s">
        <v>548</v>
      </c>
      <c r="D62" s="4" t="s">
        <v>109</v>
      </c>
      <c r="E62" s="4" t="s">
        <v>429</v>
      </c>
      <c r="F62" s="4" t="s">
        <v>111</v>
      </c>
      <c r="G62" s="4" t="s">
        <v>431</v>
      </c>
      <c r="H62" s="4" t="s">
        <v>549</v>
      </c>
      <c r="I62" s="5" t="n">
        <v>734.63</v>
      </c>
      <c r="J62" s="7" t="n">
        <v>11</v>
      </c>
      <c r="K62" s="5" t="n">
        <v>651.55</v>
      </c>
      <c r="L62" s="8" t="n">
        <v>0.886909</v>
      </c>
      <c r="M62" s="9" t="n">
        <v>66.78</v>
      </c>
      <c r="N62" s="10" t="n">
        <v>0.09339975</v>
      </c>
      <c r="O62" s="5" t="n">
        <v>228.71</v>
      </c>
      <c r="P62" s="11" t="n">
        <v>1.369723</v>
      </c>
      <c r="Q62" s="7" t="n">
        <v>3212</v>
      </c>
      <c r="R62" s="7" t="n">
        <v>300</v>
      </c>
      <c r="S62" s="7" t="n">
        <v>10</v>
      </c>
      <c r="T62" s="7" t="n">
        <v>27</v>
      </c>
      <c r="U62" s="7" t="n">
        <v>3020</v>
      </c>
      <c r="V62" s="7" t="n">
        <v>655</v>
      </c>
    </row>
    <row r="63" customFormat="false" ht="15" hidden="false" customHeight="false" outlineLevel="0" collapsed="false">
      <c r="A63" s="4" t="s">
        <v>550</v>
      </c>
      <c r="B63" s="4" t="str">
        <f aca="false">IF(AND(I63&gt;='Read Me &amp; Markers'!$B$18,J63&gt;='Read Me &amp; Markers'!$B$19,L63&gt;='Read Me &amp; Markers'!$B$20),"A. Proven winner",IF(AND(I63&gt;='Read Me &amp; Markers'!$B$18,J63&gt;='Read Me &amp; Markers'!$B$19,L63&gt;='Read Me &amp; Markers'!$B$21),"B. Strong performer",IF(AND(I63&gt;='Read Me &amp; Markers'!$B$22,L63&gt;='Read Me &amp; Markers'!$B$23),"C. Scale workhorse",IF(AND(I63&gt;='Read Me &amp; Markers'!$B$24,I63&lt;'Read Me &amp; Markers'!$B$18,J63&gt;='Read Me &amp; Markers'!$B$25,L63&gt;='Read Me &amp; Markers'!$B$26),"D. Promising (needs more spend)",""))))</f>
        <v/>
      </c>
      <c r="C63" s="4" t="s">
        <v>551</v>
      </c>
      <c r="D63" s="4" t="s">
        <v>109</v>
      </c>
      <c r="E63" s="4" t="s">
        <v>552</v>
      </c>
      <c r="F63" s="4" t="s">
        <v>87</v>
      </c>
      <c r="G63" s="4" t="s">
        <v>361</v>
      </c>
      <c r="H63" s="4" t="s">
        <v>553</v>
      </c>
      <c r="I63" s="5" t="n">
        <v>727.18</v>
      </c>
      <c r="J63" s="7" t="n">
        <v>14</v>
      </c>
      <c r="K63" s="5" t="n">
        <v>801.27</v>
      </c>
      <c r="L63" s="8" t="n">
        <v>1.101887</v>
      </c>
      <c r="M63" s="9" t="n">
        <v>51.94</v>
      </c>
      <c r="N63" s="10" t="n">
        <v>0.0689747</v>
      </c>
      <c r="O63" s="5" t="n">
        <v>96.83</v>
      </c>
      <c r="P63" s="11" t="n">
        <v>1.112757</v>
      </c>
      <c r="Q63" s="7" t="n">
        <v>7510</v>
      </c>
      <c r="R63" s="7" t="n">
        <v>518</v>
      </c>
      <c r="S63" s="7" t="n">
        <v>32</v>
      </c>
      <c r="T63" s="7" t="n">
        <v>22</v>
      </c>
      <c r="U63" s="7" t="n">
        <v>7133</v>
      </c>
      <c r="V63" s="7" t="n">
        <v>1088</v>
      </c>
    </row>
    <row r="64" customFormat="false" ht="15" hidden="false" customHeight="false" outlineLevel="0" collapsed="false">
      <c r="A64" s="4" t="s">
        <v>554</v>
      </c>
      <c r="B64" s="4" t="str">
        <f aca="false">IF(AND(I64&gt;='Read Me &amp; Markers'!$B$18,J64&gt;='Read Me &amp; Markers'!$B$19,L64&gt;='Read Me &amp; Markers'!$B$20),"A. Proven winner",IF(AND(I64&gt;='Read Me &amp; Markers'!$B$18,J64&gt;='Read Me &amp; Markers'!$B$19,L64&gt;='Read Me &amp; Markers'!$B$21),"B. Strong performer",IF(AND(I64&gt;='Read Me &amp; Markers'!$B$22,L64&gt;='Read Me &amp; Markers'!$B$23),"C. Scale workhorse",IF(AND(I64&gt;='Read Me &amp; Markers'!$B$24,I64&lt;'Read Me &amp; Markers'!$B$18,J64&gt;='Read Me &amp; Markers'!$B$25,L64&gt;='Read Me &amp; Markers'!$B$26),"D. Promising (needs more spend)",""))))</f>
        <v/>
      </c>
      <c r="C64" s="4" t="s">
        <v>169</v>
      </c>
      <c r="D64" s="4" t="s">
        <v>100</v>
      </c>
      <c r="E64" s="4" t="s">
        <v>555</v>
      </c>
      <c r="F64" s="4" t="s">
        <v>87</v>
      </c>
      <c r="G64" s="4" t="s">
        <v>208</v>
      </c>
      <c r="H64" s="4" t="s">
        <v>556</v>
      </c>
      <c r="I64" s="5" t="n">
        <v>717.95</v>
      </c>
      <c r="J64" s="7" t="n">
        <v>17</v>
      </c>
      <c r="K64" s="5" t="n">
        <v>848.53</v>
      </c>
      <c r="L64" s="8" t="n">
        <v>1.181879</v>
      </c>
      <c r="M64" s="9" t="n">
        <v>42.23</v>
      </c>
      <c r="N64" s="10" t="n">
        <v>0.04748437</v>
      </c>
      <c r="O64" s="5" t="n">
        <v>106.87</v>
      </c>
      <c r="P64" s="11" t="n">
        <v>1.350623</v>
      </c>
      <c r="Q64" s="7" t="n">
        <v>6718</v>
      </c>
      <c r="R64" s="7" t="n">
        <v>319</v>
      </c>
      <c r="S64" s="7" t="n">
        <v>5</v>
      </c>
      <c r="T64" s="7" t="n">
        <v>45</v>
      </c>
      <c r="U64" s="7" t="n">
        <v>6010</v>
      </c>
      <c r="V64" s="7" t="n">
        <v>1217</v>
      </c>
    </row>
    <row r="65" customFormat="false" ht="15" hidden="false" customHeight="false" outlineLevel="0" collapsed="false">
      <c r="A65" s="4" t="s">
        <v>557</v>
      </c>
      <c r="B65" s="4" t="str">
        <f aca="false">IF(AND(I65&gt;='Read Me &amp; Markers'!$B$18,J65&gt;='Read Me &amp; Markers'!$B$19,L65&gt;='Read Me &amp; Markers'!$B$20),"A. Proven winner",IF(AND(I65&gt;='Read Me &amp; Markers'!$B$18,J65&gt;='Read Me &amp; Markers'!$B$19,L65&gt;='Read Me &amp; Markers'!$B$21),"B. Strong performer",IF(AND(I65&gt;='Read Me &amp; Markers'!$B$22,L65&gt;='Read Me &amp; Markers'!$B$23),"C. Scale workhorse",IF(AND(I65&gt;='Read Me &amp; Markers'!$B$24,I65&lt;'Read Me &amp; Markers'!$B$18,J65&gt;='Read Me &amp; Markers'!$B$25,L65&gt;='Read Me &amp; Markers'!$B$26),"D. Promising (needs more spend)",""))))</f>
        <v/>
      </c>
      <c r="C65" s="4" t="s">
        <v>83</v>
      </c>
      <c r="D65" s="4" t="s">
        <v>85</v>
      </c>
      <c r="E65" s="4" t="s">
        <v>558</v>
      </c>
      <c r="F65" s="4" t="s">
        <v>87</v>
      </c>
      <c r="G65" s="4" t="s">
        <v>188</v>
      </c>
      <c r="H65" s="4" t="s">
        <v>559</v>
      </c>
      <c r="I65" s="5" t="n">
        <v>702.29</v>
      </c>
      <c r="J65" s="7" t="n">
        <v>10</v>
      </c>
      <c r="K65" s="5" t="n">
        <v>603.86</v>
      </c>
      <c r="L65" s="8" t="n">
        <v>0.859844</v>
      </c>
      <c r="M65" s="9" t="n">
        <v>70.23</v>
      </c>
      <c r="N65" s="10" t="n">
        <v>0.02135911</v>
      </c>
      <c r="O65" s="5" t="n">
        <v>39.47</v>
      </c>
      <c r="P65" s="11" t="n">
        <v>1.776081</v>
      </c>
      <c r="Q65" s="7" t="n">
        <v>17791</v>
      </c>
      <c r="R65" s="7" t="n">
        <v>380</v>
      </c>
      <c r="S65" s="7" t="n">
        <v>61</v>
      </c>
      <c r="T65" s="7" t="n">
        <v>44</v>
      </c>
      <c r="U65" s="7" t="n">
        <v>13958</v>
      </c>
      <c r="V65" s="7" t="n">
        <v>607</v>
      </c>
    </row>
    <row r="66" customFormat="false" ht="15" hidden="false" customHeight="false" outlineLevel="0" collapsed="false">
      <c r="A66" s="4" t="s">
        <v>560</v>
      </c>
      <c r="B66" s="4" t="str">
        <f aca="false">IF(AND(I66&gt;='Read Me &amp; Markers'!$B$18,J66&gt;='Read Me &amp; Markers'!$B$19,L66&gt;='Read Me &amp; Markers'!$B$20),"A. Proven winner",IF(AND(I66&gt;='Read Me &amp; Markers'!$B$18,J66&gt;='Read Me &amp; Markers'!$B$19,L66&gt;='Read Me &amp; Markers'!$B$21),"B. Strong performer",IF(AND(I66&gt;='Read Me &amp; Markers'!$B$22,L66&gt;='Read Me &amp; Markers'!$B$23),"C. Scale workhorse",IF(AND(I66&gt;='Read Me &amp; Markers'!$B$24,I66&lt;'Read Me &amp; Markers'!$B$18,J66&gt;='Read Me &amp; Markers'!$B$25,L66&gt;='Read Me &amp; Markers'!$B$26),"D. Promising (needs more spend)",""))))</f>
        <v/>
      </c>
      <c r="C66" s="4" t="s">
        <v>169</v>
      </c>
      <c r="D66" s="4" t="s">
        <v>100</v>
      </c>
      <c r="E66" s="4" t="s">
        <v>561</v>
      </c>
      <c r="F66" s="4" t="s">
        <v>87</v>
      </c>
      <c r="G66" s="4" t="s">
        <v>88</v>
      </c>
      <c r="H66" s="4" t="s">
        <v>562</v>
      </c>
      <c r="I66" s="5" t="n">
        <v>698.49</v>
      </c>
      <c r="J66" s="7" t="n">
        <v>8</v>
      </c>
      <c r="K66" s="5" t="n">
        <v>685.76</v>
      </c>
      <c r="L66" s="8" t="n">
        <v>0.981775</v>
      </c>
      <c r="M66" s="9" t="n">
        <v>87.31</v>
      </c>
      <c r="N66" s="10" t="n">
        <v>0.02851614</v>
      </c>
      <c r="O66" s="5" t="n">
        <v>71.14</v>
      </c>
      <c r="P66" s="11" t="n">
        <v>1.484578</v>
      </c>
      <c r="Q66" s="7" t="n">
        <v>9819</v>
      </c>
      <c r="R66" s="7" t="n">
        <v>280</v>
      </c>
      <c r="S66" s="7" t="n">
        <v>49</v>
      </c>
      <c r="T66" s="7" t="n">
        <v>39</v>
      </c>
      <c r="U66" s="7" t="n">
        <v>8759</v>
      </c>
      <c r="V66" s="7" t="n">
        <v>540</v>
      </c>
    </row>
    <row r="67" customFormat="false" ht="15" hidden="false" customHeight="false" outlineLevel="0" collapsed="false">
      <c r="A67" s="4" t="s">
        <v>327</v>
      </c>
      <c r="B67" s="4" t="str">
        <f aca="false">IF(AND(I67&gt;='Read Me &amp; Markers'!$B$18,J67&gt;='Read Me &amp; Markers'!$B$19,L67&gt;='Read Me &amp; Markers'!$B$20),"A. Proven winner",IF(AND(I67&gt;='Read Me &amp; Markers'!$B$18,J67&gt;='Read Me &amp; Markers'!$B$19,L67&gt;='Read Me &amp; Markers'!$B$21),"B. Strong performer",IF(AND(I67&gt;='Read Me &amp; Markers'!$B$22,L67&gt;='Read Me &amp; Markers'!$B$23),"C. Scale workhorse",IF(AND(I67&gt;='Read Me &amp; Markers'!$B$24,I67&lt;'Read Me &amp; Markers'!$B$18,J67&gt;='Read Me &amp; Markers'!$B$25,L67&gt;='Read Me &amp; Markers'!$B$26),"D. Promising (needs more spend)",""))))</f>
        <v>D. Promising (needs more spend)</v>
      </c>
      <c r="C67" s="4" t="s">
        <v>169</v>
      </c>
      <c r="D67" s="4" t="s">
        <v>206</v>
      </c>
      <c r="E67" s="4" t="s">
        <v>328</v>
      </c>
      <c r="F67" s="4" t="s">
        <v>253</v>
      </c>
      <c r="G67" s="4" t="s">
        <v>254</v>
      </c>
      <c r="H67" s="4" t="s">
        <v>331</v>
      </c>
      <c r="I67" s="5" t="n">
        <v>672.95</v>
      </c>
      <c r="J67" s="7" t="n">
        <v>17</v>
      </c>
      <c r="K67" s="5" t="n">
        <v>1031.71</v>
      </c>
      <c r="L67" s="8" t="n">
        <v>1.533115</v>
      </c>
      <c r="M67" s="9" t="n">
        <v>39.59</v>
      </c>
      <c r="N67" s="10" t="n">
        <v>0.04424635</v>
      </c>
      <c r="O67" s="5" t="n">
        <v>109.07</v>
      </c>
      <c r="P67" s="11" t="n">
        <v>1.176358</v>
      </c>
      <c r="Q67" s="7" t="n">
        <v>6170</v>
      </c>
      <c r="R67" s="7" t="n">
        <v>273</v>
      </c>
      <c r="S67" s="7" t="n">
        <v>45</v>
      </c>
      <c r="T67" s="7" t="n">
        <v>37</v>
      </c>
      <c r="U67" s="7" t="n">
        <v>5724</v>
      </c>
      <c r="V67" s="7" t="n">
        <v>1049</v>
      </c>
    </row>
    <row r="68" customFormat="false" ht="15" hidden="false" customHeight="false" outlineLevel="0" collapsed="false">
      <c r="A68" s="4" t="s">
        <v>563</v>
      </c>
      <c r="B68" s="4" t="str">
        <f aca="false">IF(AND(I68&gt;='Read Me &amp; Markers'!$B$18,J68&gt;='Read Me &amp; Markers'!$B$19,L68&gt;='Read Me &amp; Markers'!$B$20),"A. Proven winner",IF(AND(I68&gt;='Read Me &amp; Markers'!$B$18,J68&gt;='Read Me &amp; Markers'!$B$19,L68&gt;='Read Me &amp; Markers'!$B$21),"B. Strong performer",IF(AND(I68&gt;='Read Me &amp; Markers'!$B$22,L68&gt;='Read Me &amp; Markers'!$B$23),"C. Scale workhorse",IF(AND(I68&gt;='Read Me &amp; Markers'!$B$24,I68&lt;'Read Me &amp; Markers'!$B$18,J68&gt;='Read Me &amp; Markers'!$B$25,L68&gt;='Read Me &amp; Markers'!$B$26),"D. Promising (needs more spend)",""))))</f>
        <v/>
      </c>
      <c r="C68" s="4" t="s">
        <v>121</v>
      </c>
      <c r="D68" s="4" t="s">
        <v>100</v>
      </c>
      <c r="E68" s="4" t="s">
        <v>564</v>
      </c>
      <c r="F68" s="4" t="s">
        <v>87</v>
      </c>
      <c r="G68" s="4" t="s">
        <v>254</v>
      </c>
      <c r="H68" s="4" t="s">
        <v>565</v>
      </c>
      <c r="I68" s="5" t="n">
        <v>658.95</v>
      </c>
      <c r="J68" s="7" t="n">
        <v>6</v>
      </c>
      <c r="K68" s="5" t="n">
        <v>275.7</v>
      </c>
      <c r="L68" s="8" t="n">
        <v>0.418393</v>
      </c>
      <c r="M68" s="9" t="n">
        <v>109.83</v>
      </c>
      <c r="N68" s="10" t="n">
        <v>0.03237705</v>
      </c>
      <c r="O68" s="5" t="n">
        <v>67.52</v>
      </c>
      <c r="P68" s="11" t="n">
        <v>1.29186</v>
      </c>
      <c r="Q68" s="7" t="n">
        <v>9760</v>
      </c>
      <c r="R68" s="7" t="n">
        <v>316</v>
      </c>
      <c r="S68" s="7" t="n">
        <v>31</v>
      </c>
      <c r="T68" s="7" t="n">
        <v>23</v>
      </c>
      <c r="U68" s="7" t="n">
        <v>9131</v>
      </c>
      <c r="V68" s="7" t="n">
        <v>1205</v>
      </c>
    </row>
    <row r="69" customFormat="false" ht="15" hidden="false" customHeight="false" outlineLevel="0" collapsed="false">
      <c r="A69" s="4" t="s">
        <v>566</v>
      </c>
      <c r="B69" s="4" t="str">
        <f aca="false">IF(AND(I69&gt;='Read Me &amp; Markers'!$B$18,J69&gt;='Read Me &amp; Markers'!$B$19,L69&gt;='Read Me &amp; Markers'!$B$20),"A. Proven winner",IF(AND(I69&gt;='Read Me &amp; Markers'!$B$18,J69&gt;='Read Me &amp; Markers'!$B$19,L69&gt;='Read Me &amp; Markers'!$B$21),"B. Strong performer",IF(AND(I69&gt;='Read Me &amp; Markers'!$B$22,L69&gt;='Read Me &amp; Markers'!$B$23),"C. Scale workhorse",IF(AND(I69&gt;='Read Me &amp; Markers'!$B$24,I69&lt;'Read Me &amp; Markers'!$B$18,J69&gt;='Read Me &amp; Markers'!$B$25,L69&gt;='Read Me &amp; Markers'!$B$26),"D. Promising (needs more spend)",""))))</f>
        <v/>
      </c>
      <c r="C69" s="4" t="s">
        <v>83</v>
      </c>
      <c r="D69" s="4" t="s">
        <v>228</v>
      </c>
      <c r="E69" s="4" t="s">
        <v>567</v>
      </c>
      <c r="F69" s="4" t="s">
        <v>230</v>
      </c>
      <c r="G69" s="4" t="s">
        <v>568</v>
      </c>
      <c r="H69" s="4" t="s">
        <v>569</v>
      </c>
      <c r="I69" s="5" t="n">
        <v>649.25</v>
      </c>
      <c r="J69" s="7" t="n">
        <v>7</v>
      </c>
      <c r="K69" s="5" t="n">
        <v>443.72</v>
      </c>
      <c r="L69" s="8" t="n">
        <v>0.683435</v>
      </c>
      <c r="M69" s="9" t="n">
        <v>92.75</v>
      </c>
      <c r="N69" s="10" t="n">
        <v>0.02588419</v>
      </c>
      <c r="O69" s="5" t="n">
        <v>72.44</v>
      </c>
      <c r="P69" s="11" t="n">
        <v>1.50285</v>
      </c>
      <c r="Q69" s="7" t="n">
        <v>8963</v>
      </c>
      <c r="R69" s="7" t="n">
        <v>232</v>
      </c>
      <c r="S69" s="7" t="n">
        <v>10</v>
      </c>
      <c r="T69" s="7" t="n">
        <v>25</v>
      </c>
      <c r="U69" s="7" t="n">
        <v>5789</v>
      </c>
      <c r="V69" s="7" t="n">
        <v>584</v>
      </c>
    </row>
    <row r="70" customFormat="false" ht="15" hidden="false" customHeight="false" outlineLevel="0" collapsed="false">
      <c r="A70" s="4" t="s">
        <v>570</v>
      </c>
      <c r="B70" s="4" t="str">
        <f aca="false">IF(AND(I70&gt;='Read Me &amp; Markers'!$B$18,J70&gt;='Read Me &amp; Markers'!$B$19,L70&gt;='Read Me &amp; Markers'!$B$20),"A. Proven winner",IF(AND(I70&gt;='Read Me &amp; Markers'!$B$18,J70&gt;='Read Me &amp; Markers'!$B$19,L70&gt;='Read Me &amp; Markers'!$B$21),"B. Strong performer",IF(AND(I70&gt;='Read Me &amp; Markers'!$B$22,L70&gt;='Read Me &amp; Markers'!$B$23),"C. Scale workhorse",IF(AND(I70&gt;='Read Me &amp; Markers'!$B$24,I70&lt;'Read Me &amp; Markers'!$B$18,J70&gt;='Read Me &amp; Markers'!$B$25,L70&gt;='Read Me &amp; Markers'!$B$26),"D. Promising (needs more spend)",""))))</f>
        <v/>
      </c>
      <c r="C70" s="4" t="s">
        <v>571</v>
      </c>
      <c r="D70" s="4" t="s">
        <v>109</v>
      </c>
      <c r="E70" s="4" t="s">
        <v>572</v>
      </c>
      <c r="F70" s="4" t="s">
        <v>87</v>
      </c>
      <c r="G70" s="4" t="s">
        <v>378</v>
      </c>
      <c r="H70" s="4" t="s">
        <v>573</v>
      </c>
      <c r="I70" s="5" t="n">
        <v>629.71</v>
      </c>
      <c r="J70" s="7" t="n">
        <v>9</v>
      </c>
      <c r="K70" s="5" t="n">
        <v>639.72</v>
      </c>
      <c r="L70" s="8" t="n">
        <v>1.015896</v>
      </c>
      <c r="M70" s="9" t="n">
        <v>69.97</v>
      </c>
      <c r="N70" s="10" t="n">
        <v>0.02006216</v>
      </c>
      <c r="O70" s="5" t="n">
        <v>59.31</v>
      </c>
      <c r="P70" s="11" t="n">
        <v>1.742777</v>
      </c>
      <c r="Q70" s="7" t="n">
        <v>10617</v>
      </c>
      <c r="R70" s="7" t="n">
        <v>213</v>
      </c>
      <c r="S70" s="7" t="n">
        <v>8</v>
      </c>
      <c r="T70" s="7" t="n">
        <v>50</v>
      </c>
      <c r="U70" s="7" t="n">
        <v>0</v>
      </c>
      <c r="V70" s="7" t="n">
        <v>0</v>
      </c>
    </row>
    <row r="71" customFormat="false" ht="15" hidden="false" customHeight="false" outlineLevel="0" collapsed="false">
      <c r="A71" s="4" t="s">
        <v>574</v>
      </c>
      <c r="B71" s="4" t="str">
        <f aca="false">IF(AND(I71&gt;='Read Me &amp; Markers'!$B$18,J71&gt;='Read Me &amp; Markers'!$B$19,L71&gt;='Read Me &amp; Markers'!$B$20),"A. Proven winner",IF(AND(I71&gt;='Read Me &amp; Markers'!$B$18,J71&gt;='Read Me &amp; Markers'!$B$19,L71&gt;='Read Me &amp; Markers'!$B$21),"B. Strong performer",IF(AND(I71&gt;='Read Me &amp; Markers'!$B$22,L71&gt;='Read Me &amp; Markers'!$B$23),"C. Scale workhorse",IF(AND(I71&gt;='Read Me &amp; Markers'!$B$24,I71&lt;'Read Me &amp; Markers'!$B$18,J71&gt;='Read Me &amp; Markers'!$B$25,L71&gt;='Read Me &amp; Markers'!$B$26),"D. Promising (needs more spend)",""))))</f>
        <v/>
      </c>
      <c r="C71" s="4" t="s">
        <v>192</v>
      </c>
      <c r="D71" s="4" t="s">
        <v>228</v>
      </c>
      <c r="E71" s="4" t="s">
        <v>575</v>
      </c>
      <c r="F71" s="4" t="s">
        <v>230</v>
      </c>
      <c r="G71" s="4" t="s">
        <v>262</v>
      </c>
      <c r="H71" s="4" t="s">
        <v>576</v>
      </c>
      <c r="I71" s="5" t="n">
        <v>620.67</v>
      </c>
      <c r="J71" s="7" t="n">
        <v>10</v>
      </c>
      <c r="K71" s="5" t="n">
        <v>546.02</v>
      </c>
      <c r="L71" s="8" t="n">
        <v>0.879727</v>
      </c>
      <c r="M71" s="9" t="n">
        <v>62.07</v>
      </c>
      <c r="N71" s="10" t="n">
        <v>0.0291831</v>
      </c>
      <c r="O71" s="5" t="n">
        <v>69.93</v>
      </c>
      <c r="P71" s="11" t="n">
        <v>1.646568</v>
      </c>
      <c r="Q71" s="7" t="n">
        <v>8875</v>
      </c>
      <c r="R71" s="7" t="n">
        <v>259</v>
      </c>
      <c r="S71" s="7" t="n">
        <v>7</v>
      </c>
      <c r="T71" s="7" t="n">
        <v>25</v>
      </c>
      <c r="U71" s="7" t="n">
        <v>7527</v>
      </c>
      <c r="V71" s="7" t="n">
        <v>700</v>
      </c>
    </row>
    <row r="72" customFormat="false" ht="15" hidden="false" customHeight="false" outlineLevel="0" collapsed="false">
      <c r="A72" s="4" t="s">
        <v>577</v>
      </c>
      <c r="B72" s="4" t="str">
        <f aca="false">IF(AND(I72&gt;='Read Me &amp; Markers'!$B$18,J72&gt;='Read Me &amp; Markers'!$B$19,L72&gt;='Read Me &amp; Markers'!$B$20),"A. Proven winner",IF(AND(I72&gt;='Read Me &amp; Markers'!$B$18,J72&gt;='Read Me &amp; Markers'!$B$19,L72&gt;='Read Me &amp; Markers'!$B$21),"B. Strong performer",IF(AND(I72&gt;='Read Me &amp; Markers'!$B$22,L72&gt;='Read Me &amp; Markers'!$B$23),"C. Scale workhorse",IF(AND(I72&gt;='Read Me &amp; Markers'!$B$24,I72&lt;'Read Me &amp; Markers'!$B$18,J72&gt;='Read Me &amp; Markers'!$B$25,L72&gt;='Read Me &amp; Markers'!$B$26),"D. Promising (needs more spend)",""))))</f>
        <v/>
      </c>
      <c r="C72" s="4" t="s">
        <v>302</v>
      </c>
      <c r="D72" s="4" t="s">
        <v>528</v>
      </c>
      <c r="E72" s="4" t="s">
        <v>578</v>
      </c>
      <c r="F72" s="4" t="s">
        <v>230</v>
      </c>
      <c r="G72" s="4" t="s">
        <v>530</v>
      </c>
      <c r="H72" s="4" t="s">
        <v>579</v>
      </c>
      <c r="I72" s="5" t="n">
        <v>620.45</v>
      </c>
      <c r="J72" s="7" t="n">
        <v>13</v>
      </c>
      <c r="K72" s="5" t="n">
        <v>509.74</v>
      </c>
      <c r="L72" s="8" t="n">
        <v>0.821565</v>
      </c>
      <c r="M72" s="9" t="n">
        <v>47.73</v>
      </c>
      <c r="N72" s="10" t="n">
        <v>0.06424581</v>
      </c>
      <c r="O72" s="5" t="n">
        <v>115.54</v>
      </c>
      <c r="P72" s="11" t="n">
        <v>1.178666</v>
      </c>
      <c r="Q72" s="7" t="n">
        <v>5370</v>
      </c>
      <c r="R72" s="7" t="n">
        <v>345</v>
      </c>
      <c r="S72" s="7" t="n">
        <v>36</v>
      </c>
      <c r="T72" s="7" t="n">
        <v>35</v>
      </c>
      <c r="U72" s="7" t="n">
        <v>4947</v>
      </c>
      <c r="V72" s="7" t="n">
        <v>766</v>
      </c>
    </row>
    <row r="73" customFormat="false" ht="15" hidden="false" customHeight="false" outlineLevel="0" collapsed="false">
      <c r="A73" s="4" t="s">
        <v>580</v>
      </c>
      <c r="B73" s="4" t="str">
        <f aca="false">IF(AND(I73&gt;='Read Me &amp; Markers'!$B$18,J73&gt;='Read Me &amp; Markers'!$B$19,L73&gt;='Read Me &amp; Markers'!$B$20),"A. Proven winner",IF(AND(I73&gt;='Read Me &amp; Markers'!$B$18,J73&gt;='Read Me &amp; Markers'!$B$19,L73&gt;='Read Me &amp; Markers'!$B$21),"B. Strong performer",IF(AND(I73&gt;='Read Me &amp; Markers'!$B$22,L73&gt;='Read Me &amp; Markers'!$B$23),"C. Scale workhorse",IF(AND(I73&gt;='Read Me &amp; Markers'!$B$24,I73&lt;'Read Me &amp; Markers'!$B$18,J73&gt;='Read Me &amp; Markers'!$B$25,L73&gt;='Read Me &amp; Markers'!$B$26),"D. Promising (needs more spend)",""))))</f>
        <v/>
      </c>
      <c r="C73" s="4" t="s">
        <v>581</v>
      </c>
      <c r="D73" s="4" t="s">
        <v>109</v>
      </c>
      <c r="E73" s="4" t="s">
        <v>582</v>
      </c>
      <c r="F73" s="4" t="s">
        <v>87</v>
      </c>
      <c r="G73" s="4" t="s">
        <v>583</v>
      </c>
      <c r="H73" s="4" t="s">
        <v>584</v>
      </c>
      <c r="I73" s="5" t="n">
        <v>619.78</v>
      </c>
      <c r="J73" s="7" t="n">
        <v>13</v>
      </c>
      <c r="K73" s="5" t="n">
        <v>672.02</v>
      </c>
      <c r="L73" s="8" t="n">
        <v>1.084288</v>
      </c>
      <c r="M73" s="9" t="n">
        <v>47.68</v>
      </c>
      <c r="N73" s="10" t="n">
        <v>0.07768801</v>
      </c>
      <c r="O73" s="5" t="n">
        <v>192.6</v>
      </c>
      <c r="P73" s="11" t="n">
        <v>1.152579</v>
      </c>
      <c r="Q73" s="7" t="n">
        <v>3218</v>
      </c>
      <c r="R73" s="7" t="n">
        <v>250</v>
      </c>
      <c r="S73" s="7" t="n">
        <v>12</v>
      </c>
      <c r="T73" s="7" t="n">
        <v>54</v>
      </c>
      <c r="U73" s="7" t="n">
        <v>3044</v>
      </c>
      <c r="V73" s="7" t="n">
        <v>845</v>
      </c>
    </row>
    <row r="74" customFormat="false" ht="15" hidden="false" customHeight="false" outlineLevel="0" collapsed="false">
      <c r="A74" s="4" t="s">
        <v>585</v>
      </c>
      <c r="B74" s="4" t="str">
        <f aca="false">IF(AND(I74&gt;='Read Me &amp; Markers'!$B$18,J74&gt;='Read Me &amp; Markers'!$B$19,L74&gt;='Read Me &amp; Markers'!$B$20),"A. Proven winner",IF(AND(I74&gt;='Read Me &amp; Markers'!$B$18,J74&gt;='Read Me &amp; Markers'!$B$19,L74&gt;='Read Me &amp; Markers'!$B$21),"B. Strong performer",IF(AND(I74&gt;='Read Me &amp; Markers'!$B$22,L74&gt;='Read Me &amp; Markers'!$B$23),"C. Scale workhorse",IF(AND(I74&gt;='Read Me &amp; Markers'!$B$24,I74&lt;'Read Me &amp; Markers'!$B$18,J74&gt;='Read Me &amp; Markers'!$B$25,L74&gt;='Read Me &amp; Markers'!$B$26),"D. Promising (needs more spend)",""))))</f>
        <v/>
      </c>
      <c r="C74" s="4" t="s">
        <v>586</v>
      </c>
      <c r="D74" s="4" t="s">
        <v>109</v>
      </c>
      <c r="E74" s="4" t="s">
        <v>587</v>
      </c>
      <c r="F74" s="4" t="s">
        <v>111</v>
      </c>
      <c r="G74" s="4" t="s">
        <v>588</v>
      </c>
      <c r="H74" s="4" t="s">
        <v>589</v>
      </c>
      <c r="I74" s="5" t="n">
        <v>617.31</v>
      </c>
      <c r="J74" s="7" t="n">
        <v>10</v>
      </c>
      <c r="K74" s="5" t="n">
        <v>633.96</v>
      </c>
      <c r="L74" s="8" t="n">
        <v>1.026972</v>
      </c>
      <c r="M74" s="9" t="n">
        <v>61.73</v>
      </c>
      <c r="N74" s="10" t="n">
        <v>0.04102977</v>
      </c>
      <c r="O74" s="5" t="n">
        <v>124.16</v>
      </c>
      <c r="P74" s="11" t="n">
        <v>1.511246</v>
      </c>
      <c r="Q74" s="7" t="n">
        <v>4972</v>
      </c>
      <c r="R74" s="7" t="n">
        <v>204</v>
      </c>
      <c r="S74" s="7" t="n">
        <v>3</v>
      </c>
      <c r="T74" s="7" t="n">
        <v>18</v>
      </c>
      <c r="U74" s="7" t="n">
        <v>4413</v>
      </c>
      <c r="V74" s="7" t="n">
        <v>396</v>
      </c>
    </row>
    <row r="75" customFormat="false" ht="15" hidden="false" customHeight="false" outlineLevel="0" collapsed="false">
      <c r="A75" s="4" t="s">
        <v>590</v>
      </c>
      <c r="B75" s="4" t="str">
        <f aca="false">IF(AND(I75&gt;='Read Me &amp; Markers'!$B$18,J75&gt;='Read Me &amp; Markers'!$B$19,L75&gt;='Read Me &amp; Markers'!$B$20),"A. Proven winner",IF(AND(I75&gt;='Read Me &amp; Markers'!$B$18,J75&gt;='Read Me &amp; Markers'!$B$19,L75&gt;='Read Me &amp; Markers'!$B$21),"B. Strong performer",IF(AND(I75&gt;='Read Me &amp; Markers'!$B$22,L75&gt;='Read Me &amp; Markers'!$B$23),"C. Scale workhorse",IF(AND(I75&gt;='Read Me &amp; Markers'!$B$24,I75&lt;'Read Me &amp; Markers'!$B$18,J75&gt;='Read Me &amp; Markers'!$B$25,L75&gt;='Read Me &amp; Markers'!$B$26),"D. Promising (needs more spend)",""))))</f>
        <v/>
      </c>
      <c r="C75" s="4" t="s">
        <v>129</v>
      </c>
      <c r="D75" s="4" t="s">
        <v>206</v>
      </c>
      <c r="E75" s="4" t="s">
        <v>591</v>
      </c>
      <c r="F75" s="4" t="s">
        <v>253</v>
      </c>
      <c r="G75" s="4" t="s">
        <v>208</v>
      </c>
      <c r="H75" s="4" t="s">
        <v>592</v>
      </c>
      <c r="I75" s="5" t="n">
        <v>614.35</v>
      </c>
      <c r="J75" s="7" t="n">
        <v>12</v>
      </c>
      <c r="K75" s="5" t="n">
        <v>621.84</v>
      </c>
      <c r="L75" s="8" t="n">
        <v>1.012192</v>
      </c>
      <c r="M75" s="9" t="n">
        <v>51.2</v>
      </c>
      <c r="N75" s="10" t="n">
        <v>0.04058252</v>
      </c>
      <c r="O75" s="5" t="n">
        <v>119.29</v>
      </c>
      <c r="P75" s="11" t="n">
        <v>1.162791</v>
      </c>
      <c r="Q75" s="7" t="n">
        <v>5150</v>
      </c>
      <c r="R75" s="7" t="n">
        <v>209</v>
      </c>
      <c r="S75" s="7" t="n">
        <v>33</v>
      </c>
      <c r="T75" s="7" t="n">
        <v>32</v>
      </c>
      <c r="U75" s="7" t="n">
        <v>4806</v>
      </c>
      <c r="V75" s="7" t="n">
        <v>1144</v>
      </c>
    </row>
    <row r="76" customFormat="false" ht="15" hidden="false" customHeight="false" outlineLevel="0" collapsed="false">
      <c r="A76" s="4" t="s">
        <v>593</v>
      </c>
      <c r="B76" s="4" t="str">
        <f aca="false">IF(AND(I76&gt;='Read Me &amp; Markers'!$B$18,J76&gt;='Read Me &amp; Markers'!$B$19,L76&gt;='Read Me &amp; Markers'!$B$20),"A. Proven winner",IF(AND(I76&gt;='Read Me &amp; Markers'!$B$18,J76&gt;='Read Me &amp; Markers'!$B$19,L76&gt;='Read Me &amp; Markers'!$B$21),"B. Strong performer",IF(AND(I76&gt;='Read Me &amp; Markers'!$B$22,L76&gt;='Read Me &amp; Markers'!$B$23),"C. Scale workhorse",IF(AND(I76&gt;='Read Me &amp; Markers'!$B$24,I76&lt;'Read Me &amp; Markers'!$B$18,J76&gt;='Read Me &amp; Markers'!$B$25,L76&gt;='Read Me &amp; Markers'!$B$26),"D. Promising (needs more spend)",""))))</f>
        <v/>
      </c>
      <c r="C76" s="4" t="s">
        <v>594</v>
      </c>
      <c r="D76" s="4" t="s">
        <v>109</v>
      </c>
      <c r="E76" s="4" t="s">
        <v>424</v>
      </c>
      <c r="F76" s="4" t="s">
        <v>87</v>
      </c>
      <c r="G76" s="4" t="s">
        <v>425</v>
      </c>
      <c r="H76" s="4" t="s">
        <v>595</v>
      </c>
      <c r="I76" s="5" t="n">
        <v>594.04</v>
      </c>
      <c r="J76" s="7" t="n">
        <v>5</v>
      </c>
      <c r="K76" s="5" t="n">
        <v>317.83</v>
      </c>
      <c r="L76" s="8" t="n">
        <v>0.535031</v>
      </c>
      <c r="M76" s="9" t="n">
        <v>118.81</v>
      </c>
      <c r="N76" s="10" t="n">
        <v>0.0422666</v>
      </c>
      <c r="O76" s="5" t="n">
        <v>137.96</v>
      </c>
      <c r="P76" s="11" t="n">
        <v>1.393979</v>
      </c>
      <c r="Q76" s="7" t="n">
        <v>4306</v>
      </c>
      <c r="R76" s="7" t="n">
        <v>182</v>
      </c>
      <c r="S76" s="7" t="n">
        <v>11</v>
      </c>
      <c r="T76" s="7" t="n">
        <v>15</v>
      </c>
      <c r="U76" s="7" t="n">
        <v>3996</v>
      </c>
      <c r="V76" s="7" t="n">
        <v>1035</v>
      </c>
    </row>
    <row r="77" customFormat="false" ht="15" hidden="false" customHeight="false" outlineLevel="0" collapsed="false">
      <c r="A77" s="4" t="s">
        <v>596</v>
      </c>
      <c r="B77" s="4" t="str">
        <f aca="false">IF(AND(I77&gt;='Read Me &amp; Markers'!$B$18,J77&gt;='Read Me &amp; Markers'!$B$19,L77&gt;='Read Me &amp; Markers'!$B$20),"A. Proven winner",IF(AND(I77&gt;='Read Me &amp; Markers'!$B$18,J77&gt;='Read Me &amp; Markers'!$B$19,L77&gt;='Read Me &amp; Markers'!$B$21),"B. Strong performer",IF(AND(I77&gt;='Read Me &amp; Markers'!$B$22,L77&gt;='Read Me &amp; Markers'!$B$23),"C. Scale workhorse",IF(AND(I77&gt;='Read Me &amp; Markers'!$B$24,I77&lt;'Read Me &amp; Markers'!$B$18,J77&gt;='Read Me &amp; Markers'!$B$25,L77&gt;='Read Me &amp; Markers'!$B$26),"D. Promising (needs more spend)",""))))</f>
        <v/>
      </c>
      <c r="C77" s="4" t="s">
        <v>597</v>
      </c>
      <c r="D77" s="4" t="s">
        <v>228</v>
      </c>
      <c r="E77" s="4" t="s">
        <v>598</v>
      </c>
      <c r="F77" s="4" t="s">
        <v>230</v>
      </c>
      <c r="G77" s="4" t="s">
        <v>599</v>
      </c>
      <c r="H77" s="4" t="s">
        <v>600</v>
      </c>
      <c r="I77" s="5" t="n">
        <v>591.16</v>
      </c>
      <c r="J77" s="7" t="n">
        <v>9</v>
      </c>
      <c r="K77" s="5" t="n">
        <v>572.04</v>
      </c>
      <c r="L77" s="8" t="n">
        <v>0.967657</v>
      </c>
      <c r="M77" s="9" t="n">
        <v>65.68</v>
      </c>
      <c r="N77" s="10" t="n">
        <v>0.06169666</v>
      </c>
      <c r="O77" s="5" t="n">
        <v>126.64</v>
      </c>
      <c r="P77" s="11" t="n">
        <v>1.293075</v>
      </c>
      <c r="Q77" s="7" t="n">
        <v>4668</v>
      </c>
      <c r="R77" s="7" t="n">
        <v>288</v>
      </c>
      <c r="S77" s="7" t="n">
        <v>5</v>
      </c>
      <c r="T77" s="7" t="n">
        <v>19</v>
      </c>
      <c r="U77" s="7" t="n">
        <v>4247</v>
      </c>
      <c r="V77" s="7" t="n">
        <v>1105</v>
      </c>
    </row>
    <row r="78" customFormat="false" ht="15" hidden="false" customHeight="false" outlineLevel="0" collapsed="false">
      <c r="A78" s="4" t="s">
        <v>389</v>
      </c>
      <c r="B78" s="4" t="str">
        <f aca="false">IF(AND(I78&gt;='Read Me &amp; Markers'!$B$18,J78&gt;='Read Me &amp; Markers'!$B$19,L78&gt;='Read Me &amp; Markers'!$B$20),"A. Proven winner",IF(AND(I78&gt;='Read Me &amp; Markers'!$B$18,J78&gt;='Read Me &amp; Markers'!$B$19,L78&gt;='Read Me &amp; Markers'!$B$21),"B. Strong performer",IF(AND(I78&gt;='Read Me &amp; Markers'!$B$22,L78&gt;='Read Me &amp; Markers'!$B$23),"C. Scale workhorse",IF(AND(I78&gt;='Read Me &amp; Markers'!$B$24,I78&lt;'Read Me &amp; Markers'!$B$18,J78&gt;='Read Me &amp; Markers'!$B$25,L78&gt;='Read Me &amp; Markers'!$B$26),"D. Promising (needs more spend)",""))))</f>
        <v>D. Promising (needs more spend)</v>
      </c>
      <c r="C78" s="4" t="s">
        <v>388</v>
      </c>
      <c r="D78" s="4" t="s">
        <v>100</v>
      </c>
      <c r="E78" s="4" t="s">
        <v>309</v>
      </c>
      <c r="F78" s="4" t="s">
        <v>87</v>
      </c>
      <c r="G78" s="4" t="s">
        <v>310</v>
      </c>
      <c r="H78" s="4" t="s">
        <v>391</v>
      </c>
      <c r="I78" s="5" t="n">
        <v>590.51</v>
      </c>
      <c r="J78" s="7" t="n">
        <v>12</v>
      </c>
      <c r="K78" s="5" t="n">
        <v>777.86</v>
      </c>
      <c r="L78" s="8" t="n">
        <v>1.317268</v>
      </c>
      <c r="M78" s="9" t="n">
        <v>49.21</v>
      </c>
      <c r="N78" s="10" t="n">
        <v>0.02336835</v>
      </c>
      <c r="O78" s="5" t="n">
        <v>69.69</v>
      </c>
      <c r="P78" s="11" t="n">
        <v>1.483368</v>
      </c>
      <c r="Q78" s="7" t="n">
        <v>8473</v>
      </c>
      <c r="R78" s="7" t="n">
        <v>198</v>
      </c>
      <c r="S78" s="7" t="n">
        <v>40</v>
      </c>
      <c r="T78" s="7" t="n">
        <v>30</v>
      </c>
      <c r="U78" s="7" t="n">
        <v>7536</v>
      </c>
      <c r="V78" s="7" t="n">
        <v>482</v>
      </c>
    </row>
    <row r="79" customFormat="false" ht="15" hidden="false" customHeight="false" outlineLevel="0" collapsed="false">
      <c r="A79" s="4" t="s">
        <v>601</v>
      </c>
      <c r="B79" s="4" t="str">
        <f aca="false">IF(AND(I79&gt;='Read Me &amp; Markers'!$B$18,J79&gt;='Read Me &amp; Markers'!$B$19,L79&gt;='Read Me &amp; Markers'!$B$20),"A. Proven winner",IF(AND(I79&gt;='Read Me &amp; Markers'!$B$18,J79&gt;='Read Me &amp; Markers'!$B$19,L79&gt;='Read Me &amp; Markers'!$B$21),"B. Strong performer",IF(AND(I79&gt;='Read Me &amp; Markers'!$B$22,L79&gt;='Read Me &amp; Markers'!$B$23),"C. Scale workhorse",IF(AND(I79&gt;='Read Me &amp; Markers'!$B$24,I79&lt;'Read Me &amp; Markers'!$B$18,J79&gt;='Read Me &amp; Markers'!$B$25,L79&gt;='Read Me &amp; Markers'!$B$26),"D. Promising (needs more spend)",""))))</f>
        <v/>
      </c>
      <c r="C79" s="4" t="s">
        <v>602</v>
      </c>
      <c r="D79" s="4" t="s">
        <v>109</v>
      </c>
      <c r="E79" s="4" t="s">
        <v>435</v>
      </c>
      <c r="F79" s="4" t="s">
        <v>87</v>
      </c>
      <c r="G79" s="4" t="s">
        <v>500</v>
      </c>
      <c r="H79" s="4" t="s">
        <v>603</v>
      </c>
      <c r="I79" s="5" t="n">
        <v>586.84</v>
      </c>
      <c r="J79" s="7" t="n">
        <v>9</v>
      </c>
      <c r="K79" s="5" t="n">
        <v>633.7</v>
      </c>
      <c r="L79" s="8" t="n">
        <v>1.079851</v>
      </c>
      <c r="M79" s="9" t="n">
        <v>65.2</v>
      </c>
      <c r="N79" s="10" t="n">
        <v>0.03691368</v>
      </c>
      <c r="O79" s="5" t="n">
        <v>162.88</v>
      </c>
      <c r="P79" s="11" t="n">
        <v>1.288627</v>
      </c>
      <c r="Q79" s="7" t="n">
        <v>3603</v>
      </c>
      <c r="R79" s="7" t="n">
        <v>133</v>
      </c>
      <c r="S79" s="7" t="n">
        <v>16</v>
      </c>
      <c r="T79" s="7" t="n">
        <v>21</v>
      </c>
      <c r="U79" s="7" t="n">
        <v>3451</v>
      </c>
      <c r="V79" s="7" t="n">
        <v>1110</v>
      </c>
    </row>
    <row r="80" customFormat="false" ht="15" hidden="false" customHeight="false" outlineLevel="0" collapsed="false">
      <c r="A80" s="4" t="s">
        <v>604</v>
      </c>
      <c r="B80" s="4" t="str">
        <f aca="false">IF(AND(I80&gt;='Read Me &amp; Markers'!$B$18,J80&gt;='Read Me &amp; Markers'!$B$19,L80&gt;='Read Me &amp; Markers'!$B$20),"A. Proven winner",IF(AND(I80&gt;='Read Me &amp; Markers'!$B$18,J80&gt;='Read Me &amp; Markers'!$B$19,L80&gt;='Read Me &amp; Markers'!$B$21),"B. Strong performer",IF(AND(I80&gt;='Read Me &amp; Markers'!$B$22,L80&gt;='Read Me &amp; Markers'!$B$23),"C. Scale workhorse",IF(AND(I80&gt;='Read Me &amp; Markers'!$B$24,I80&lt;'Read Me &amp; Markers'!$B$18,J80&gt;='Read Me &amp; Markers'!$B$25,L80&gt;='Read Me &amp; Markers'!$B$26),"D. Promising (needs more spend)",""))))</f>
        <v/>
      </c>
      <c r="C80" s="4" t="s">
        <v>605</v>
      </c>
      <c r="D80" s="4" t="s">
        <v>109</v>
      </c>
      <c r="E80" s="4" t="s">
        <v>424</v>
      </c>
      <c r="F80" s="4" t="s">
        <v>430</v>
      </c>
      <c r="G80" s="4" t="s">
        <v>425</v>
      </c>
      <c r="H80" s="4" t="s">
        <v>606</v>
      </c>
      <c r="I80" s="5" t="n">
        <v>583.67</v>
      </c>
      <c r="J80" s="7" t="n">
        <v>9</v>
      </c>
      <c r="K80" s="5" t="n">
        <v>559.62</v>
      </c>
      <c r="L80" s="8" t="n">
        <v>0.958795</v>
      </c>
      <c r="M80" s="9" t="n">
        <v>64.85</v>
      </c>
      <c r="N80" s="10" t="n">
        <v>0.05943152</v>
      </c>
      <c r="O80" s="5" t="n">
        <v>188.52</v>
      </c>
      <c r="P80" s="11" t="n">
        <v>1.299203</v>
      </c>
      <c r="Q80" s="7" t="n">
        <v>3096</v>
      </c>
      <c r="R80" s="7" t="n">
        <v>184</v>
      </c>
      <c r="S80" s="7" t="n">
        <v>18</v>
      </c>
      <c r="T80" s="7" t="n">
        <v>25</v>
      </c>
      <c r="U80" s="7" t="n">
        <v>2923</v>
      </c>
      <c r="V80" s="7" t="n">
        <v>506</v>
      </c>
    </row>
    <row r="81" customFormat="false" ht="15" hidden="false" customHeight="false" outlineLevel="0" collapsed="false">
      <c r="A81" s="4" t="s">
        <v>284</v>
      </c>
      <c r="B81" s="4" t="str">
        <f aca="false">IF(AND(I81&gt;='Read Me &amp; Markers'!$B$18,J81&gt;='Read Me &amp; Markers'!$B$19,L81&gt;='Read Me &amp; Markers'!$B$20),"A. Proven winner",IF(AND(I81&gt;='Read Me &amp; Markers'!$B$18,J81&gt;='Read Me &amp; Markers'!$B$19,L81&gt;='Read Me &amp; Markers'!$B$21),"B. Strong performer",IF(AND(I81&gt;='Read Me &amp; Markers'!$B$22,L81&gt;='Read Me &amp; Markers'!$B$23),"C. Scale workhorse",IF(AND(I81&gt;='Read Me &amp; Markers'!$B$24,I81&lt;'Read Me &amp; Markers'!$B$18,J81&gt;='Read Me &amp; Markers'!$B$25,L81&gt;='Read Me &amp; Markers'!$B$26),"D. Promising (needs more spend)",""))))</f>
        <v>D. Promising (needs more spend)</v>
      </c>
      <c r="C81" s="4" t="s">
        <v>283</v>
      </c>
      <c r="D81" s="4" t="s">
        <v>109</v>
      </c>
      <c r="E81" s="4" t="s">
        <v>285</v>
      </c>
      <c r="F81" s="4" t="s">
        <v>111</v>
      </c>
      <c r="G81" s="4" t="s">
        <v>286</v>
      </c>
      <c r="H81" s="4" t="s">
        <v>290</v>
      </c>
      <c r="I81" s="5" t="n">
        <v>578.29</v>
      </c>
      <c r="J81" s="7" t="n">
        <v>18</v>
      </c>
      <c r="K81" s="5" t="n">
        <v>1237.35</v>
      </c>
      <c r="L81" s="8" t="n">
        <v>2.13967</v>
      </c>
      <c r="M81" s="9" t="n">
        <v>32.13</v>
      </c>
      <c r="N81" s="10" t="n">
        <v>0.02206991</v>
      </c>
      <c r="O81" s="5" t="n">
        <v>79.27</v>
      </c>
      <c r="P81" s="11" t="n">
        <v>1.448858</v>
      </c>
      <c r="Q81" s="7" t="n">
        <v>7295</v>
      </c>
      <c r="R81" s="7" t="n">
        <v>161</v>
      </c>
      <c r="S81" s="7" t="n">
        <v>3</v>
      </c>
      <c r="T81" s="7" t="n">
        <v>31</v>
      </c>
      <c r="U81" s="7" t="n">
        <v>6494</v>
      </c>
      <c r="V81" s="7" t="n">
        <v>317</v>
      </c>
    </row>
    <row r="82" customFormat="false" ht="15" hidden="false" customHeight="false" outlineLevel="0" collapsed="false">
      <c r="A82" s="4" t="s">
        <v>607</v>
      </c>
      <c r="B82" s="4" t="str">
        <f aca="false">IF(AND(I82&gt;='Read Me &amp; Markers'!$B$18,J82&gt;='Read Me &amp; Markers'!$B$19,L82&gt;='Read Me &amp; Markers'!$B$20),"A. Proven winner",IF(AND(I82&gt;='Read Me &amp; Markers'!$B$18,J82&gt;='Read Me &amp; Markers'!$B$19,L82&gt;='Read Me &amp; Markers'!$B$21),"B. Strong performer",IF(AND(I82&gt;='Read Me &amp; Markers'!$B$22,L82&gt;='Read Me &amp; Markers'!$B$23),"C. Scale workhorse",IF(AND(I82&gt;='Read Me &amp; Markers'!$B$24,I82&lt;'Read Me &amp; Markers'!$B$18,J82&gt;='Read Me &amp; Markers'!$B$25,L82&gt;='Read Me &amp; Markers'!$B$26),"D. Promising (needs more spend)",""))))</f>
        <v/>
      </c>
      <c r="C82" s="4" t="s">
        <v>169</v>
      </c>
      <c r="D82" s="4" t="s">
        <v>100</v>
      </c>
      <c r="E82" s="4" t="s">
        <v>608</v>
      </c>
      <c r="F82" s="4" t="s">
        <v>87</v>
      </c>
      <c r="G82" s="4" t="s">
        <v>102</v>
      </c>
      <c r="H82" s="4" t="s">
        <v>609</v>
      </c>
      <c r="I82" s="5" t="n">
        <v>556.72</v>
      </c>
      <c r="J82" s="7" t="n">
        <v>9</v>
      </c>
      <c r="K82" s="5" t="n">
        <v>449.96</v>
      </c>
      <c r="L82" s="8" t="n">
        <v>0.808234</v>
      </c>
      <c r="M82" s="9" t="n">
        <v>61.86</v>
      </c>
      <c r="N82" s="10" t="n">
        <v>0.03036929</v>
      </c>
      <c r="O82" s="5" t="n">
        <v>67.63</v>
      </c>
      <c r="P82" s="11" t="n">
        <v>1.516022</v>
      </c>
      <c r="Q82" s="7" t="n">
        <v>8232</v>
      </c>
      <c r="R82" s="7" t="n">
        <v>250</v>
      </c>
      <c r="S82" s="7" t="n">
        <v>27</v>
      </c>
      <c r="T82" s="7" t="n">
        <v>24</v>
      </c>
      <c r="U82" s="7" t="n">
        <v>7657</v>
      </c>
      <c r="V82" s="7" t="n">
        <v>497</v>
      </c>
    </row>
    <row r="83" customFormat="false" ht="15" hidden="false" customHeight="false" outlineLevel="0" collapsed="false">
      <c r="A83" s="4" t="s">
        <v>610</v>
      </c>
      <c r="B83" s="4" t="str">
        <f aca="false">IF(AND(I83&gt;='Read Me &amp; Markers'!$B$18,J83&gt;='Read Me &amp; Markers'!$B$19,L83&gt;='Read Me &amp; Markers'!$B$20),"A. Proven winner",IF(AND(I83&gt;='Read Me &amp; Markers'!$B$18,J83&gt;='Read Me &amp; Markers'!$B$19,L83&gt;='Read Me &amp; Markers'!$B$21),"B. Strong performer",IF(AND(I83&gt;='Read Me &amp; Markers'!$B$22,L83&gt;='Read Me &amp; Markers'!$B$23),"C. Scale workhorse",IF(AND(I83&gt;='Read Me &amp; Markers'!$B$24,I83&lt;'Read Me &amp; Markers'!$B$18,J83&gt;='Read Me &amp; Markers'!$B$25,L83&gt;='Read Me &amp; Markers'!$B$26),"D. Promising (needs more spend)",""))))</f>
        <v/>
      </c>
      <c r="C83" s="4" t="s">
        <v>169</v>
      </c>
      <c r="D83" s="4" t="s">
        <v>100</v>
      </c>
      <c r="E83" s="4" t="s">
        <v>611</v>
      </c>
      <c r="F83" s="4" t="s">
        <v>87</v>
      </c>
      <c r="G83" s="4" t="s">
        <v>188</v>
      </c>
      <c r="H83" s="4" t="s">
        <v>612</v>
      </c>
      <c r="I83" s="5" t="n">
        <v>551.54</v>
      </c>
      <c r="J83" s="7" t="n">
        <v>9</v>
      </c>
      <c r="K83" s="5" t="n">
        <v>511.98</v>
      </c>
      <c r="L83" s="8" t="n">
        <v>0.928274</v>
      </c>
      <c r="M83" s="9" t="n">
        <v>61.28</v>
      </c>
      <c r="N83" s="10" t="n">
        <v>0.02569777</v>
      </c>
      <c r="O83" s="5" t="n">
        <v>67.82</v>
      </c>
      <c r="P83" s="11" t="n">
        <v>1.388832</v>
      </c>
      <c r="Q83" s="7" t="n">
        <v>8133</v>
      </c>
      <c r="R83" s="7" t="n">
        <v>209</v>
      </c>
      <c r="S83" s="7" t="n">
        <v>32</v>
      </c>
      <c r="T83" s="7" t="n">
        <v>22</v>
      </c>
      <c r="U83" s="7" t="n">
        <v>7047</v>
      </c>
      <c r="V83" s="7" t="n">
        <v>552</v>
      </c>
    </row>
    <row r="84" customFormat="false" ht="15" hidden="false" customHeight="false" outlineLevel="0" collapsed="false">
      <c r="A84" s="4" t="s">
        <v>613</v>
      </c>
      <c r="B84" s="4" t="str">
        <f aca="false">IF(AND(I84&gt;='Read Me &amp; Markers'!$B$18,J84&gt;='Read Me &amp; Markers'!$B$19,L84&gt;='Read Me &amp; Markers'!$B$20),"A. Proven winner",IF(AND(I84&gt;='Read Me &amp; Markers'!$B$18,J84&gt;='Read Me &amp; Markers'!$B$19,L84&gt;='Read Me &amp; Markers'!$B$21),"B. Strong performer",IF(AND(I84&gt;='Read Me &amp; Markers'!$B$22,L84&gt;='Read Me &amp; Markers'!$B$23),"C. Scale workhorse",IF(AND(I84&gt;='Read Me &amp; Markers'!$B$24,I84&lt;'Read Me &amp; Markers'!$B$18,J84&gt;='Read Me &amp; Markers'!$B$25,L84&gt;='Read Me &amp; Markers'!$B$26),"D. Promising (needs more spend)",""))))</f>
        <v/>
      </c>
      <c r="C84" s="4" t="s">
        <v>614</v>
      </c>
      <c r="D84" s="4" t="s">
        <v>228</v>
      </c>
      <c r="E84" s="4" t="s">
        <v>615</v>
      </c>
      <c r="F84" s="4" t="s">
        <v>111</v>
      </c>
      <c r="G84" s="4" t="s">
        <v>568</v>
      </c>
      <c r="H84" s="4" t="s">
        <v>616</v>
      </c>
      <c r="I84" s="5" t="n">
        <v>542.02</v>
      </c>
      <c r="J84" s="7" t="n">
        <v>7</v>
      </c>
      <c r="K84" s="5" t="n">
        <v>561.75</v>
      </c>
      <c r="L84" s="8" t="n">
        <v>1.036401</v>
      </c>
      <c r="M84" s="9" t="n">
        <v>77.43</v>
      </c>
      <c r="N84" s="10" t="n">
        <v>0.03131958</v>
      </c>
      <c r="O84" s="5" t="n">
        <v>80.45</v>
      </c>
      <c r="P84" s="11" t="n">
        <v>1.75397</v>
      </c>
      <c r="Q84" s="7" t="n">
        <v>6737</v>
      </c>
      <c r="R84" s="7" t="n">
        <v>211</v>
      </c>
      <c r="S84" s="7" t="n">
        <v>22</v>
      </c>
      <c r="T84" s="7" t="n">
        <v>24</v>
      </c>
      <c r="U84" s="7" t="n">
        <v>0</v>
      </c>
      <c r="V84" s="7" t="n">
        <v>0</v>
      </c>
    </row>
    <row r="85" customFormat="false" ht="15" hidden="false" customHeight="false" outlineLevel="0" collapsed="false">
      <c r="A85" s="4" t="s">
        <v>617</v>
      </c>
      <c r="B85" s="4" t="str">
        <f aca="false">IF(AND(I85&gt;='Read Me &amp; Markers'!$B$18,J85&gt;='Read Me &amp; Markers'!$B$19,L85&gt;='Read Me &amp; Markers'!$B$20),"A. Proven winner",IF(AND(I85&gt;='Read Me &amp; Markers'!$B$18,J85&gt;='Read Me &amp; Markers'!$B$19,L85&gt;='Read Me &amp; Markers'!$B$21),"B. Strong performer",IF(AND(I85&gt;='Read Me &amp; Markers'!$B$22,L85&gt;='Read Me &amp; Markers'!$B$23),"C. Scale workhorse",IF(AND(I85&gt;='Read Me &amp; Markers'!$B$24,I85&lt;'Read Me &amp; Markers'!$B$18,J85&gt;='Read Me &amp; Markers'!$B$25,L85&gt;='Read Me &amp; Markers'!$B$26),"D. Promising (needs more spend)",""))))</f>
        <v/>
      </c>
      <c r="C85" s="4" t="s">
        <v>618</v>
      </c>
      <c r="D85" s="4" t="s">
        <v>85</v>
      </c>
      <c r="E85" s="4" t="s">
        <v>619</v>
      </c>
      <c r="F85" s="4" t="s">
        <v>87</v>
      </c>
      <c r="G85" s="4" t="s">
        <v>342</v>
      </c>
      <c r="H85" s="4" t="s">
        <v>620</v>
      </c>
      <c r="I85" s="5" t="n">
        <v>538.85</v>
      </c>
      <c r="J85" s="7" t="n">
        <v>9</v>
      </c>
      <c r="K85" s="5" t="n">
        <v>553.18</v>
      </c>
      <c r="L85" s="8" t="n">
        <v>1.026594</v>
      </c>
      <c r="M85" s="9" t="n">
        <v>59.87</v>
      </c>
      <c r="N85" s="10" t="n">
        <v>0.02440016</v>
      </c>
      <c r="O85" s="5" t="n">
        <v>73.04</v>
      </c>
      <c r="P85" s="11" t="n">
        <v>1.552399</v>
      </c>
      <c r="Q85" s="7" t="n">
        <v>7377</v>
      </c>
      <c r="R85" s="7" t="n">
        <v>180</v>
      </c>
      <c r="S85" s="7" t="n">
        <v>26</v>
      </c>
      <c r="T85" s="7" t="n">
        <v>21</v>
      </c>
      <c r="U85" s="7" t="n">
        <v>5965</v>
      </c>
      <c r="V85" s="7" t="n">
        <v>380</v>
      </c>
    </row>
    <row r="86" customFormat="false" ht="15" hidden="false" customHeight="false" outlineLevel="0" collapsed="false">
      <c r="A86" s="4" t="s">
        <v>621</v>
      </c>
      <c r="B86" s="4" t="str">
        <f aca="false">IF(AND(I86&gt;='Read Me &amp; Markers'!$B$18,J86&gt;='Read Me &amp; Markers'!$B$19,L86&gt;='Read Me &amp; Markers'!$B$20),"A. Proven winner",IF(AND(I86&gt;='Read Me &amp; Markers'!$B$18,J86&gt;='Read Me &amp; Markers'!$B$19,L86&gt;='Read Me &amp; Markers'!$B$21),"B. Strong performer",IF(AND(I86&gt;='Read Me &amp; Markers'!$B$22,L86&gt;='Read Me &amp; Markers'!$B$23),"C. Scale workhorse",IF(AND(I86&gt;='Read Me &amp; Markers'!$B$24,I86&lt;'Read Me &amp; Markers'!$B$18,J86&gt;='Read Me &amp; Markers'!$B$25,L86&gt;='Read Me &amp; Markers'!$B$26),"D. Promising (needs more spend)",""))))</f>
        <v/>
      </c>
      <c r="C86" s="4" t="s">
        <v>129</v>
      </c>
      <c r="D86" s="4" t="s">
        <v>100</v>
      </c>
      <c r="E86" s="4" t="s">
        <v>622</v>
      </c>
      <c r="F86" s="4" t="s">
        <v>87</v>
      </c>
      <c r="G86" s="4" t="s">
        <v>623</v>
      </c>
      <c r="H86" s="4" t="s">
        <v>624</v>
      </c>
      <c r="I86" s="5" t="n">
        <v>536.32</v>
      </c>
      <c r="J86" s="7" t="n">
        <v>8</v>
      </c>
      <c r="K86" s="5" t="n">
        <v>450.13</v>
      </c>
      <c r="L86" s="8" t="n">
        <v>0.839294</v>
      </c>
      <c r="M86" s="9" t="n">
        <v>67.04</v>
      </c>
      <c r="N86" s="10" t="n">
        <v>0.07559395</v>
      </c>
      <c r="O86" s="5" t="n">
        <v>128.71</v>
      </c>
      <c r="P86" s="11" t="n">
        <v>1.316588</v>
      </c>
      <c r="Q86" s="7" t="n">
        <v>4167</v>
      </c>
      <c r="R86" s="7" t="n">
        <v>315</v>
      </c>
      <c r="S86" s="7" t="n">
        <v>14</v>
      </c>
      <c r="T86" s="7" t="n">
        <v>25</v>
      </c>
      <c r="U86" s="7" t="n">
        <v>3932</v>
      </c>
      <c r="V86" s="7" t="n">
        <v>714</v>
      </c>
    </row>
    <row r="87" customFormat="false" ht="15" hidden="false" customHeight="false" outlineLevel="0" collapsed="false">
      <c r="A87" s="4" t="s">
        <v>625</v>
      </c>
      <c r="B87" s="4" t="str">
        <f aca="false">IF(AND(I87&gt;='Read Me &amp; Markers'!$B$18,J87&gt;='Read Me &amp; Markers'!$B$19,L87&gt;='Read Me &amp; Markers'!$B$20),"A. Proven winner",IF(AND(I87&gt;='Read Me &amp; Markers'!$B$18,J87&gt;='Read Me &amp; Markers'!$B$19,L87&gt;='Read Me &amp; Markers'!$B$21),"B. Strong performer",IF(AND(I87&gt;='Read Me &amp; Markers'!$B$22,L87&gt;='Read Me &amp; Markers'!$B$23),"C. Scale workhorse",IF(AND(I87&gt;='Read Me &amp; Markers'!$B$24,I87&lt;'Read Me &amp; Markers'!$B$18,J87&gt;='Read Me &amp; Markers'!$B$25,L87&gt;='Read Me &amp; Markers'!$B$26),"D. Promising (needs more spend)",""))))</f>
        <v/>
      </c>
      <c r="C87" s="4" t="s">
        <v>626</v>
      </c>
      <c r="D87" s="4" t="s">
        <v>109</v>
      </c>
      <c r="E87" s="4" t="s">
        <v>474</v>
      </c>
      <c r="F87" s="4" t="s">
        <v>111</v>
      </c>
      <c r="G87" s="4" t="s">
        <v>475</v>
      </c>
      <c r="H87" s="4" t="s">
        <v>627</v>
      </c>
      <c r="I87" s="5" t="n">
        <v>535.19</v>
      </c>
      <c r="J87" s="7" t="n">
        <v>10</v>
      </c>
      <c r="K87" s="5" t="n">
        <v>667.53</v>
      </c>
      <c r="L87" s="8" t="n">
        <v>1.247277</v>
      </c>
      <c r="M87" s="9" t="n">
        <v>53.52</v>
      </c>
      <c r="N87" s="10" t="n">
        <v>0.01158413</v>
      </c>
      <c r="O87" s="5" t="n">
        <v>51.66</v>
      </c>
      <c r="P87" s="11" t="n">
        <v>1.864471</v>
      </c>
      <c r="Q87" s="7" t="n">
        <v>10359</v>
      </c>
      <c r="R87" s="7" t="n">
        <v>120</v>
      </c>
      <c r="S87" s="7" t="n">
        <v>5</v>
      </c>
      <c r="T87" s="7" t="n">
        <v>20</v>
      </c>
      <c r="U87" s="7" t="n">
        <v>0</v>
      </c>
      <c r="V87" s="7" t="n">
        <v>0</v>
      </c>
    </row>
    <row r="88" customFormat="false" ht="15" hidden="false" customHeight="false" outlineLevel="0" collapsed="false">
      <c r="A88" s="4" t="s">
        <v>628</v>
      </c>
      <c r="B88" s="4" t="str">
        <f aca="false">IF(AND(I88&gt;='Read Me &amp; Markers'!$B$18,J88&gt;='Read Me &amp; Markers'!$B$19,L88&gt;='Read Me &amp; Markers'!$B$20),"A. Proven winner",IF(AND(I88&gt;='Read Me &amp; Markers'!$B$18,J88&gt;='Read Me &amp; Markers'!$B$19,L88&gt;='Read Me &amp; Markers'!$B$21),"B. Strong performer",IF(AND(I88&gt;='Read Me &amp; Markers'!$B$22,L88&gt;='Read Me &amp; Markers'!$B$23),"C. Scale workhorse",IF(AND(I88&gt;='Read Me &amp; Markers'!$B$24,I88&lt;'Read Me &amp; Markers'!$B$18,J88&gt;='Read Me &amp; Markers'!$B$25,L88&gt;='Read Me &amp; Markers'!$B$26),"D. Promising (needs more spend)",""))))</f>
        <v/>
      </c>
      <c r="C88" s="4" t="s">
        <v>169</v>
      </c>
      <c r="D88" s="4" t="s">
        <v>100</v>
      </c>
      <c r="E88" s="4" t="s">
        <v>629</v>
      </c>
      <c r="F88" s="4" t="s">
        <v>87</v>
      </c>
      <c r="G88" s="4" t="s">
        <v>188</v>
      </c>
      <c r="H88" s="4" t="s">
        <v>630</v>
      </c>
      <c r="I88" s="5" t="n">
        <v>533.21</v>
      </c>
      <c r="J88" s="7" t="n">
        <v>7</v>
      </c>
      <c r="K88" s="5" t="n">
        <v>527.63</v>
      </c>
      <c r="L88" s="8" t="n">
        <v>0.989535</v>
      </c>
      <c r="M88" s="9" t="n">
        <v>76.17</v>
      </c>
      <c r="N88" s="10" t="n">
        <v>0.05641619</v>
      </c>
      <c r="O88" s="5" t="n">
        <v>123.29</v>
      </c>
      <c r="P88" s="11" t="n">
        <v>1.195412</v>
      </c>
      <c r="Q88" s="7" t="n">
        <v>4325</v>
      </c>
      <c r="R88" s="7" t="n">
        <v>244</v>
      </c>
      <c r="S88" s="7" t="n">
        <v>29</v>
      </c>
      <c r="T88" s="7" t="n">
        <v>16</v>
      </c>
      <c r="U88" s="7" t="n">
        <v>3974</v>
      </c>
      <c r="V88" s="7" t="n">
        <v>946</v>
      </c>
    </row>
    <row r="89" customFormat="false" ht="15" hidden="false" customHeight="false" outlineLevel="0" collapsed="false">
      <c r="A89" s="4" t="s">
        <v>631</v>
      </c>
      <c r="B89" s="4" t="str">
        <f aca="false">IF(AND(I89&gt;='Read Me &amp; Markers'!$B$18,J89&gt;='Read Me &amp; Markers'!$B$19,L89&gt;='Read Me &amp; Markers'!$B$20),"A. Proven winner",IF(AND(I89&gt;='Read Me &amp; Markers'!$B$18,J89&gt;='Read Me &amp; Markers'!$B$19,L89&gt;='Read Me &amp; Markers'!$B$21),"B. Strong performer",IF(AND(I89&gt;='Read Me &amp; Markers'!$B$22,L89&gt;='Read Me &amp; Markers'!$B$23),"C. Scale workhorse",IF(AND(I89&gt;='Read Me &amp; Markers'!$B$24,I89&lt;'Read Me &amp; Markers'!$B$18,J89&gt;='Read Me &amp; Markers'!$B$25,L89&gt;='Read Me &amp; Markers'!$B$26),"D. Promising (needs more spend)",""))))</f>
        <v/>
      </c>
      <c r="C89" s="4" t="s">
        <v>129</v>
      </c>
      <c r="D89" s="4" t="s">
        <v>206</v>
      </c>
      <c r="E89" s="4" t="s">
        <v>632</v>
      </c>
      <c r="F89" s="4" t="s">
        <v>87</v>
      </c>
      <c r="G89" s="4" t="s">
        <v>254</v>
      </c>
      <c r="H89" s="4" t="s">
        <v>633</v>
      </c>
      <c r="I89" s="5" t="n">
        <v>523.48</v>
      </c>
      <c r="J89" s="7" t="n">
        <v>7</v>
      </c>
      <c r="K89" s="5" t="n">
        <v>510.16</v>
      </c>
      <c r="L89" s="8" t="n">
        <v>0.974555</v>
      </c>
      <c r="M89" s="9" t="n">
        <v>74.78</v>
      </c>
      <c r="N89" s="10" t="n">
        <v>0.04841402</v>
      </c>
      <c r="O89" s="5" t="n">
        <v>109.24</v>
      </c>
      <c r="P89" s="11" t="n">
        <v>1.123564</v>
      </c>
      <c r="Q89" s="7" t="n">
        <v>4792</v>
      </c>
      <c r="R89" s="7" t="n">
        <v>232</v>
      </c>
      <c r="S89" s="7" t="n">
        <v>26</v>
      </c>
      <c r="T89" s="7" t="n">
        <v>17</v>
      </c>
      <c r="U89" s="7" t="n">
        <v>4415</v>
      </c>
      <c r="V89" s="7" t="n">
        <v>1170</v>
      </c>
    </row>
    <row r="90" customFormat="false" ht="15" hidden="false" customHeight="false" outlineLevel="0" collapsed="false">
      <c r="A90" s="4" t="s">
        <v>634</v>
      </c>
      <c r="B90" s="4" t="str">
        <f aca="false">IF(AND(I90&gt;='Read Me &amp; Markers'!$B$18,J90&gt;='Read Me &amp; Markers'!$B$19,L90&gt;='Read Me &amp; Markers'!$B$20),"A. Proven winner",IF(AND(I90&gt;='Read Me &amp; Markers'!$B$18,J90&gt;='Read Me &amp; Markers'!$B$19,L90&gt;='Read Me &amp; Markers'!$B$21),"B. Strong performer",IF(AND(I90&gt;='Read Me &amp; Markers'!$B$22,L90&gt;='Read Me &amp; Markers'!$B$23),"C. Scale workhorse",IF(AND(I90&gt;='Read Me &amp; Markers'!$B$24,I90&lt;'Read Me &amp; Markers'!$B$18,J90&gt;='Read Me &amp; Markers'!$B$25,L90&gt;='Read Me &amp; Markers'!$B$26),"D. Promising (needs more spend)",""))))</f>
        <v/>
      </c>
      <c r="C90" s="4" t="s">
        <v>169</v>
      </c>
      <c r="D90" s="4" t="s">
        <v>100</v>
      </c>
      <c r="E90" s="4" t="s">
        <v>635</v>
      </c>
      <c r="F90" s="4" t="s">
        <v>87</v>
      </c>
      <c r="G90" s="4" t="s">
        <v>440</v>
      </c>
      <c r="H90" s="4" t="s">
        <v>636</v>
      </c>
      <c r="I90" s="5" t="n">
        <v>521.08</v>
      </c>
      <c r="J90" s="7" t="n">
        <v>8</v>
      </c>
      <c r="K90" s="5" t="n">
        <v>444.5</v>
      </c>
      <c r="L90" s="8" t="n">
        <v>0.853036</v>
      </c>
      <c r="M90" s="9" t="n">
        <v>65.14</v>
      </c>
      <c r="N90" s="10" t="n">
        <v>0.05244444</v>
      </c>
      <c r="O90" s="5" t="n">
        <v>77.2</v>
      </c>
      <c r="P90" s="11" t="n">
        <v>1.127631</v>
      </c>
      <c r="Q90" s="7" t="n">
        <v>6750</v>
      </c>
      <c r="R90" s="7" t="n">
        <v>354</v>
      </c>
      <c r="S90" s="7" t="n">
        <v>33</v>
      </c>
      <c r="T90" s="7" t="n">
        <v>21</v>
      </c>
      <c r="U90" s="7" t="n">
        <v>6435</v>
      </c>
      <c r="V90" s="7" t="n">
        <v>1400</v>
      </c>
    </row>
    <row r="91" customFormat="false" ht="15" hidden="false" customHeight="false" outlineLevel="0" collapsed="false">
      <c r="A91" s="4" t="s">
        <v>637</v>
      </c>
      <c r="B91" s="4" t="str">
        <f aca="false">IF(AND(I91&gt;='Read Me &amp; Markers'!$B$18,J91&gt;='Read Me &amp; Markers'!$B$19,L91&gt;='Read Me &amp; Markers'!$B$20),"A. Proven winner",IF(AND(I91&gt;='Read Me &amp; Markers'!$B$18,J91&gt;='Read Me &amp; Markers'!$B$19,L91&gt;='Read Me &amp; Markers'!$B$21),"B. Strong performer",IF(AND(I91&gt;='Read Me &amp; Markers'!$B$22,L91&gt;='Read Me &amp; Markers'!$B$23),"C. Scale workhorse",IF(AND(I91&gt;='Read Me &amp; Markers'!$B$24,I91&lt;'Read Me &amp; Markers'!$B$18,J91&gt;='Read Me &amp; Markers'!$B$25,L91&gt;='Read Me &amp; Markers'!$B$26),"D. Promising (needs more spend)",""))))</f>
        <v/>
      </c>
      <c r="C91" s="4" t="s">
        <v>226</v>
      </c>
      <c r="D91" s="4" t="s">
        <v>85</v>
      </c>
      <c r="E91" s="4" t="s">
        <v>638</v>
      </c>
      <c r="F91" s="4" t="s">
        <v>87</v>
      </c>
      <c r="G91" s="4" t="s">
        <v>639</v>
      </c>
      <c r="H91" s="4" t="s">
        <v>640</v>
      </c>
      <c r="I91" s="5" t="n">
        <v>514.5</v>
      </c>
      <c r="J91" s="7" t="n">
        <v>9</v>
      </c>
      <c r="K91" s="5" t="n">
        <v>643.3</v>
      </c>
      <c r="L91" s="8" t="n">
        <v>1.25034</v>
      </c>
      <c r="M91" s="9" t="n">
        <v>57.17</v>
      </c>
      <c r="N91" s="10" t="n">
        <v>0.03336809</v>
      </c>
      <c r="O91" s="5" t="n">
        <v>134.12</v>
      </c>
      <c r="P91" s="11" t="n">
        <v>1.149191</v>
      </c>
      <c r="Q91" s="7" t="n">
        <v>3836</v>
      </c>
      <c r="R91" s="7" t="n">
        <v>128</v>
      </c>
      <c r="S91" s="7" t="n">
        <v>32</v>
      </c>
      <c r="T91" s="7" t="n">
        <v>27</v>
      </c>
      <c r="U91" s="7" t="n">
        <v>3499</v>
      </c>
      <c r="V91" s="7" t="n">
        <v>690</v>
      </c>
    </row>
    <row r="92" customFormat="false" ht="15" hidden="false" customHeight="false" outlineLevel="0" collapsed="false">
      <c r="A92" s="4" t="s">
        <v>641</v>
      </c>
      <c r="B92" s="4" t="str">
        <f aca="false">IF(AND(I92&gt;='Read Me &amp; Markers'!$B$18,J92&gt;='Read Me &amp; Markers'!$B$19,L92&gt;='Read Me &amp; Markers'!$B$20),"A. Proven winner",IF(AND(I92&gt;='Read Me &amp; Markers'!$B$18,J92&gt;='Read Me &amp; Markers'!$B$19,L92&gt;='Read Me &amp; Markers'!$B$21),"B. Strong performer",IF(AND(I92&gt;='Read Me &amp; Markers'!$B$22,L92&gt;='Read Me &amp; Markers'!$B$23),"C. Scale workhorse",IF(AND(I92&gt;='Read Me &amp; Markers'!$B$24,I92&lt;'Read Me &amp; Markers'!$B$18,J92&gt;='Read Me &amp; Markers'!$B$25,L92&gt;='Read Me &amp; Markers'!$B$26),"D. Promising (needs more spend)",""))))</f>
        <v/>
      </c>
      <c r="C92" s="4" t="s">
        <v>192</v>
      </c>
      <c r="D92" s="4" t="s">
        <v>228</v>
      </c>
      <c r="E92" s="4" t="s">
        <v>642</v>
      </c>
      <c r="F92" s="4" t="s">
        <v>230</v>
      </c>
      <c r="G92" s="4" t="s">
        <v>262</v>
      </c>
      <c r="H92" s="4" t="s">
        <v>643</v>
      </c>
      <c r="I92" s="5" t="n">
        <v>507.06</v>
      </c>
      <c r="J92" s="7" t="n">
        <v>8</v>
      </c>
      <c r="K92" s="5" t="n">
        <v>489.67</v>
      </c>
      <c r="L92" s="8" t="n">
        <v>0.965704</v>
      </c>
      <c r="M92" s="9" t="n">
        <v>63.38</v>
      </c>
      <c r="N92" s="10" t="n">
        <v>0.026033</v>
      </c>
      <c r="O92" s="5" t="n">
        <v>76.75</v>
      </c>
      <c r="P92" s="11" t="n">
        <v>1.374168</v>
      </c>
      <c r="Q92" s="7" t="n">
        <v>6607</v>
      </c>
      <c r="R92" s="7" t="n">
        <v>172</v>
      </c>
      <c r="S92" s="7" t="n">
        <v>27</v>
      </c>
      <c r="T92" s="7" t="n">
        <v>20</v>
      </c>
      <c r="U92" s="7" t="n">
        <v>5845</v>
      </c>
      <c r="V92" s="7" t="n">
        <v>445</v>
      </c>
    </row>
    <row r="93" customFormat="false" ht="15" hidden="false" customHeight="false" outlineLevel="0" collapsed="false">
      <c r="A93" s="4" t="s">
        <v>644</v>
      </c>
      <c r="B93" s="4" t="str">
        <f aca="false">IF(AND(I93&gt;='Read Me &amp; Markers'!$B$18,J93&gt;='Read Me &amp; Markers'!$B$19,L93&gt;='Read Me &amp; Markers'!$B$20),"A. Proven winner",IF(AND(I93&gt;='Read Me &amp; Markers'!$B$18,J93&gt;='Read Me &amp; Markers'!$B$19,L93&gt;='Read Me &amp; Markers'!$B$21),"B. Strong performer",IF(AND(I93&gt;='Read Me &amp; Markers'!$B$22,L93&gt;='Read Me &amp; Markers'!$B$23),"C. Scale workhorse",IF(AND(I93&gt;='Read Me &amp; Markers'!$B$24,I93&lt;'Read Me &amp; Markers'!$B$18,J93&gt;='Read Me &amp; Markers'!$B$25,L93&gt;='Read Me &amp; Markers'!$B$26),"D. Promising (needs more spend)",""))))</f>
        <v/>
      </c>
      <c r="C93" s="4" t="s">
        <v>645</v>
      </c>
      <c r="D93" s="4" t="s">
        <v>528</v>
      </c>
      <c r="E93" s="4" t="s">
        <v>646</v>
      </c>
      <c r="F93" s="4" t="s">
        <v>230</v>
      </c>
      <c r="G93" s="4" t="s">
        <v>530</v>
      </c>
      <c r="H93" s="4" t="s">
        <v>647</v>
      </c>
      <c r="I93" s="5" t="n">
        <v>494.46</v>
      </c>
      <c r="J93" s="7" t="n">
        <v>10</v>
      </c>
      <c r="K93" s="5" t="n">
        <v>449.8</v>
      </c>
      <c r="L93" s="8" t="n">
        <v>0.909679</v>
      </c>
      <c r="M93" s="9" t="n">
        <v>49.45</v>
      </c>
      <c r="N93" s="10" t="n">
        <v>0.04263238</v>
      </c>
      <c r="O93" s="5" t="n">
        <v>83.65</v>
      </c>
      <c r="P93" s="11" t="n">
        <v>1.226858</v>
      </c>
      <c r="Q93" s="7" t="n">
        <v>5911</v>
      </c>
      <c r="R93" s="7" t="n">
        <v>252</v>
      </c>
      <c r="S93" s="7" t="n">
        <v>19</v>
      </c>
      <c r="T93" s="7" t="n">
        <v>17</v>
      </c>
      <c r="U93" s="7" t="n">
        <v>5339</v>
      </c>
      <c r="V93" s="7" t="n">
        <v>570</v>
      </c>
    </row>
    <row r="94" customFormat="false" ht="15" hidden="false" customHeight="false" outlineLevel="0" collapsed="false">
      <c r="A94" s="4" t="s">
        <v>648</v>
      </c>
      <c r="B94" s="4" t="str">
        <f aca="false">IF(AND(I94&gt;='Read Me &amp; Markers'!$B$18,J94&gt;='Read Me &amp; Markers'!$B$19,L94&gt;='Read Me &amp; Markers'!$B$20),"A. Proven winner",IF(AND(I94&gt;='Read Me &amp; Markers'!$B$18,J94&gt;='Read Me &amp; Markers'!$B$19,L94&gt;='Read Me &amp; Markers'!$B$21),"B. Strong performer",IF(AND(I94&gt;='Read Me &amp; Markers'!$B$22,L94&gt;='Read Me &amp; Markers'!$B$23),"C. Scale workhorse",IF(AND(I94&gt;='Read Me &amp; Markers'!$B$24,I94&lt;'Read Me &amp; Markers'!$B$18,J94&gt;='Read Me &amp; Markers'!$B$25,L94&gt;='Read Me &amp; Markers'!$B$26),"D. Promising (needs more spend)",""))))</f>
        <v/>
      </c>
      <c r="C94" s="4" t="s">
        <v>121</v>
      </c>
      <c r="D94" s="4" t="s">
        <v>100</v>
      </c>
      <c r="E94" s="4" t="s">
        <v>649</v>
      </c>
      <c r="F94" s="4" t="s">
        <v>87</v>
      </c>
      <c r="G94" s="4" t="s">
        <v>650</v>
      </c>
      <c r="H94" s="4" t="s">
        <v>651</v>
      </c>
      <c r="I94" s="5" t="n">
        <v>477.9</v>
      </c>
      <c r="J94" s="7" t="n">
        <v>8</v>
      </c>
      <c r="K94" s="5" t="n">
        <v>455.66</v>
      </c>
      <c r="L94" s="8" t="n">
        <v>0.953463</v>
      </c>
      <c r="M94" s="9" t="n">
        <v>59.74</v>
      </c>
      <c r="N94" s="10" t="n">
        <v>0.04097334</v>
      </c>
      <c r="O94" s="5" t="n">
        <v>85.51</v>
      </c>
      <c r="P94" s="11" t="n">
        <v>1.536706</v>
      </c>
      <c r="Q94" s="7" t="n">
        <v>5589</v>
      </c>
      <c r="R94" s="7" t="n">
        <v>229</v>
      </c>
      <c r="S94" s="7" t="n">
        <v>35</v>
      </c>
      <c r="T94" s="7" t="n">
        <v>26</v>
      </c>
      <c r="U94" s="7" t="n">
        <v>5068</v>
      </c>
      <c r="V94" s="7" t="n">
        <v>403</v>
      </c>
    </row>
    <row r="95" customFormat="false" ht="15" hidden="false" customHeight="false" outlineLevel="0" collapsed="false">
      <c r="A95" s="4" t="s">
        <v>652</v>
      </c>
      <c r="B95" s="4" t="str">
        <f aca="false">IF(AND(I95&gt;='Read Me &amp; Markers'!$B$18,J95&gt;='Read Me &amp; Markers'!$B$19,L95&gt;='Read Me &amp; Markers'!$B$20),"A. Proven winner",IF(AND(I95&gt;='Read Me &amp; Markers'!$B$18,J95&gt;='Read Me &amp; Markers'!$B$19,L95&gt;='Read Me &amp; Markers'!$B$21),"B. Strong performer",IF(AND(I95&gt;='Read Me &amp; Markers'!$B$22,L95&gt;='Read Me &amp; Markers'!$B$23),"C. Scale workhorse",IF(AND(I95&gt;='Read Me &amp; Markers'!$B$24,I95&lt;'Read Me &amp; Markers'!$B$18,J95&gt;='Read Me &amp; Markers'!$B$25,L95&gt;='Read Me &amp; Markers'!$B$26),"D. Promising (needs more spend)",""))))</f>
        <v/>
      </c>
      <c r="C95" s="4" t="s">
        <v>192</v>
      </c>
      <c r="D95" s="4" t="s">
        <v>85</v>
      </c>
      <c r="E95" s="4" t="s">
        <v>653</v>
      </c>
      <c r="F95" s="4" t="s">
        <v>87</v>
      </c>
      <c r="G95" s="4" t="s">
        <v>654</v>
      </c>
      <c r="H95" s="4" t="s">
        <v>655</v>
      </c>
      <c r="I95" s="5" t="n">
        <v>470.65</v>
      </c>
      <c r="J95" s="7" t="n">
        <v>2</v>
      </c>
      <c r="K95" s="5" t="n">
        <v>154.88</v>
      </c>
      <c r="L95" s="8" t="n">
        <v>0.329077</v>
      </c>
      <c r="M95" s="9" t="n">
        <v>235.33</v>
      </c>
      <c r="N95" s="10" t="n">
        <v>0.02473038</v>
      </c>
      <c r="O95" s="5" t="n">
        <v>87.51</v>
      </c>
      <c r="P95" s="11" t="n">
        <v>1.266902</v>
      </c>
      <c r="Q95" s="7" t="n">
        <v>5378</v>
      </c>
      <c r="R95" s="7" t="n">
        <v>133</v>
      </c>
      <c r="S95" s="7" t="n">
        <v>27</v>
      </c>
      <c r="T95" s="7" t="n">
        <v>32</v>
      </c>
      <c r="U95" s="7" t="n">
        <v>4725</v>
      </c>
      <c r="V95" s="7" t="n">
        <v>153</v>
      </c>
    </row>
    <row r="96" customFormat="false" ht="15" hidden="false" customHeight="false" outlineLevel="0" collapsed="false">
      <c r="A96" s="4" t="s">
        <v>656</v>
      </c>
      <c r="B96" s="4" t="str">
        <f aca="false">IF(AND(I96&gt;='Read Me &amp; Markers'!$B$18,J96&gt;='Read Me &amp; Markers'!$B$19,L96&gt;='Read Me &amp; Markers'!$B$20),"A. Proven winner",IF(AND(I96&gt;='Read Me &amp; Markers'!$B$18,J96&gt;='Read Me &amp; Markers'!$B$19,L96&gt;='Read Me &amp; Markers'!$B$21),"B. Strong performer",IF(AND(I96&gt;='Read Me &amp; Markers'!$B$22,L96&gt;='Read Me &amp; Markers'!$B$23),"C. Scale workhorse",IF(AND(I96&gt;='Read Me &amp; Markers'!$B$24,I96&lt;'Read Me &amp; Markers'!$B$18,J96&gt;='Read Me &amp; Markers'!$B$25,L96&gt;='Read Me &amp; Markers'!$B$26),"D. Promising (needs more spend)",""))))</f>
        <v/>
      </c>
      <c r="C96" s="4" t="s">
        <v>657</v>
      </c>
      <c r="D96" s="4" t="s">
        <v>228</v>
      </c>
      <c r="E96" s="4" t="s">
        <v>658</v>
      </c>
      <c r="F96" s="4" t="s">
        <v>230</v>
      </c>
      <c r="G96" s="4" t="s">
        <v>659</v>
      </c>
      <c r="H96" s="4" t="s">
        <v>660</v>
      </c>
      <c r="I96" s="5" t="n">
        <v>465.16</v>
      </c>
      <c r="J96" s="7" t="n">
        <v>4</v>
      </c>
      <c r="K96" s="5" t="n">
        <v>271.85</v>
      </c>
      <c r="L96" s="8" t="n">
        <v>0.584423</v>
      </c>
      <c r="M96" s="9" t="n">
        <v>116.29</v>
      </c>
      <c r="N96" s="10" t="n">
        <v>0.02237818</v>
      </c>
      <c r="O96" s="5" t="n">
        <v>61.59</v>
      </c>
      <c r="P96" s="11" t="n">
        <v>1.580909</v>
      </c>
      <c r="Q96" s="7" t="n">
        <v>7552</v>
      </c>
      <c r="R96" s="7" t="n">
        <v>169</v>
      </c>
      <c r="S96" s="7" t="n">
        <v>7</v>
      </c>
      <c r="T96" s="7" t="n">
        <v>19</v>
      </c>
      <c r="U96" s="7" t="n">
        <v>1235</v>
      </c>
      <c r="V96" s="7" t="n">
        <v>92</v>
      </c>
    </row>
    <row r="97" customFormat="false" ht="15" hidden="false" customHeight="false" outlineLevel="0" collapsed="false">
      <c r="A97" s="4" t="s">
        <v>661</v>
      </c>
      <c r="B97" s="4" t="str">
        <f aca="false">IF(AND(I97&gt;='Read Me &amp; Markers'!$B$18,J97&gt;='Read Me &amp; Markers'!$B$19,L97&gt;='Read Me &amp; Markers'!$B$20),"A. Proven winner",IF(AND(I97&gt;='Read Me &amp; Markers'!$B$18,J97&gt;='Read Me &amp; Markers'!$B$19,L97&gt;='Read Me &amp; Markers'!$B$21),"B. Strong performer",IF(AND(I97&gt;='Read Me &amp; Markers'!$B$22,L97&gt;='Read Me &amp; Markers'!$B$23),"C. Scale workhorse",IF(AND(I97&gt;='Read Me &amp; Markers'!$B$24,I97&lt;'Read Me &amp; Markers'!$B$18,J97&gt;='Read Me &amp; Markers'!$B$25,L97&gt;='Read Me &amp; Markers'!$B$26),"D. Promising (needs more spend)",""))))</f>
        <v/>
      </c>
      <c r="C97" s="4" t="s">
        <v>662</v>
      </c>
      <c r="D97" s="4" t="s">
        <v>228</v>
      </c>
      <c r="E97" s="4" t="s">
        <v>663</v>
      </c>
      <c r="F97" s="4" t="s">
        <v>230</v>
      </c>
      <c r="G97" s="4" t="s">
        <v>262</v>
      </c>
      <c r="H97" s="4" t="s">
        <v>664</v>
      </c>
      <c r="I97" s="5" t="n">
        <v>455.04</v>
      </c>
      <c r="J97" s="7" t="n">
        <v>5</v>
      </c>
      <c r="K97" s="5" t="n">
        <v>311.8</v>
      </c>
      <c r="L97" s="8" t="n">
        <v>0.685214</v>
      </c>
      <c r="M97" s="9" t="n">
        <v>91.01</v>
      </c>
      <c r="N97" s="10" t="n">
        <v>0.04074378</v>
      </c>
      <c r="O97" s="5" t="n">
        <v>124.43</v>
      </c>
      <c r="P97" s="11" t="n">
        <v>1.341034</v>
      </c>
      <c r="Q97" s="7" t="n">
        <v>3657</v>
      </c>
      <c r="R97" s="7" t="n">
        <v>149</v>
      </c>
      <c r="S97" s="7" t="n">
        <v>7</v>
      </c>
      <c r="T97" s="7" t="n">
        <v>13</v>
      </c>
      <c r="U97" s="7" t="n">
        <v>2947</v>
      </c>
      <c r="V97" s="7" t="n">
        <v>396</v>
      </c>
    </row>
    <row r="98" customFormat="false" ht="15" hidden="false" customHeight="false" outlineLevel="0" collapsed="false">
      <c r="A98" s="4" t="s">
        <v>277</v>
      </c>
      <c r="B98" s="4" t="str">
        <f aca="false">IF(AND(I98&gt;='Read Me &amp; Markers'!$B$18,J98&gt;='Read Me &amp; Markers'!$B$19,L98&gt;='Read Me &amp; Markers'!$B$20),"A. Proven winner",IF(AND(I98&gt;='Read Me &amp; Markers'!$B$18,J98&gt;='Read Me &amp; Markers'!$B$19,L98&gt;='Read Me &amp; Markers'!$B$21),"B. Strong performer",IF(AND(I98&gt;='Read Me &amp; Markers'!$B$22,L98&gt;='Read Me &amp; Markers'!$B$23),"C. Scale workhorse",IF(AND(I98&gt;='Read Me &amp; Markers'!$B$24,I98&lt;'Read Me &amp; Markers'!$B$18,J98&gt;='Read Me &amp; Markers'!$B$25,L98&gt;='Read Me &amp; Markers'!$B$26),"D. Promising (needs more spend)",""))))</f>
        <v>D. Promising (needs more spend)</v>
      </c>
      <c r="C98" s="4" t="s">
        <v>169</v>
      </c>
      <c r="D98" s="4" t="s">
        <v>100</v>
      </c>
      <c r="E98" s="4" t="s">
        <v>278</v>
      </c>
      <c r="F98" s="4" t="s">
        <v>87</v>
      </c>
      <c r="G98" s="4" t="s">
        <v>279</v>
      </c>
      <c r="H98" s="4" t="s">
        <v>281</v>
      </c>
      <c r="I98" s="5" t="n">
        <v>443.23</v>
      </c>
      <c r="J98" s="7" t="n">
        <v>12</v>
      </c>
      <c r="K98" s="5" t="n">
        <v>956.84</v>
      </c>
      <c r="L98" s="8" t="n">
        <v>2.158789</v>
      </c>
      <c r="M98" s="9" t="n">
        <v>36.94</v>
      </c>
      <c r="N98" s="10" t="n">
        <v>0.06314168</v>
      </c>
      <c r="O98" s="5" t="n">
        <v>113.77</v>
      </c>
      <c r="P98" s="11" t="n">
        <v>1.337912</v>
      </c>
      <c r="Q98" s="7" t="n">
        <v>3896</v>
      </c>
      <c r="R98" s="7" t="n">
        <v>246</v>
      </c>
      <c r="S98" s="7" t="n">
        <v>46</v>
      </c>
      <c r="T98" s="7" t="n">
        <v>24</v>
      </c>
      <c r="U98" s="7" t="n">
        <v>3274</v>
      </c>
      <c r="V98" s="7" t="n">
        <v>602</v>
      </c>
    </row>
    <row r="99" customFormat="false" ht="15" hidden="false" customHeight="false" outlineLevel="0" collapsed="false">
      <c r="A99" s="4" t="s">
        <v>315</v>
      </c>
      <c r="B99" s="4" t="str">
        <f aca="false">IF(AND(I99&gt;='Read Me &amp; Markers'!$B$18,J99&gt;='Read Me &amp; Markers'!$B$19,L99&gt;='Read Me &amp; Markers'!$B$20),"A. Proven winner",IF(AND(I99&gt;='Read Me &amp; Markers'!$B$18,J99&gt;='Read Me &amp; Markers'!$B$19,L99&gt;='Read Me &amp; Markers'!$B$21),"B. Strong performer",IF(AND(I99&gt;='Read Me &amp; Markers'!$B$22,L99&gt;='Read Me &amp; Markers'!$B$23),"C. Scale workhorse",IF(AND(I99&gt;='Read Me &amp; Markers'!$B$24,I99&lt;'Read Me &amp; Markers'!$B$18,J99&gt;='Read Me &amp; Markers'!$B$25,L99&gt;='Read Me &amp; Markers'!$B$26),"D. Promising (needs more spend)",""))))</f>
        <v>D. Promising (needs more spend)</v>
      </c>
      <c r="C99" s="4" t="s">
        <v>314</v>
      </c>
      <c r="D99" s="4" t="s">
        <v>109</v>
      </c>
      <c r="E99" s="4" t="s">
        <v>316</v>
      </c>
      <c r="F99" s="4" t="s">
        <v>111</v>
      </c>
      <c r="G99" s="4" t="s">
        <v>317</v>
      </c>
      <c r="H99" s="4" t="s">
        <v>319</v>
      </c>
      <c r="I99" s="5" t="n">
        <v>434.6</v>
      </c>
      <c r="J99" s="7" t="n">
        <v>10</v>
      </c>
      <c r="K99" s="5" t="n">
        <v>743.2</v>
      </c>
      <c r="L99" s="8" t="n">
        <v>1.710078</v>
      </c>
      <c r="M99" s="9" t="n">
        <v>43.46</v>
      </c>
      <c r="N99" s="10" t="n">
        <v>0.0193248</v>
      </c>
      <c r="O99" s="5" t="n">
        <v>50.59</v>
      </c>
      <c r="P99" s="11" t="n">
        <v>1.596951</v>
      </c>
      <c r="Q99" s="7" t="n">
        <v>8590</v>
      </c>
      <c r="R99" s="7" t="n">
        <v>166</v>
      </c>
      <c r="S99" s="7" t="n">
        <v>8</v>
      </c>
      <c r="T99" s="7" t="n">
        <v>21</v>
      </c>
      <c r="U99" s="7" t="n">
        <v>0</v>
      </c>
      <c r="V99" s="7" t="n">
        <v>0</v>
      </c>
    </row>
    <row r="100" customFormat="false" ht="15" hidden="false" customHeight="false" outlineLevel="0" collapsed="false">
      <c r="A100" s="4" t="s">
        <v>665</v>
      </c>
      <c r="B100" s="4" t="str">
        <f aca="false">IF(AND(I100&gt;='Read Me &amp; Markers'!$B$18,J100&gt;='Read Me &amp; Markers'!$B$19,L100&gt;='Read Me &amp; Markers'!$B$20),"A. Proven winner",IF(AND(I100&gt;='Read Me &amp; Markers'!$B$18,J100&gt;='Read Me &amp; Markers'!$B$19,L100&gt;='Read Me &amp; Markers'!$B$21),"B. Strong performer",IF(AND(I100&gt;='Read Me &amp; Markers'!$B$22,L100&gt;='Read Me &amp; Markers'!$B$23),"C. Scale workhorse",IF(AND(I100&gt;='Read Me &amp; Markers'!$B$24,I100&lt;'Read Me &amp; Markers'!$B$18,J100&gt;='Read Me &amp; Markers'!$B$25,L100&gt;='Read Me &amp; Markers'!$B$26),"D. Promising (needs more spend)",""))))</f>
        <v/>
      </c>
      <c r="C100" s="4" t="s">
        <v>121</v>
      </c>
      <c r="D100" s="4" t="s">
        <v>100</v>
      </c>
      <c r="E100" s="4" t="s">
        <v>101</v>
      </c>
      <c r="F100" s="4" t="s">
        <v>87</v>
      </c>
      <c r="G100" s="4" t="s">
        <v>102</v>
      </c>
      <c r="H100" s="4" t="s">
        <v>666</v>
      </c>
      <c r="I100" s="5" t="n">
        <v>434.12</v>
      </c>
      <c r="J100" s="7" t="n">
        <v>6</v>
      </c>
      <c r="K100" s="5" t="n">
        <v>302.23</v>
      </c>
      <c r="L100" s="8" t="n">
        <v>0.69619</v>
      </c>
      <c r="M100" s="9" t="n">
        <v>72.35</v>
      </c>
      <c r="N100" s="10" t="n">
        <v>0.02880995</v>
      </c>
      <c r="O100" s="5" t="n">
        <v>71.06</v>
      </c>
      <c r="P100" s="11" t="n">
        <v>1.241162</v>
      </c>
      <c r="Q100" s="7" t="n">
        <v>6109</v>
      </c>
      <c r="R100" s="7" t="n">
        <v>176</v>
      </c>
      <c r="S100" s="7" t="n">
        <v>33</v>
      </c>
      <c r="T100" s="7" t="n">
        <v>26</v>
      </c>
      <c r="U100" s="7" t="n">
        <v>5475</v>
      </c>
      <c r="V100" s="7" t="n">
        <v>450</v>
      </c>
    </row>
    <row r="101" customFormat="false" ht="15" hidden="false" customHeight="false" outlineLevel="0" collapsed="false">
      <c r="A101" s="4" t="s">
        <v>667</v>
      </c>
      <c r="B101" s="4" t="str">
        <f aca="false">IF(AND(I101&gt;='Read Me &amp; Markers'!$B$18,J101&gt;='Read Me &amp; Markers'!$B$19,L101&gt;='Read Me &amp; Markers'!$B$20),"A. Proven winner",IF(AND(I101&gt;='Read Me &amp; Markers'!$B$18,J101&gt;='Read Me &amp; Markers'!$B$19,L101&gt;='Read Me &amp; Markers'!$B$21),"B. Strong performer",IF(AND(I101&gt;='Read Me &amp; Markers'!$B$22,L101&gt;='Read Me &amp; Markers'!$B$23),"C. Scale workhorse",IF(AND(I101&gt;='Read Me &amp; Markers'!$B$24,I101&lt;'Read Me &amp; Markers'!$B$18,J101&gt;='Read Me &amp; Markers'!$B$25,L101&gt;='Read Me &amp; Markers'!$B$26),"D. Promising (needs more spend)",""))))</f>
        <v/>
      </c>
      <c r="C101" s="4" t="s">
        <v>668</v>
      </c>
      <c r="D101" s="4" t="s">
        <v>109</v>
      </c>
      <c r="E101" s="4" t="s">
        <v>110</v>
      </c>
      <c r="F101" s="4" t="s">
        <v>87</v>
      </c>
      <c r="G101" s="4" t="s">
        <v>112</v>
      </c>
      <c r="H101" s="4" t="s">
        <v>669</v>
      </c>
      <c r="I101" s="5" t="n">
        <v>429.83</v>
      </c>
      <c r="J101" s="7" t="n">
        <v>4</v>
      </c>
      <c r="K101" s="5" t="n">
        <v>237.83</v>
      </c>
      <c r="L101" s="8" t="n">
        <v>0.553312</v>
      </c>
      <c r="M101" s="9" t="n">
        <v>107.46</v>
      </c>
      <c r="N101" s="10" t="n">
        <v>0.01326841</v>
      </c>
      <c r="O101" s="5" t="n">
        <v>52.32</v>
      </c>
      <c r="P101" s="11" t="n">
        <v>1.791321</v>
      </c>
      <c r="Q101" s="7" t="n">
        <v>8215</v>
      </c>
      <c r="R101" s="7" t="n">
        <v>109</v>
      </c>
      <c r="S101" s="7" t="n">
        <v>8</v>
      </c>
      <c r="T101" s="7" t="n">
        <v>10</v>
      </c>
      <c r="U101" s="7" t="n">
        <v>0</v>
      </c>
      <c r="V101" s="7" t="n">
        <v>0</v>
      </c>
    </row>
    <row r="102" customFormat="false" ht="15" hidden="false" customHeight="false" outlineLevel="0" collapsed="false">
      <c r="A102" s="4" t="s">
        <v>670</v>
      </c>
      <c r="B102" s="4" t="str">
        <f aca="false">IF(AND(I102&gt;='Read Me &amp; Markers'!$B$18,J102&gt;='Read Me &amp; Markers'!$B$19,L102&gt;='Read Me &amp; Markers'!$B$20),"A. Proven winner",IF(AND(I102&gt;='Read Me &amp; Markers'!$B$18,J102&gt;='Read Me &amp; Markers'!$B$19,L102&gt;='Read Me &amp; Markers'!$B$21),"B. Strong performer",IF(AND(I102&gt;='Read Me &amp; Markers'!$B$22,L102&gt;='Read Me &amp; Markers'!$B$23),"C. Scale workhorse",IF(AND(I102&gt;='Read Me &amp; Markers'!$B$24,I102&lt;'Read Me &amp; Markers'!$B$18,J102&gt;='Read Me &amp; Markers'!$B$25,L102&gt;='Read Me &amp; Markers'!$B$26),"D. Promising (needs more spend)",""))))</f>
        <v/>
      </c>
      <c r="C102" s="4" t="s">
        <v>671</v>
      </c>
      <c r="D102" s="4" t="s">
        <v>109</v>
      </c>
      <c r="E102" s="4" t="s">
        <v>572</v>
      </c>
      <c r="F102" s="4" t="s">
        <v>87</v>
      </c>
      <c r="G102" s="4" t="s">
        <v>378</v>
      </c>
      <c r="H102" s="4" t="s">
        <v>672</v>
      </c>
      <c r="I102" s="5" t="n">
        <v>411.85</v>
      </c>
      <c r="J102" s="7" t="n">
        <v>7</v>
      </c>
      <c r="K102" s="5" t="n">
        <v>498.23</v>
      </c>
      <c r="L102" s="8" t="n">
        <v>1.209737</v>
      </c>
      <c r="M102" s="9" t="n">
        <v>58.84</v>
      </c>
      <c r="N102" s="10" t="n">
        <v>0.01713784</v>
      </c>
      <c r="O102" s="5" t="n">
        <v>60.33</v>
      </c>
      <c r="P102" s="11" t="n">
        <v>1.597333</v>
      </c>
      <c r="Q102" s="7" t="n">
        <v>6827</v>
      </c>
      <c r="R102" s="7" t="n">
        <v>117</v>
      </c>
      <c r="S102" s="7" t="n">
        <v>5</v>
      </c>
      <c r="T102" s="7" t="n">
        <v>19</v>
      </c>
      <c r="U102" s="7" t="n">
        <v>0</v>
      </c>
      <c r="V102" s="7" t="n">
        <v>0</v>
      </c>
    </row>
    <row r="103" customFormat="false" ht="15" hidden="false" customHeight="false" outlineLevel="0" collapsed="false">
      <c r="A103" s="4" t="s">
        <v>673</v>
      </c>
      <c r="B103" s="4" t="str">
        <f aca="false">IF(AND(I103&gt;='Read Me &amp; Markers'!$B$18,J103&gt;='Read Me &amp; Markers'!$B$19,L103&gt;='Read Me &amp; Markers'!$B$20),"A. Proven winner",IF(AND(I103&gt;='Read Me &amp; Markers'!$B$18,J103&gt;='Read Me &amp; Markers'!$B$19,L103&gt;='Read Me &amp; Markers'!$B$21),"B. Strong performer",IF(AND(I103&gt;='Read Me &amp; Markers'!$B$22,L103&gt;='Read Me &amp; Markers'!$B$23),"C. Scale workhorse",IF(AND(I103&gt;='Read Me &amp; Markers'!$B$24,I103&lt;'Read Me &amp; Markers'!$B$18,J103&gt;='Read Me &amp; Markers'!$B$25,L103&gt;='Read Me &amp; Markers'!$B$26),"D. Promising (needs more spend)",""))))</f>
        <v/>
      </c>
      <c r="C103" s="4" t="s">
        <v>226</v>
      </c>
      <c r="D103" s="4" t="s">
        <v>228</v>
      </c>
      <c r="E103" s="4" t="s">
        <v>674</v>
      </c>
      <c r="F103" s="4" t="s">
        <v>230</v>
      </c>
      <c r="G103" s="4" t="s">
        <v>262</v>
      </c>
      <c r="H103" s="4" t="s">
        <v>675</v>
      </c>
      <c r="I103" s="5" t="n">
        <v>403.33</v>
      </c>
      <c r="J103" s="7" t="n">
        <v>6</v>
      </c>
      <c r="K103" s="5" t="n">
        <v>491.8</v>
      </c>
      <c r="L103" s="8" t="n">
        <v>1.219349</v>
      </c>
      <c r="M103" s="9" t="n">
        <v>67.22</v>
      </c>
      <c r="N103" s="10" t="n">
        <v>0.02492928</v>
      </c>
      <c r="O103" s="5" t="n">
        <v>71.31</v>
      </c>
      <c r="P103" s="11" t="n">
        <v>1.741916</v>
      </c>
      <c r="Q103" s="7" t="n">
        <v>5656</v>
      </c>
      <c r="R103" s="7" t="n">
        <v>141</v>
      </c>
      <c r="S103" s="7" t="n">
        <v>11</v>
      </c>
      <c r="T103" s="7" t="n">
        <v>14</v>
      </c>
      <c r="U103" s="7" t="n">
        <v>1852</v>
      </c>
      <c r="V103" s="7" t="n">
        <v>134</v>
      </c>
    </row>
    <row r="104" customFormat="false" ht="15" hidden="false" customHeight="false" outlineLevel="0" collapsed="false">
      <c r="A104" s="4" t="s">
        <v>676</v>
      </c>
      <c r="B104" s="4" t="str">
        <f aca="false">IF(AND(I104&gt;='Read Me &amp; Markers'!$B$18,J104&gt;='Read Me &amp; Markers'!$B$19,L104&gt;='Read Me &amp; Markers'!$B$20),"A. Proven winner",IF(AND(I104&gt;='Read Me &amp; Markers'!$B$18,J104&gt;='Read Me &amp; Markers'!$B$19,L104&gt;='Read Me &amp; Markers'!$B$21),"B. Strong performer",IF(AND(I104&gt;='Read Me &amp; Markers'!$B$22,L104&gt;='Read Me &amp; Markers'!$B$23),"C. Scale workhorse",IF(AND(I104&gt;='Read Me &amp; Markers'!$B$24,I104&lt;'Read Me &amp; Markers'!$B$18,J104&gt;='Read Me &amp; Markers'!$B$25,L104&gt;='Read Me &amp; Markers'!$B$26),"D. Promising (needs more spend)",""))))</f>
        <v/>
      </c>
      <c r="C104" s="4" t="s">
        <v>169</v>
      </c>
      <c r="D104" s="4" t="s">
        <v>100</v>
      </c>
      <c r="E104" s="4" t="s">
        <v>677</v>
      </c>
      <c r="F104" s="4" t="s">
        <v>87</v>
      </c>
      <c r="G104" s="4" t="s">
        <v>132</v>
      </c>
      <c r="H104" s="4" t="s">
        <v>678</v>
      </c>
      <c r="I104" s="5" t="n">
        <v>395.6</v>
      </c>
      <c r="J104" s="7" t="n">
        <v>8</v>
      </c>
      <c r="K104" s="5" t="n">
        <v>432.19</v>
      </c>
      <c r="L104" s="8" t="n">
        <v>1.092492</v>
      </c>
      <c r="M104" s="9" t="n">
        <v>49.45</v>
      </c>
      <c r="N104" s="10" t="n">
        <v>0.03277533</v>
      </c>
      <c r="O104" s="5" t="n">
        <v>69.71</v>
      </c>
      <c r="P104" s="11" t="n">
        <v>1.405051</v>
      </c>
      <c r="Q104" s="7" t="n">
        <v>5675</v>
      </c>
      <c r="R104" s="7" t="n">
        <v>186</v>
      </c>
      <c r="S104" s="7" t="n">
        <v>9</v>
      </c>
      <c r="T104" s="7" t="n">
        <v>33</v>
      </c>
      <c r="U104" s="7" t="n">
        <v>4758</v>
      </c>
      <c r="V104" s="7" t="n">
        <v>505</v>
      </c>
    </row>
    <row r="105" customFormat="false" ht="15" hidden="false" customHeight="false" outlineLevel="0" collapsed="false">
      <c r="A105" s="4" t="s">
        <v>679</v>
      </c>
      <c r="B105" s="4" t="str">
        <f aca="false">IF(AND(I105&gt;='Read Me &amp; Markers'!$B$18,J105&gt;='Read Me &amp; Markers'!$B$19,L105&gt;='Read Me &amp; Markers'!$B$20),"A. Proven winner",IF(AND(I105&gt;='Read Me &amp; Markers'!$B$18,J105&gt;='Read Me &amp; Markers'!$B$19,L105&gt;='Read Me &amp; Markers'!$B$21),"B. Strong performer",IF(AND(I105&gt;='Read Me &amp; Markers'!$B$22,L105&gt;='Read Me &amp; Markers'!$B$23),"C. Scale workhorse",IF(AND(I105&gt;='Read Me &amp; Markers'!$B$24,I105&lt;'Read Me &amp; Markers'!$B$18,J105&gt;='Read Me &amp; Markers'!$B$25,L105&gt;='Read Me &amp; Markers'!$B$26),"D. Promising (needs more spend)",""))))</f>
        <v/>
      </c>
      <c r="C105" s="4" t="s">
        <v>302</v>
      </c>
      <c r="D105" s="4" t="s">
        <v>228</v>
      </c>
      <c r="E105" s="4" t="s">
        <v>680</v>
      </c>
      <c r="F105" s="4" t="s">
        <v>230</v>
      </c>
      <c r="G105" s="4" t="s">
        <v>262</v>
      </c>
      <c r="H105" s="4" t="s">
        <v>681</v>
      </c>
      <c r="I105" s="5" t="n">
        <v>388.75</v>
      </c>
      <c r="J105" s="7" t="n">
        <v>3</v>
      </c>
      <c r="K105" s="5" t="n">
        <v>171.87</v>
      </c>
      <c r="L105" s="8" t="n">
        <v>0.442109</v>
      </c>
      <c r="M105" s="9" t="n">
        <v>129.58</v>
      </c>
      <c r="N105" s="10" t="n">
        <v>0.02897416</v>
      </c>
      <c r="O105" s="5" t="n">
        <v>76.11</v>
      </c>
      <c r="P105" s="11" t="n">
        <v>1.443346</v>
      </c>
      <c r="Q105" s="7" t="n">
        <v>5108</v>
      </c>
      <c r="R105" s="7" t="n">
        <v>148</v>
      </c>
      <c r="S105" s="7" t="n">
        <v>11</v>
      </c>
      <c r="T105" s="7" t="n">
        <v>19</v>
      </c>
      <c r="U105" s="7" t="n">
        <v>3939</v>
      </c>
      <c r="V105" s="7" t="n">
        <v>356</v>
      </c>
    </row>
    <row r="106" customFormat="false" ht="15" hidden="false" customHeight="false" outlineLevel="0" collapsed="false">
      <c r="A106" s="4" t="s">
        <v>682</v>
      </c>
      <c r="B106" s="4" t="str">
        <f aca="false">IF(AND(I106&gt;='Read Me &amp; Markers'!$B$18,J106&gt;='Read Me &amp; Markers'!$B$19,L106&gt;='Read Me &amp; Markers'!$B$20),"A. Proven winner",IF(AND(I106&gt;='Read Me &amp; Markers'!$B$18,J106&gt;='Read Me &amp; Markers'!$B$19,L106&gt;='Read Me &amp; Markers'!$B$21),"B. Strong performer",IF(AND(I106&gt;='Read Me &amp; Markers'!$B$22,L106&gt;='Read Me &amp; Markers'!$B$23),"C. Scale workhorse",IF(AND(I106&gt;='Read Me &amp; Markers'!$B$24,I106&lt;'Read Me &amp; Markers'!$B$18,J106&gt;='Read Me &amp; Markers'!$B$25,L106&gt;='Read Me &amp; Markers'!$B$26),"D. Promising (needs more spend)",""))))</f>
        <v/>
      </c>
      <c r="C106" s="4" t="s">
        <v>683</v>
      </c>
      <c r="D106" s="4" t="s">
        <v>109</v>
      </c>
      <c r="E106" s="4" t="s">
        <v>110</v>
      </c>
      <c r="F106" s="4" t="s">
        <v>87</v>
      </c>
      <c r="G106" s="4" t="s">
        <v>112</v>
      </c>
      <c r="H106" s="4" t="s">
        <v>684</v>
      </c>
      <c r="I106" s="5" t="n">
        <v>386.96</v>
      </c>
      <c r="J106" s="7" t="n">
        <v>5</v>
      </c>
      <c r="K106" s="5" t="n">
        <v>256.18</v>
      </c>
      <c r="L106" s="8" t="n">
        <v>0.662032</v>
      </c>
      <c r="M106" s="9" t="n">
        <v>77.39</v>
      </c>
      <c r="N106" s="10" t="n">
        <v>0.01141706</v>
      </c>
      <c r="O106" s="5" t="n">
        <v>51.98</v>
      </c>
      <c r="P106" s="11" t="n">
        <v>1.757554</v>
      </c>
      <c r="Q106" s="7" t="n">
        <v>7445</v>
      </c>
      <c r="R106" s="7" t="n">
        <v>85</v>
      </c>
      <c r="S106" s="7" t="n">
        <v>4</v>
      </c>
      <c r="T106" s="7" t="n">
        <v>15</v>
      </c>
      <c r="U106" s="7" t="n">
        <v>0</v>
      </c>
      <c r="V106" s="7" t="n">
        <v>0</v>
      </c>
    </row>
    <row r="107" customFormat="false" ht="15" hidden="false" customHeight="false" outlineLevel="0" collapsed="false">
      <c r="A107" s="4" t="s">
        <v>685</v>
      </c>
      <c r="B107" s="4" t="str">
        <f aca="false">IF(AND(I107&gt;='Read Me &amp; Markers'!$B$18,J107&gt;='Read Me &amp; Markers'!$B$19,L107&gt;='Read Me &amp; Markers'!$B$20),"A. Proven winner",IF(AND(I107&gt;='Read Me &amp; Markers'!$B$18,J107&gt;='Read Me &amp; Markers'!$B$19,L107&gt;='Read Me &amp; Markers'!$B$21),"B. Strong performer",IF(AND(I107&gt;='Read Me &amp; Markers'!$B$22,L107&gt;='Read Me &amp; Markers'!$B$23),"C. Scale workhorse",IF(AND(I107&gt;='Read Me &amp; Markers'!$B$24,I107&lt;'Read Me &amp; Markers'!$B$18,J107&gt;='Read Me &amp; Markers'!$B$25,L107&gt;='Read Me &amp; Markers'!$B$26),"D. Promising (needs more spend)",""))))</f>
        <v/>
      </c>
      <c r="C107" s="4" t="s">
        <v>686</v>
      </c>
      <c r="D107" s="4" t="s">
        <v>109</v>
      </c>
      <c r="E107" s="4" t="s">
        <v>687</v>
      </c>
      <c r="F107" s="4" t="s">
        <v>87</v>
      </c>
      <c r="G107" s="4" t="s">
        <v>317</v>
      </c>
      <c r="H107" s="4" t="s">
        <v>688</v>
      </c>
      <c r="I107" s="5" t="n">
        <v>378</v>
      </c>
      <c r="J107" s="7" t="n">
        <v>5</v>
      </c>
      <c r="K107" s="5" t="n">
        <v>421.82</v>
      </c>
      <c r="L107" s="8" t="n">
        <v>1.115926</v>
      </c>
      <c r="M107" s="9" t="n">
        <v>75.6</v>
      </c>
      <c r="N107" s="10" t="n">
        <v>0.02485437</v>
      </c>
      <c r="O107" s="5" t="n">
        <v>73.4</v>
      </c>
      <c r="P107" s="11" t="n">
        <v>1.654884</v>
      </c>
      <c r="Q107" s="7" t="n">
        <v>5150</v>
      </c>
      <c r="R107" s="7" t="n">
        <v>128</v>
      </c>
      <c r="S107" s="7" t="n">
        <v>11</v>
      </c>
      <c r="T107" s="7" t="n">
        <v>14</v>
      </c>
      <c r="U107" s="7" t="n">
        <v>0</v>
      </c>
      <c r="V107" s="7" t="n">
        <v>0</v>
      </c>
    </row>
    <row r="108" customFormat="false" ht="15" hidden="false" customHeight="false" outlineLevel="0" collapsed="false">
      <c r="A108" s="4" t="s">
        <v>308</v>
      </c>
      <c r="B108" s="4" t="str">
        <f aca="false">IF(AND(I108&gt;='Read Me &amp; Markers'!$B$18,J108&gt;='Read Me &amp; Markers'!$B$19,L108&gt;='Read Me &amp; Markers'!$B$20),"A. Proven winner",IF(AND(I108&gt;='Read Me &amp; Markers'!$B$18,J108&gt;='Read Me &amp; Markers'!$B$19,L108&gt;='Read Me &amp; Markers'!$B$21),"B. Strong performer",IF(AND(I108&gt;='Read Me &amp; Markers'!$B$22,L108&gt;='Read Me &amp; Markers'!$B$23),"C. Scale workhorse",IF(AND(I108&gt;='Read Me &amp; Markers'!$B$24,I108&lt;'Read Me &amp; Markers'!$B$18,J108&gt;='Read Me &amp; Markers'!$B$25,L108&gt;='Read Me &amp; Markers'!$B$26),"D. Promising (needs more spend)",""))))</f>
        <v>D. Promising (needs more spend)</v>
      </c>
      <c r="C108" s="4" t="s">
        <v>307</v>
      </c>
      <c r="D108" s="4" t="s">
        <v>100</v>
      </c>
      <c r="E108" s="4" t="s">
        <v>309</v>
      </c>
      <c r="F108" s="4" t="s">
        <v>87</v>
      </c>
      <c r="G108" s="4" t="s">
        <v>310</v>
      </c>
      <c r="H108" s="4" t="s">
        <v>312</v>
      </c>
      <c r="I108" s="5" t="n">
        <v>376.28</v>
      </c>
      <c r="J108" s="7" t="n">
        <v>10</v>
      </c>
      <c r="K108" s="5" t="n">
        <v>657.97</v>
      </c>
      <c r="L108" s="8" t="n">
        <v>1.748618</v>
      </c>
      <c r="M108" s="9" t="n">
        <v>37.63</v>
      </c>
      <c r="N108" s="10" t="n">
        <v>0.02171624</v>
      </c>
      <c r="O108" s="5" t="n">
        <v>49.52</v>
      </c>
      <c r="P108" s="11" t="n">
        <v>1.572759</v>
      </c>
      <c r="Q108" s="7" t="n">
        <v>7598</v>
      </c>
      <c r="R108" s="7" t="n">
        <v>165</v>
      </c>
      <c r="S108" s="7" t="n">
        <v>33</v>
      </c>
      <c r="T108" s="7" t="n">
        <v>30</v>
      </c>
      <c r="U108" s="7" t="n">
        <v>6013</v>
      </c>
      <c r="V108" s="7" t="n">
        <v>358</v>
      </c>
    </row>
    <row r="109" customFormat="false" ht="15" hidden="false" customHeight="false" outlineLevel="0" collapsed="false">
      <c r="A109" s="4" t="s">
        <v>368</v>
      </c>
      <c r="B109" s="4" t="str">
        <f aca="false">IF(AND(I109&gt;='Read Me &amp; Markers'!$B$18,J109&gt;='Read Me &amp; Markers'!$B$19,L109&gt;='Read Me &amp; Markers'!$B$20),"A. Proven winner",IF(AND(I109&gt;='Read Me &amp; Markers'!$B$18,J109&gt;='Read Me &amp; Markers'!$B$19,L109&gt;='Read Me &amp; Markers'!$B$21),"B. Strong performer",IF(AND(I109&gt;='Read Me &amp; Markers'!$B$22,L109&gt;='Read Me &amp; Markers'!$B$23),"C. Scale workhorse",IF(AND(I109&gt;='Read Me &amp; Markers'!$B$24,I109&lt;'Read Me &amp; Markers'!$B$18,J109&gt;='Read Me &amp; Markers'!$B$25,L109&gt;='Read Me &amp; Markers'!$B$26),"D. Promising (needs more spend)",""))))</f>
        <v>D. Promising (needs more spend)</v>
      </c>
      <c r="C109" s="4" t="s">
        <v>367</v>
      </c>
      <c r="D109" s="4" t="s">
        <v>369</v>
      </c>
      <c r="E109" s="4" t="s">
        <v>370</v>
      </c>
      <c r="F109" s="4" t="s">
        <v>87</v>
      </c>
      <c r="G109" s="4" t="s">
        <v>371</v>
      </c>
      <c r="H109" s="4" t="s">
        <v>373</v>
      </c>
      <c r="I109" s="5" t="n">
        <v>373.28</v>
      </c>
      <c r="J109" s="7" t="n">
        <v>8</v>
      </c>
      <c r="K109" s="5" t="n">
        <v>523.67</v>
      </c>
      <c r="L109" s="8" t="n">
        <v>1.402888</v>
      </c>
      <c r="M109" s="9" t="n">
        <v>46.66</v>
      </c>
      <c r="N109" s="10" t="n">
        <v>0.01839254</v>
      </c>
      <c r="O109" s="5" t="n">
        <v>31.35</v>
      </c>
      <c r="P109" s="11" t="n">
        <v>1.695912</v>
      </c>
      <c r="Q109" s="7" t="n">
        <v>11907</v>
      </c>
      <c r="R109" s="7" t="n">
        <v>219</v>
      </c>
      <c r="S109" s="7" t="n">
        <v>26</v>
      </c>
      <c r="T109" s="7" t="n">
        <v>20</v>
      </c>
      <c r="U109" s="7" t="n">
        <v>7003</v>
      </c>
      <c r="V109" s="7" t="n">
        <v>897</v>
      </c>
    </row>
    <row r="110" customFormat="false" ht="15" hidden="false" customHeight="false" outlineLevel="0" collapsed="false">
      <c r="A110" s="4" t="s">
        <v>689</v>
      </c>
      <c r="B110" s="4" t="str">
        <f aca="false">IF(AND(I110&gt;='Read Me &amp; Markers'!$B$18,J110&gt;='Read Me &amp; Markers'!$B$19,L110&gt;='Read Me &amp; Markers'!$B$20),"A. Proven winner",IF(AND(I110&gt;='Read Me &amp; Markers'!$B$18,J110&gt;='Read Me &amp; Markers'!$B$19,L110&gt;='Read Me &amp; Markers'!$B$21),"B. Strong performer",IF(AND(I110&gt;='Read Me &amp; Markers'!$B$22,L110&gt;='Read Me &amp; Markers'!$B$23),"C. Scale workhorse",IF(AND(I110&gt;='Read Me &amp; Markers'!$B$24,I110&lt;'Read Me &amp; Markers'!$B$18,J110&gt;='Read Me &amp; Markers'!$B$25,L110&gt;='Read Me &amp; Markers'!$B$26),"D. Promising (needs more spend)",""))))</f>
        <v/>
      </c>
      <c r="C110" s="4" t="s">
        <v>129</v>
      </c>
      <c r="D110" s="4" t="s">
        <v>100</v>
      </c>
      <c r="E110" s="4" t="s">
        <v>690</v>
      </c>
      <c r="F110" s="4" t="s">
        <v>87</v>
      </c>
      <c r="G110" s="4" t="s">
        <v>342</v>
      </c>
      <c r="H110" s="4" t="s">
        <v>691</v>
      </c>
      <c r="I110" s="5" t="n">
        <v>371.33</v>
      </c>
      <c r="J110" s="7" t="n">
        <v>5</v>
      </c>
      <c r="K110" s="5" t="n">
        <v>263.96</v>
      </c>
      <c r="L110" s="8" t="n">
        <v>0.71085</v>
      </c>
      <c r="M110" s="9" t="n">
        <v>74.27</v>
      </c>
      <c r="N110" s="10" t="n">
        <v>0.03236246</v>
      </c>
      <c r="O110" s="5" t="n">
        <v>109.25</v>
      </c>
      <c r="P110" s="11" t="n">
        <v>1.043919</v>
      </c>
      <c r="Q110" s="7" t="n">
        <v>3399</v>
      </c>
      <c r="R110" s="7" t="n">
        <v>110</v>
      </c>
      <c r="S110" s="7" t="n">
        <v>14</v>
      </c>
      <c r="T110" s="7" t="n">
        <v>6</v>
      </c>
      <c r="U110" s="7" t="n">
        <v>3209</v>
      </c>
      <c r="V110" s="7" t="n">
        <v>535</v>
      </c>
    </row>
    <row r="111" customFormat="false" ht="15" hidden="false" customHeight="false" outlineLevel="0" collapsed="false">
      <c r="A111" s="4" t="s">
        <v>692</v>
      </c>
      <c r="B111" s="4" t="str">
        <f aca="false">IF(AND(I111&gt;='Read Me &amp; Markers'!$B$18,J111&gt;='Read Me &amp; Markers'!$B$19,L111&gt;='Read Me &amp; Markers'!$B$20),"A. Proven winner",IF(AND(I111&gt;='Read Me &amp; Markers'!$B$18,J111&gt;='Read Me &amp; Markers'!$B$19,L111&gt;='Read Me &amp; Markers'!$B$21),"B. Strong performer",IF(AND(I111&gt;='Read Me &amp; Markers'!$B$22,L111&gt;='Read Me &amp; Markers'!$B$23),"C. Scale workhorse",IF(AND(I111&gt;='Read Me &amp; Markers'!$B$24,I111&lt;'Read Me &amp; Markers'!$B$18,J111&gt;='Read Me &amp; Markers'!$B$25,L111&gt;='Read Me &amp; Markers'!$B$26),"D. Promising (needs more spend)",""))))</f>
        <v/>
      </c>
      <c r="C111" s="4" t="s">
        <v>693</v>
      </c>
      <c r="D111" s="4" t="s">
        <v>369</v>
      </c>
      <c r="E111" s="4" t="s">
        <v>694</v>
      </c>
      <c r="F111" s="4" t="s">
        <v>87</v>
      </c>
      <c r="G111" s="4" t="s">
        <v>695</v>
      </c>
      <c r="H111" s="4" t="s">
        <v>696</v>
      </c>
      <c r="I111" s="5" t="n">
        <v>369.36</v>
      </c>
      <c r="J111" s="7" t="n">
        <v>3</v>
      </c>
      <c r="K111" s="5" t="n">
        <v>239.85</v>
      </c>
      <c r="L111" s="8" t="n">
        <v>0.649366</v>
      </c>
      <c r="M111" s="9" t="n">
        <v>123.12</v>
      </c>
      <c r="N111" s="10" t="n">
        <v>0.02627166</v>
      </c>
      <c r="O111" s="5" t="n">
        <v>68.82</v>
      </c>
      <c r="P111" s="11" t="n">
        <v>1.277857</v>
      </c>
      <c r="Q111" s="7" t="n">
        <v>5367</v>
      </c>
      <c r="R111" s="7" t="n">
        <v>141</v>
      </c>
      <c r="S111" s="7" t="n">
        <v>12</v>
      </c>
      <c r="T111" s="7" t="n">
        <v>12</v>
      </c>
      <c r="U111" s="7" t="n">
        <v>4318</v>
      </c>
      <c r="V111" s="7" t="n">
        <v>577</v>
      </c>
    </row>
    <row r="112" customFormat="false" ht="15" hidden="false" customHeight="false" outlineLevel="0" collapsed="false">
      <c r="A112" s="4" t="s">
        <v>697</v>
      </c>
      <c r="B112" s="4" t="str">
        <f aca="false">IF(AND(I112&gt;='Read Me &amp; Markers'!$B$18,J112&gt;='Read Me &amp; Markers'!$B$19,L112&gt;='Read Me &amp; Markers'!$B$20),"A. Proven winner",IF(AND(I112&gt;='Read Me &amp; Markers'!$B$18,J112&gt;='Read Me &amp; Markers'!$B$19,L112&gt;='Read Me &amp; Markers'!$B$21),"B. Strong performer",IF(AND(I112&gt;='Read Me &amp; Markers'!$B$22,L112&gt;='Read Me &amp; Markers'!$B$23),"C. Scale workhorse",IF(AND(I112&gt;='Read Me &amp; Markers'!$B$24,I112&lt;'Read Me &amp; Markers'!$B$18,J112&gt;='Read Me &amp; Markers'!$B$25,L112&gt;='Read Me &amp; Markers'!$B$26),"D. Promising (needs more spend)",""))))</f>
        <v/>
      </c>
      <c r="C112" s="4" t="s">
        <v>698</v>
      </c>
      <c r="D112" s="4" t="s">
        <v>109</v>
      </c>
      <c r="E112" s="4" t="s">
        <v>699</v>
      </c>
      <c r="F112" s="4" t="s">
        <v>87</v>
      </c>
      <c r="G112" s="4" t="s">
        <v>599</v>
      </c>
      <c r="H112" s="4" t="s">
        <v>700</v>
      </c>
      <c r="I112" s="5" t="n">
        <v>367.05</v>
      </c>
      <c r="J112" s="7" t="n">
        <v>8</v>
      </c>
      <c r="K112" s="5" t="n">
        <v>406.42</v>
      </c>
      <c r="L112" s="8" t="n">
        <v>1.107261</v>
      </c>
      <c r="M112" s="9" t="n">
        <v>45.88</v>
      </c>
      <c r="N112" s="10" t="n">
        <v>0.0583878</v>
      </c>
      <c r="O112" s="5" t="n">
        <v>159.93</v>
      </c>
      <c r="P112" s="11" t="n">
        <v>1.319724</v>
      </c>
      <c r="Q112" s="7" t="n">
        <v>2295</v>
      </c>
      <c r="R112" s="7" t="n">
        <v>134</v>
      </c>
      <c r="S112" s="7" t="n">
        <v>5</v>
      </c>
      <c r="T112" s="7" t="n">
        <v>16</v>
      </c>
      <c r="U112" s="7" t="n">
        <v>1844</v>
      </c>
      <c r="V112" s="7" t="n">
        <v>238</v>
      </c>
    </row>
    <row r="113" customFormat="false" ht="15" hidden="false" customHeight="false" outlineLevel="0" collapsed="false">
      <c r="A113" s="4" t="s">
        <v>701</v>
      </c>
      <c r="B113" s="4" t="str">
        <f aca="false">IF(AND(I113&gt;='Read Me &amp; Markers'!$B$18,J113&gt;='Read Me &amp; Markers'!$B$19,L113&gt;='Read Me &amp; Markers'!$B$20),"A. Proven winner",IF(AND(I113&gt;='Read Me &amp; Markers'!$B$18,J113&gt;='Read Me &amp; Markers'!$B$19,L113&gt;='Read Me &amp; Markers'!$B$21),"B. Strong performer",IF(AND(I113&gt;='Read Me &amp; Markers'!$B$22,L113&gt;='Read Me &amp; Markers'!$B$23),"C. Scale workhorse",IF(AND(I113&gt;='Read Me &amp; Markers'!$B$24,I113&lt;'Read Me &amp; Markers'!$B$18,J113&gt;='Read Me &amp; Markers'!$B$25,L113&gt;='Read Me &amp; Markers'!$B$26),"D. Promising (needs more spend)",""))))</f>
        <v/>
      </c>
      <c r="C113" s="4" t="s">
        <v>129</v>
      </c>
      <c r="D113" s="4" t="s">
        <v>206</v>
      </c>
      <c r="E113" s="4" t="s">
        <v>702</v>
      </c>
      <c r="F113" s="4" t="s">
        <v>87</v>
      </c>
      <c r="G113" s="4" t="s">
        <v>208</v>
      </c>
      <c r="H113" s="4" t="s">
        <v>703</v>
      </c>
      <c r="I113" s="5" t="n">
        <v>360.75</v>
      </c>
      <c r="J113" s="7" t="n">
        <v>5</v>
      </c>
      <c r="K113" s="5" t="n">
        <v>266.17</v>
      </c>
      <c r="L113" s="8" t="n">
        <v>0.737824</v>
      </c>
      <c r="M113" s="9" t="n">
        <v>72.15</v>
      </c>
      <c r="N113" s="10" t="n">
        <v>0.04335793</v>
      </c>
      <c r="O113" s="5" t="n">
        <v>110.93</v>
      </c>
      <c r="P113" s="11" t="n">
        <v>1.152374</v>
      </c>
      <c r="Q113" s="7" t="n">
        <v>3252</v>
      </c>
      <c r="R113" s="7" t="n">
        <v>141</v>
      </c>
      <c r="S113" s="7" t="n">
        <v>13</v>
      </c>
      <c r="T113" s="7" t="n">
        <v>10</v>
      </c>
      <c r="U113" s="7" t="n">
        <v>3096</v>
      </c>
      <c r="V113" s="7" t="n">
        <v>749</v>
      </c>
    </row>
    <row r="114" customFormat="false" ht="15" hidden="false" customHeight="false" outlineLevel="0" collapsed="false">
      <c r="A114" s="4" t="s">
        <v>704</v>
      </c>
      <c r="B114" s="4" t="str">
        <f aca="false">IF(AND(I114&gt;='Read Me &amp; Markers'!$B$18,J114&gt;='Read Me &amp; Markers'!$B$19,L114&gt;='Read Me &amp; Markers'!$B$20),"A. Proven winner",IF(AND(I114&gt;='Read Me &amp; Markers'!$B$18,J114&gt;='Read Me &amp; Markers'!$B$19,L114&gt;='Read Me &amp; Markers'!$B$21),"B. Strong performer",IF(AND(I114&gt;='Read Me &amp; Markers'!$B$22,L114&gt;='Read Me &amp; Markers'!$B$23),"C. Scale workhorse",IF(AND(I114&gt;='Read Me &amp; Markers'!$B$24,I114&lt;'Read Me &amp; Markers'!$B$18,J114&gt;='Read Me &amp; Markers'!$B$25,L114&gt;='Read Me &amp; Markers'!$B$26),"D. Promising (needs more spend)",""))))</f>
        <v/>
      </c>
      <c r="C114" s="4" t="s">
        <v>705</v>
      </c>
      <c r="D114" s="4" t="s">
        <v>109</v>
      </c>
      <c r="E114" s="4" t="s">
        <v>552</v>
      </c>
      <c r="F114" s="4" t="s">
        <v>87</v>
      </c>
      <c r="G114" s="4" t="s">
        <v>361</v>
      </c>
      <c r="H114" s="4" t="s">
        <v>706</v>
      </c>
      <c r="I114" s="5" t="n">
        <v>357.77</v>
      </c>
      <c r="J114" s="7" t="n">
        <v>8</v>
      </c>
      <c r="K114" s="5" t="n">
        <v>422.17</v>
      </c>
      <c r="L114" s="8" t="n">
        <v>1.180004</v>
      </c>
      <c r="M114" s="9" t="n">
        <v>44.72</v>
      </c>
      <c r="N114" s="10" t="n">
        <v>0.08888889</v>
      </c>
      <c r="O114" s="5" t="n">
        <v>162.25</v>
      </c>
      <c r="P114" s="11" t="n">
        <v>1.139535</v>
      </c>
      <c r="Q114" s="7" t="n">
        <v>2205</v>
      </c>
      <c r="R114" s="7" t="n">
        <v>196</v>
      </c>
      <c r="S114" s="7" t="n">
        <v>16</v>
      </c>
      <c r="T114" s="7" t="n">
        <v>20</v>
      </c>
      <c r="U114" s="7" t="n">
        <v>2054</v>
      </c>
      <c r="V114" s="7" t="n">
        <v>495</v>
      </c>
    </row>
    <row r="115" customFormat="false" ht="15" hidden="false" customHeight="false" outlineLevel="0" collapsed="false">
      <c r="A115" s="4" t="s">
        <v>707</v>
      </c>
      <c r="B115" s="4" t="str">
        <f aca="false">IF(AND(I115&gt;='Read Me &amp; Markers'!$B$18,J115&gt;='Read Me &amp; Markers'!$B$19,L115&gt;='Read Me &amp; Markers'!$B$20),"A. Proven winner",IF(AND(I115&gt;='Read Me &amp; Markers'!$B$18,J115&gt;='Read Me &amp; Markers'!$B$19,L115&gt;='Read Me &amp; Markers'!$B$21),"B. Strong performer",IF(AND(I115&gt;='Read Me &amp; Markers'!$B$22,L115&gt;='Read Me &amp; Markers'!$B$23),"C. Scale workhorse",IF(AND(I115&gt;='Read Me &amp; Markers'!$B$24,I115&lt;'Read Me &amp; Markers'!$B$18,J115&gt;='Read Me &amp; Markers'!$B$25,L115&gt;='Read Me &amp; Markers'!$B$26),"D. Promising (needs more spend)",""))))</f>
        <v/>
      </c>
      <c r="C115" s="4" t="s">
        <v>121</v>
      </c>
      <c r="D115" s="4" t="s">
        <v>100</v>
      </c>
      <c r="E115" s="4" t="s">
        <v>708</v>
      </c>
      <c r="F115" s="4" t="s">
        <v>87</v>
      </c>
      <c r="G115" s="4" t="s">
        <v>294</v>
      </c>
      <c r="H115" s="4" t="s">
        <v>709</v>
      </c>
      <c r="I115" s="5" t="n">
        <v>337.32</v>
      </c>
      <c r="J115" s="7" t="n">
        <v>4</v>
      </c>
      <c r="K115" s="5" t="n">
        <v>284.9</v>
      </c>
      <c r="L115" s="8" t="n">
        <v>0.844599</v>
      </c>
      <c r="M115" s="9" t="n">
        <v>84.33</v>
      </c>
      <c r="N115" s="10" t="n">
        <v>0.02211642</v>
      </c>
      <c r="O115" s="5" t="n">
        <v>51.81</v>
      </c>
      <c r="P115" s="11" t="n">
        <v>1.432879</v>
      </c>
      <c r="Q115" s="7" t="n">
        <v>6511</v>
      </c>
      <c r="R115" s="7" t="n">
        <v>144</v>
      </c>
      <c r="S115" s="7" t="n">
        <v>17</v>
      </c>
      <c r="T115" s="7" t="n">
        <v>8</v>
      </c>
      <c r="U115" s="7" t="n">
        <v>5071</v>
      </c>
      <c r="V115" s="7" t="n">
        <v>299</v>
      </c>
    </row>
    <row r="116" customFormat="false" ht="15" hidden="false" customHeight="false" outlineLevel="0" collapsed="false">
      <c r="A116" s="4" t="s">
        <v>322</v>
      </c>
      <c r="B116" s="4" t="str">
        <f aca="false">IF(AND(I116&gt;='Read Me &amp; Markers'!$B$18,J116&gt;='Read Me &amp; Markers'!$B$19,L116&gt;='Read Me &amp; Markers'!$B$20),"A. Proven winner",IF(AND(I116&gt;='Read Me &amp; Markers'!$B$18,J116&gt;='Read Me &amp; Markers'!$B$19,L116&gt;='Read Me &amp; Markers'!$B$21),"B. Strong performer",IF(AND(I116&gt;='Read Me &amp; Markers'!$B$22,L116&gt;='Read Me &amp; Markers'!$B$23),"C. Scale workhorse",IF(AND(I116&gt;='Read Me &amp; Markers'!$B$24,I116&lt;'Read Me &amp; Markers'!$B$18,J116&gt;='Read Me &amp; Markers'!$B$25,L116&gt;='Read Me &amp; Markers'!$B$26),"D. Promising (needs more spend)",""))))</f>
        <v>D. Promising (needs more spend)</v>
      </c>
      <c r="C116" s="4" t="s">
        <v>321</v>
      </c>
      <c r="D116" s="4" t="s">
        <v>154</v>
      </c>
      <c r="E116" s="4" t="s">
        <v>323</v>
      </c>
      <c r="F116" s="4" t="s">
        <v>87</v>
      </c>
      <c r="G116" s="4" t="s">
        <v>156</v>
      </c>
      <c r="H116" s="4" t="s">
        <v>325</v>
      </c>
      <c r="I116" s="5" t="n">
        <v>333.22</v>
      </c>
      <c r="J116" s="7" t="n">
        <v>8</v>
      </c>
      <c r="K116" s="5" t="n">
        <v>534.19</v>
      </c>
      <c r="L116" s="8" t="n">
        <v>1.603115</v>
      </c>
      <c r="M116" s="9" t="n">
        <v>41.65</v>
      </c>
      <c r="N116" s="10" t="n">
        <v>0.03394834</v>
      </c>
      <c r="O116" s="5" t="n">
        <v>49.18</v>
      </c>
      <c r="P116" s="11" t="n">
        <v>1.377593</v>
      </c>
      <c r="Q116" s="7" t="n">
        <v>6775</v>
      </c>
      <c r="R116" s="7" t="n">
        <v>230</v>
      </c>
      <c r="S116" s="7" t="n">
        <v>23</v>
      </c>
      <c r="T116" s="7" t="n">
        <v>18</v>
      </c>
      <c r="U116" s="7" t="n">
        <v>5932</v>
      </c>
      <c r="V116" s="7" t="n">
        <v>407</v>
      </c>
    </row>
    <row r="117" customFormat="false" ht="15" hidden="false" customHeight="false" outlineLevel="0" collapsed="false">
      <c r="A117" s="4" t="s">
        <v>710</v>
      </c>
      <c r="B117" s="4" t="str">
        <f aca="false">IF(AND(I117&gt;='Read Me &amp; Markers'!$B$18,J117&gt;='Read Me &amp; Markers'!$B$19,L117&gt;='Read Me &amp; Markers'!$B$20),"A. Proven winner",IF(AND(I117&gt;='Read Me &amp; Markers'!$B$18,J117&gt;='Read Me &amp; Markers'!$B$19,L117&gt;='Read Me &amp; Markers'!$B$21),"B. Strong performer",IF(AND(I117&gt;='Read Me &amp; Markers'!$B$22,L117&gt;='Read Me &amp; Markers'!$B$23),"C. Scale workhorse",IF(AND(I117&gt;='Read Me &amp; Markers'!$B$24,I117&lt;'Read Me &amp; Markers'!$B$18,J117&gt;='Read Me &amp; Markers'!$B$25,L117&gt;='Read Me &amp; Markers'!$B$26),"D. Promising (needs more spend)",""))))</f>
        <v/>
      </c>
      <c r="C117" s="4" t="s">
        <v>226</v>
      </c>
      <c r="D117" s="4" t="s">
        <v>528</v>
      </c>
      <c r="E117" s="4" t="s">
        <v>711</v>
      </c>
      <c r="F117" s="4" t="s">
        <v>230</v>
      </c>
      <c r="G117" s="4" t="s">
        <v>530</v>
      </c>
      <c r="H117" s="4" t="s">
        <v>712</v>
      </c>
      <c r="I117" s="5" t="n">
        <v>328.06</v>
      </c>
      <c r="J117" s="7" t="n">
        <v>5</v>
      </c>
      <c r="K117" s="5" t="n">
        <v>239.87</v>
      </c>
      <c r="L117" s="8" t="n">
        <v>0.731177</v>
      </c>
      <c r="M117" s="9" t="n">
        <v>65.61</v>
      </c>
      <c r="N117" s="10" t="n">
        <v>0.03328632</v>
      </c>
      <c r="O117" s="5" t="n">
        <v>92.54</v>
      </c>
      <c r="P117" s="11" t="n">
        <v>1.215706</v>
      </c>
      <c r="Q117" s="7" t="n">
        <v>3545</v>
      </c>
      <c r="R117" s="7" t="n">
        <v>118</v>
      </c>
      <c r="S117" s="7" t="n">
        <v>9</v>
      </c>
      <c r="T117" s="7" t="n">
        <v>7</v>
      </c>
      <c r="U117" s="7" t="n">
        <v>2998</v>
      </c>
      <c r="V117" s="7" t="n">
        <v>226</v>
      </c>
    </row>
    <row r="118" customFormat="false" ht="15" hidden="false" customHeight="false" outlineLevel="0" collapsed="false">
      <c r="A118" s="4" t="s">
        <v>713</v>
      </c>
      <c r="B118" s="4" t="str">
        <f aca="false">IF(AND(I118&gt;='Read Me &amp; Markers'!$B$18,J118&gt;='Read Me &amp; Markers'!$B$19,L118&gt;='Read Me &amp; Markers'!$B$20),"A. Proven winner",IF(AND(I118&gt;='Read Me &amp; Markers'!$B$18,J118&gt;='Read Me &amp; Markers'!$B$19,L118&gt;='Read Me &amp; Markers'!$B$21),"B. Strong performer",IF(AND(I118&gt;='Read Me &amp; Markers'!$B$22,L118&gt;='Read Me &amp; Markers'!$B$23),"C. Scale workhorse",IF(AND(I118&gt;='Read Me &amp; Markers'!$B$24,I118&lt;'Read Me &amp; Markers'!$B$18,J118&gt;='Read Me &amp; Markers'!$B$25,L118&gt;='Read Me &amp; Markers'!$B$26),"D. Promising (needs more spend)",""))))</f>
        <v/>
      </c>
      <c r="C118" s="4" t="s">
        <v>714</v>
      </c>
      <c r="D118" s="4" t="s">
        <v>109</v>
      </c>
      <c r="E118" s="4" t="s">
        <v>715</v>
      </c>
      <c r="F118" s="4" t="s">
        <v>87</v>
      </c>
      <c r="G118" s="4" t="s">
        <v>583</v>
      </c>
      <c r="H118" s="4" t="s">
        <v>716</v>
      </c>
      <c r="I118" s="5" t="n">
        <v>327.14</v>
      </c>
      <c r="J118" s="7" t="n">
        <v>3</v>
      </c>
      <c r="K118" s="5" t="n">
        <v>119.91</v>
      </c>
      <c r="L118" s="8" t="n">
        <v>0.36654</v>
      </c>
      <c r="M118" s="9" t="n">
        <v>109.05</v>
      </c>
      <c r="N118" s="10" t="n">
        <v>0.0202381</v>
      </c>
      <c r="O118" s="5" t="n">
        <v>64.91</v>
      </c>
      <c r="P118" s="11" t="n">
        <v>1.432225</v>
      </c>
      <c r="Q118" s="7" t="n">
        <v>5040</v>
      </c>
      <c r="R118" s="7" t="n">
        <v>102</v>
      </c>
      <c r="S118" s="7" t="n">
        <v>13</v>
      </c>
      <c r="T118" s="7" t="n">
        <v>7</v>
      </c>
      <c r="U118" s="7" t="n">
        <v>0</v>
      </c>
      <c r="V118" s="7" t="n">
        <v>0</v>
      </c>
    </row>
    <row r="119" customFormat="false" ht="15" hidden="false" customHeight="false" outlineLevel="0" collapsed="false">
      <c r="A119" s="4" t="s">
        <v>376</v>
      </c>
      <c r="B119" s="4" t="str">
        <f aca="false">IF(AND(I119&gt;='Read Me &amp; Markers'!$B$18,J119&gt;='Read Me &amp; Markers'!$B$19,L119&gt;='Read Me &amp; Markers'!$B$20),"A. Proven winner",IF(AND(I119&gt;='Read Me &amp; Markers'!$B$18,J119&gt;='Read Me &amp; Markers'!$B$19,L119&gt;='Read Me &amp; Markers'!$B$21),"B. Strong performer",IF(AND(I119&gt;='Read Me &amp; Markers'!$B$22,L119&gt;='Read Me &amp; Markers'!$B$23),"C. Scale workhorse",IF(AND(I119&gt;='Read Me &amp; Markers'!$B$24,I119&lt;'Read Me &amp; Markers'!$B$18,J119&gt;='Read Me &amp; Markers'!$B$25,L119&gt;='Read Me &amp; Markers'!$B$26),"D. Promising (needs more spend)",""))))</f>
        <v>D. Promising (needs more spend)</v>
      </c>
      <c r="C119" s="4" t="s">
        <v>375</v>
      </c>
      <c r="D119" s="4" t="s">
        <v>109</v>
      </c>
      <c r="E119" s="4" t="s">
        <v>377</v>
      </c>
      <c r="F119" s="4" t="s">
        <v>172</v>
      </c>
      <c r="G119" s="4" t="s">
        <v>378</v>
      </c>
      <c r="H119" s="4" t="s">
        <v>381</v>
      </c>
      <c r="I119" s="5" t="n">
        <v>325.33</v>
      </c>
      <c r="J119" s="7" t="n">
        <v>7</v>
      </c>
      <c r="K119" s="5" t="n">
        <v>451.77</v>
      </c>
      <c r="L119" s="8" t="n">
        <v>1.388652</v>
      </c>
      <c r="M119" s="9" t="n">
        <v>46.48</v>
      </c>
      <c r="N119" s="10" t="n">
        <v>0.06037322</v>
      </c>
      <c r="O119" s="5" t="n">
        <v>178.56</v>
      </c>
      <c r="P119" s="11" t="n">
        <v>1.170951</v>
      </c>
      <c r="Q119" s="7" t="n">
        <v>1822</v>
      </c>
      <c r="R119" s="7" t="n">
        <v>110</v>
      </c>
      <c r="S119" s="7" t="n">
        <v>3</v>
      </c>
      <c r="T119" s="7" t="n">
        <v>15</v>
      </c>
      <c r="U119" s="7" t="n">
        <v>1625</v>
      </c>
      <c r="V119" s="7" t="n">
        <v>443</v>
      </c>
    </row>
    <row r="120" customFormat="false" ht="15" hidden="false" customHeight="false" outlineLevel="0" collapsed="false">
      <c r="A120" s="4" t="s">
        <v>359</v>
      </c>
      <c r="B120" s="4" t="str">
        <f aca="false">IF(AND(I120&gt;='Read Me &amp; Markers'!$B$18,J120&gt;='Read Me &amp; Markers'!$B$19,L120&gt;='Read Me &amp; Markers'!$B$20),"A. Proven winner",IF(AND(I120&gt;='Read Me &amp; Markers'!$B$18,J120&gt;='Read Me &amp; Markers'!$B$19,L120&gt;='Read Me &amp; Markers'!$B$21),"B. Strong performer",IF(AND(I120&gt;='Read Me &amp; Markers'!$B$22,L120&gt;='Read Me &amp; Markers'!$B$23),"C. Scale workhorse",IF(AND(I120&gt;='Read Me &amp; Markers'!$B$24,I120&lt;'Read Me &amp; Markers'!$B$18,J120&gt;='Read Me &amp; Markers'!$B$25,L120&gt;='Read Me &amp; Markers'!$B$26),"D. Promising (needs more spend)",""))))</f>
        <v>D. Promising (needs more spend)</v>
      </c>
      <c r="C120" s="4" t="s">
        <v>358</v>
      </c>
      <c r="D120" s="4" t="s">
        <v>109</v>
      </c>
      <c r="E120" s="4" t="s">
        <v>360</v>
      </c>
      <c r="F120" s="4" t="s">
        <v>111</v>
      </c>
      <c r="G120" s="4" t="s">
        <v>361</v>
      </c>
      <c r="H120" s="4" t="s">
        <v>365</v>
      </c>
      <c r="I120" s="5" t="n">
        <v>324.46</v>
      </c>
      <c r="J120" s="7" t="n">
        <v>8</v>
      </c>
      <c r="K120" s="5" t="n">
        <v>462.17</v>
      </c>
      <c r="L120" s="8" t="n">
        <v>1.424428</v>
      </c>
      <c r="M120" s="9" t="n">
        <v>40.56</v>
      </c>
      <c r="N120" s="10" t="n">
        <v>0.02587295</v>
      </c>
      <c r="O120" s="5" t="n">
        <v>68.25</v>
      </c>
      <c r="P120" s="11" t="n">
        <v>1.644414</v>
      </c>
      <c r="Q120" s="7" t="n">
        <v>4754</v>
      </c>
      <c r="R120" s="7" t="n">
        <v>123</v>
      </c>
      <c r="S120" s="7" t="n">
        <v>18</v>
      </c>
      <c r="T120" s="7" t="n">
        <v>19</v>
      </c>
      <c r="U120" s="7" t="n">
        <v>0</v>
      </c>
      <c r="V120" s="7" t="n">
        <v>0</v>
      </c>
    </row>
    <row r="121" customFormat="false" ht="15" hidden="false" customHeight="false" outlineLevel="0" collapsed="false">
      <c r="A121" s="4" t="s">
        <v>346</v>
      </c>
      <c r="B121" s="4" t="str">
        <f aca="false">IF(AND(I121&gt;='Read Me &amp; Markers'!$B$18,J121&gt;='Read Me &amp; Markers'!$B$19,L121&gt;='Read Me &amp; Markers'!$B$20),"A. Proven winner",IF(AND(I121&gt;='Read Me &amp; Markers'!$B$18,J121&gt;='Read Me &amp; Markers'!$B$19,L121&gt;='Read Me &amp; Markers'!$B$21),"B. Strong performer",IF(AND(I121&gt;='Read Me &amp; Markers'!$B$22,L121&gt;='Read Me &amp; Markers'!$B$23),"C. Scale workhorse",IF(AND(I121&gt;='Read Me &amp; Markers'!$B$24,I121&lt;'Read Me &amp; Markers'!$B$18,J121&gt;='Read Me &amp; Markers'!$B$25,L121&gt;='Read Me &amp; Markers'!$B$26),"D. Promising (needs more spend)",""))))</f>
        <v>D. Promising (needs more spend)</v>
      </c>
      <c r="C121" s="4" t="s">
        <v>169</v>
      </c>
      <c r="D121" s="4" t="s">
        <v>100</v>
      </c>
      <c r="E121" s="4" t="s">
        <v>347</v>
      </c>
      <c r="F121" s="4" t="s">
        <v>87</v>
      </c>
      <c r="G121" s="4" t="s">
        <v>348</v>
      </c>
      <c r="H121" s="4" t="s">
        <v>352</v>
      </c>
      <c r="I121" s="5" t="n">
        <v>324.46</v>
      </c>
      <c r="J121" s="7" t="n">
        <v>6</v>
      </c>
      <c r="K121" s="5" t="n">
        <v>477.72</v>
      </c>
      <c r="L121" s="8" t="n">
        <v>1.472354</v>
      </c>
      <c r="M121" s="9" t="n">
        <v>54.08</v>
      </c>
      <c r="N121" s="10" t="n">
        <v>0.01960512</v>
      </c>
      <c r="O121" s="5" t="n">
        <v>45.11</v>
      </c>
      <c r="P121" s="11" t="n">
        <v>1.592207</v>
      </c>
      <c r="Q121" s="7" t="n">
        <v>7192</v>
      </c>
      <c r="R121" s="7" t="n">
        <v>141</v>
      </c>
      <c r="S121" s="7" t="n">
        <v>19</v>
      </c>
      <c r="T121" s="7" t="n">
        <v>25</v>
      </c>
      <c r="U121" s="7" t="n">
        <v>6007</v>
      </c>
      <c r="V121" s="7" t="n">
        <v>586</v>
      </c>
    </row>
    <row r="122" customFormat="false" ht="15" hidden="false" customHeight="false" outlineLevel="0" collapsed="false">
      <c r="A122" s="4" t="s">
        <v>717</v>
      </c>
      <c r="B122" s="4" t="str">
        <f aca="false">IF(AND(I122&gt;='Read Me &amp; Markers'!$B$18,J122&gt;='Read Me &amp; Markers'!$B$19,L122&gt;='Read Me &amp; Markers'!$B$20),"A. Proven winner",IF(AND(I122&gt;='Read Me &amp; Markers'!$B$18,J122&gt;='Read Me &amp; Markers'!$B$19,L122&gt;='Read Me &amp; Markers'!$B$21),"B. Strong performer",IF(AND(I122&gt;='Read Me &amp; Markers'!$B$22,L122&gt;='Read Me &amp; Markers'!$B$23),"C. Scale workhorse",IF(AND(I122&gt;='Read Me &amp; Markers'!$B$24,I122&lt;'Read Me &amp; Markers'!$B$18,J122&gt;='Read Me &amp; Markers'!$B$25,L122&gt;='Read Me &amp; Markers'!$B$26),"D. Promising (needs more spend)",""))))</f>
        <v/>
      </c>
      <c r="C122" s="4" t="s">
        <v>718</v>
      </c>
      <c r="D122" s="4" t="s">
        <v>228</v>
      </c>
      <c r="E122" s="4" t="s">
        <v>719</v>
      </c>
      <c r="F122" s="4" t="s">
        <v>230</v>
      </c>
      <c r="G122" s="4" t="s">
        <v>720</v>
      </c>
      <c r="H122" s="4" t="s">
        <v>721</v>
      </c>
      <c r="I122" s="5" t="n">
        <v>324.29</v>
      </c>
      <c r="J122" s="7" t="n">
        <v>3</v>
      </c>
      <c r="K122" s="5" t="n">
        <v>140.25</v>
      </c>
      <c r="L122" s="8" t="n">
        <v>0.432483</v>
      </c>
      <c r="M122" s="9" t="n">
        <v>108.1</v>
      </c>
      <c r="N122" s="10" t="n">
        <v>0.08196721</v>
      </c>
      <c r="O122" s="5" t="n">
        <v>189.87</v>
      </c>
      <c r="P122" s="11" t="n">
        <v>1.155616</v>
      </c>
      <c r="Q122" s="7" t="n">
        <v>1708</v>
      </c>
      <c r="R122" s="7" t="n">
        <v>140</v>
      </c>
      <c r="S122" s="7" t="n">
        <v>8</v>
      </c>
      <c r="T122" s="7" t="n">
        <v>8</v>
      </c>
      <c r="U122" s="7" t="n">
        <v>1611</v>
      </c>
      <c r="V122" s="7" t="n">
        <v>433</v>
      </c>
    </row>
    <row r="123" customFormat="false" ht="15" hidden="false" customHeight="false" outlineLevel="0" collapsed="false">
      <c r="A123" s="4" t="s">
        <v>297</v>
      </c>
      <c r="B123" s="4" t="str">
        <f aca="false">IF(AND(I123&gt;='Read Me &amp; Markers'!$B$18,J123&gt;='Read Me &amp; Markers'!$B$19,L123&gt;='Read Me &amp; Markers'!$B$20),"A. Proven winner",IF(AND(I123&gt;='Read Me &amp; Markers'!$B$18,J123&gt;='Read Me &amp; Markers'!$B$19,L123&gt;='Read Me &amp; Markers'!$B$21),"B. Strong performer",IF(AND(I123&gt;='Read Me &amp; Markers'!$B$22,L123&gt;='Read Me &amp; Markers'!$B$23),"C. Scale workhorse",IF(AND(I123&gt;='Read Me &amp; Markers'!$B$24,I123&lt;'Read Me &amp; Markers'!$B$18,J123&gt;='Read Me &amp; Markers'!$B$25,L123&gt;='Read Me &amp; Markers'!$B$26),"D. Promising (needs more spend)",""))))</f>
        <v>D. Promising (needs more spend)</v>
      </c>
      <c r="C123" s="4" t="s">
        <v>271</v>
      </c>
      <c r="D123" s="4" t="s">
        <v>228</v>
      </c>
      <c r="E123" s="4" t="s">
        <v>298</v>
      </c>
      <c r="F123" s="4" t="s">
        <v>87</v>
      </c>
      <c r="G123" s="4" t="s">
        <v>262</v>
      </c>
      <c r="H123" s="4" t="s">
        <v>300</v>
      </c>
      <c r="I123" s="5" t="n">
        <v>321.43</v>
      </c>
      <c r="J123" s="7" t="n">
        <v>11</v>
      </c>
      <c r="K123" s="5" t="n">
        <v>582.08</v>
      </c>
      <c r="L123" s="8" t="n">
        <v>1.810908</v>
      </c>
      <c r="M123" s="9" t="n">
        <v>29.22</v>
      </c>
      <c r="N123" s="10" t="n">
        <v>0.02764771</v>
      </c>
      <c r="O123" s="5" t="n">
        <v>71.67</v>
      </c>
      <c r="P123" s="11" t="n">
        <v>1.420653</v>
      </c>
      <c r="Q123" s="7" t="n">
        <v>4485</v>
      </c>
      <c r="R123" s="7" t="n">
        <v>124</v>
      </c>
      <c r="S123" s="7" t="n">
        <v>14</v>
      </c>
      <c r="T123" s="7" t="n">
        <v>19</v>
      </c>
      <c r="U123" s="7" t="n">
        <v>3678</v>
      </c>
      <c r="V123" s="7" t="n">
        <v>229</v>
      </c>
    </row>
    <row r="124" customFormat="false" ht="15" hidden="false" customHeight="false" outlineLevel="0" collapsed="false">
      <c r="A124" s="4" t="s">
        <v>722</v>
      </c>
      <c r="B124" s="4" t="str">
        <f aca="false">IF(AND(I124&gt;='Read Me &amp; Markers'!$B$18,J124&gt;='Read Me &amp; Markers'!$B$19,L124&gt;='Read Me &amp; Markers'!$B$20),"A. Proven winner",IF(AND(I124&gt;='Read Me &amp; Markers'!$B$18,J124&gt;='Read Me &amp; Markers'!$B$19,L124&gt;='Read Me &amp; Markers'!$B$21),"B. Strong performer",IF(AND(I124&gt;='Read Me &amp; Markers'!$B$22,L124&gt;='Read Me &amp; Markers'!$B$23),"C. Scale workhorse",IF(AND(I124&gt;='Read Me &amp; Markers'!$B$24,I124&lt;'Read Me &amp; Markers'!$B$18,J124&gt;='Read Me &amp; Markers'!$B$25,L124&gt;='Read Me &amp; Markers'!$B$26),"D. Promising (needs more spend)",""))))</f>
        <v/>
      </c>
      <c r="C124" s="4" t="s">
        <v>723</v>
      </c>
      <c r="D124" s="4" t="s">
        <v>528</v>
      </c>
      <c r="E124" s="4" t="s">
        <v>724</v>
      </c>
      <c r="F124" s="4" t="s">
        <v>230</v>
      </c>
      <c r="G124" s="4" t="s">
        <v>378</v>
      </c>
      <c r="H124" s="4" t="s">
        <v>725</v>
      </c>
      <c r="I124" s="5" t="n">
        <v>319.54</v>
      </c>
      <c r="J124" s="7" t="n">
        <v>1</v>
      </c>
      <c r="K124" s="5" t="n">
        <v>99.98</v>
      </c>
      <c r="L124" s="8" t="n">
        <v>0.312887</v>
      </c>
      <c r="M124" s="9" t="n">
        <v>319.54</v>
      </c>
      <c r="N124" s="10" t="n">
        <v>0.06599496</v>
      </c>
      <c r="O124" s="5" t="n">
        <v>160.98</v>
      </c>
      <c r="P124" s="11" t="n">
        <v>1.191477</v>
      </c>
      <c r="Q124" s="7" t="n">
        <v>1985</v>
      </c>
      <c r="R124" s="7" t="n">
        <v>131</v>
      </c>
      <c r="S124" s="7" t="n">
        <v>9</v>
      </c>
      <c r="T124" s="7" t="n">
        <v>6</v>
      </c>
      <c r="U124" s="7" t="n">
        <v>1788</v>
      </c>
      <c r="V124" s="7" t="n">
        <v>184</v>
      </c>
    </row>
    <row r="125" customFormat="false" ht="15" hidden="false" customHeight="false" outlineLevel="0" collapsed="false">
      <c r="A125" s="4" t="s">
        <v>383</v>
      </c>
      <c r="B125" s="4" t="str">
        <f aca="false">IF(AND(I125&gt;='Read Me &amp; Markers'!$B$18,J125&gt;='Read Me &amp; Markers'!$B$19,L125&gt;='Read Me &amp; Markers'!$B$20),"A. Proven winner",IF(AND(I125&gt;='Read Me &amp; Markers'!$B$18,J125&gt;='Read Me &amp; Markers'!$B$19,L125&gt;='Read Me &amp; Markers'!$B$21),"B. Strong performer",IF(AND(I125&gt;='Read Me &amp; Markers'!$B$22,L125&gt;='Read Me &amp; Markers'!$B$23),"C. Scale workhorse",IF(AND(I125&gt;='Read Me &amp; Markers'!$B$24,I125&lt;'Read Me &amp; Markers'!$B$18,J125&gt;='Read Me &amp; Markers'!$B$25,L125&gt;='Read Me &amp; Markers'!$B$26),"D. Promising (needs more spend)",""))))</f>
        <v>D. Promising (needs more spend)</v>
      </c>
      <c r="C125" s="4" t="s">
        <v>83</v>
      </c>
      <c r="D125" s="4" t="s">
        <v>228</v>
      </c>
      <c r="E125" s="4" t="s">
        <v>384</v>
      </c>
      <c r="F125" s="4" t="s">
        <v>87</v>
      </c>
      <c r="G125" s="4" t="s">
        <v>262</v>
      </c>
      <c r="H125" s="4" t="s">
        <v>386</v>
      </c>
      <c r="I125" s="5" t="n">
        <v>318.14</v>
      </c>
      <c r="J125" s="7" t="n">
        <v>7</v>
      </c>
      <c r="K125" s="5" t="n">
        <v>439.73</v>
      </c>
      <c r="L125" s="8" t="n">
        <v>1.38219</v>
      </c>
      <c r="M125" s="9" t="n">
        <v>45.45</v>
      </c>
      <c r="N125" s="10" t="n">
        <v>0.05487592</v>
      </c>
      <c r="O125" s="5" t="n">
        <v>111.2</v>
      </c>
      <c r="P125" s="11" t="n">
        <v>1.227897</v>
      </c>
      <c r="Q125" s="7" t="n">
        <v>2861</v>
      </c>
      <c r="R125" s="7" t="n">
        <v>157</v>
      </c>
      <c r="S125" s="7" t="n">
        <v>19</v>
      </c>
      <c r="T125" s="7" t="n">
        <v>15</v>
      </c>
      <c r="U125" s="7" t="n">
        <v>2724</v>
      </c>
      <c r="V125" s="7" t="n">
        <v>509</v>
      </c>
    </row>
    <row r="126" customFormat="false" ht="15" hidden="false" customHeight="false" outlineLevel="0" collapsed="false">
      <c r="A126" s="4" t="s">
        <v>726</v>
      </c>
      <c r="B126" s="4" t="str">
        <f aca="false">IF(AND(I126&gt;='Read Me &amp; Markers'!$B$18,J126&gt;='Read Me &amp; Markers'!$B$19,L126&gt;='Read Me &amp; Markers'!$B$20),"A. Proven winner",IF(AND(I126&gt;='Read Me &amp; Markers'!$B$18,J126&gt;='Read Me &amp; Markers'!$B$19,L126&gt;='Read Me &amp; Markers'!$B$21),"B. Strong performer",IF(AND(I126&gt;='Read Me &amp; Markers'!$B$22,L126&gt;='Read Me &amp; Markers'!$B$23),"C. Scale workhorse",IF(AND(I126&gt;='Read Me &amp; Markers'!$B$24,I126&lt;'Read Me &amp; Markers'!$B$18,J126&gt;='Read Me &amp; Markers'!$B$25,L126&gt;='Read Me &amp; Markers'!$B$26),"D. Promising (needs more spend)",""))))</f>
        <v/>
      </c>
      <c r="C126" s="4" t="s">
        <v>727</v>
      </c>
      <c r="D126" s="4" t="s">
        <v>109</v>
      </c>
      <c r="E126" s="4" t="s">
        <v>435</v>
      </c>
      <c r="F126" s="4" t="s">
        <v>87</v>
      </c>
      <c r="G126" s="4" t="s">
        <v>500</v>
      </c>
      <c r="H126" s="4" t="s">
        <v>728</v>
      </c>
      <c r="I126" s="5" t="n">
        <v>318.06</v>
      </c>
      <c r="J126" s="7" t="n">
        <v>2</v>
      </c>
      <c r="K126" s="5" t="n">
        <v>135.94</v>
      </c>
      <c r="L126" s="8" t="n">
        <v>0.427404</v>
      </c>
      <c r="M126" s="9" t="n">
        <v>159.03</v>
      </c>
      <c r="N126" s="10" t="n">
        <v>0.0093578</v>
      </c>
      <c r="O126" s="5" t="n">
        <v>58.36</v>
      </c>
      <c r="P126" s="11" t="n">
        <v>1.984705</v>
      </c>
      <c r="Q126" s="7" t="n">
        <v>5450</v>
      </c>
      <c r="R126" s="7" t="n">
        <v>51</v>
      </c>
      <c r="S126" s="7" t="n">
        <v>9</v>
      </c>
      <c r="T126" s="7" t="n">
        <v>10</v>
      </c>
      <c r="U126" s="7" t="n">
        <v>3</v>
      </c>
      <c r="V126" s="7" t="n">
        <v>0</v>
      </c>
    </row>
    <row r="127" customFormat="false" ht="15" hidden="false" customHeight="false" outlineLevel="0" collapsed="false">
      <c r="A127" s="4" t="s">
        <v>340</v>
      </c>
      <c r="B127" s="4" t="str">
        <f aca="false">IF(AND(I127&gt;='Read Me &amp; Markers'!$B$18,J127&gt;='Read Me &amp; Markers'!$B$19,L127&gt;='Read Me &amp; Markers'!$B$20),"A. Proven winner",IF(AND(I127&gt;='Read Me &amp; Markers'!$B$18,J127&gt;='Read Me &amp; Markers'!$B$19,L127&gt;='Read Me &amp; Markers'!$B$21),"B. Strong performer",IF(AND(I127&gt;='Read Me &amp; Markers'!$B$22,L127&gt;='Read Me &amp; Markers'!$B$23),"C. Scale workhorse",IF(AND(I127&gt;='Read Me &amp; Markers'!$B$24,I127&lt;'Read Me &amp; Markers'!$B$18,J127&gt;='Read Me &amp; Markers'!$B$25,L127&gt;='Read Me &amp; Markers'!$B$26),"D. Promising (needs more spend)",""))))</f>
        <v>D. Promising (needs more spend)</v>
      </c>
      <c r="C127" s="4" t="s">
        <v>169</v>
      </c>
      <c r="D127" s="4" t="s">
        <v>100</v>
      </c>
      <c r="E127" s="4" t="s">
        <v>341</v>
      </c>
      <c r="F127" s="4" t="s">
        <v>87</v>
      </c>
      <c r="G127" s="4" t="s">
        <v>342</v>
      </c>
      <c r="H127" s="4" t="s">
        <v>344</v>
      </c>
      <c r="I127" s="5" t="n">
        <v>317.41</v>
      </c>
      <c r="J127" s="7" t="n">
        <v>9</v>
      </c>
      <c r="K127" s="5" t="n">
        <v>474.14</v>
      </c>
      <c r="L127" s="8" t="n">
        <v>1.493778</v>
      </c>
      <c r="M127" s="9" t="n">
        <v>35.27</v>
      </c>
      <c r="N127" s="10" t="n">
        <v>0.03871829</v>
      </c>
      <c r="O127" s="5" t="n">
        <v>105.94</v>
      </c>
      <c r="P127" s="11" t="n">
        <v>1.113755</v>
      </c>
      <c r="Q127" s="7" t="n">
        <v>2996</v>
      </c>
      <c r="R127" s="7" t="n">
        <v>116</v>
      </c>
      <c r="S127" s="7" t="n">
        <v>16</v>
      </c>
      <c r="T127" s="7" t="n">
        <v>14</v>
      </c>
      <c r="U127" s="7" t="n">
        <v>2772</v>
      </c>
      <c r="V127" s="7" t="n">
        <v>526</v>
      </c>
    </row>
    <row r="128" customFormat="false" ht="15" hidden="false" customHeight="false" outlineLevel="0" collapsed="false">
      <c r="A128" s="4" t="s">
        <v>729</v>
      </c>
      <c r="B128" s="4" t="str">
        <f aca="false">IF(AND(I128&gt;='Read Me &amp; Markers'!$B$18,J128&gt;='Read Me &amp; Markers'!$B$19,L128&gt;='Read Me &amp; Markers'!$B$20),"A. Proven winner",IF(AND(I128&gt;='Read Me &amp; Markers'!$B$18,J128&gt;='Read Me &amp; Markers'!$B$19,L128&gt;='Read Me &amp; Markers'!$B$21),"B. Strong performer",IF(AND(I128&gt;='Read Me &amp; Markers'!$B$22,L128&gt;='Read Me &amp; Markers'!$B$23),"C. Scale workhorse",IF(AND(I128&gt;='Read Me &amp; Markers'!$B$24,I128&lt;'Read Me &amp; Markers'!$B$18,J128&gt;='Read Me &amp; Markers'!$B$25,L128&gt;='Read Me &amp; Markers'!$B$26),"D. Promising (needs more spend)",""))))</f>
        <v/>
      </c>
      <c r="C128" s="4" t="s">
        <v>169</v>
      </c>
      <c r="D128" s="4" t="s">
        <v>528</v>
      </c>
      <c r="E128" s="4" t="s">
        <v>730</v>
      </c>
      <c r="F128" s="4" t="s">
        <v>230</v>
      </c>
      <c r="G128" s="4" t="s">
        <v>530</v>
      </c>
      <c r="H128" s="4" t="s">
        <v>731</v>
      </c>
      <c r="I128" s="5" t="n">
        <v>313.64</v>
      </c>
      <c r="J128" s="7" t="n">
        <v>5</v>
      </c>
      <c r="K128" s="5" t="n">
        <v>284.64</v>
      </c>
      <c r="L128" s="8" t="n">
        <v>0.907537</v>
      </c>
      <c r="M128" s="9" t="n">
        <v>62.73</v>
      </c>
      <c r="N128" s="10" t="n">
        <v>0.0460943</v>
      </c>
      <c r="O128" s="5" t="n">
        <v>110.36</v>
      </c>
      <c r="P128" s="11" t="n">
        <v>1.23619</v>
      </c>
      <c r="Q128" s="7" t="n">
        <v>2842</v>
      </c>
      <c r="R128" s="7" t="n">
        <v>131</v>
      </c>
      <c r="S128" s="7" t="n">
        <v>5</v>
      </c>
      <c r="T128" s="7" t="n">
        <v>6</v>
      </c>
      <c r="U128" s="7" t="n">
        <v>2692</v>
      </c>
      <c r="V128" s="7" t="n">
        <v>294</v>
      </c>
    </row>
    <row r="129" customFormat="false" ht="15" hidden="false" customHeight="false" outlineLevel="0" collapsed="false">
      <c r="A129" s="4" t="s">
        <v>732</v>
      </c>
      <c r="B129" s="4" t="str">
        <f aca="false">IF(AND(I129&gt;='Read Me &amp; Markers'!$B$18,J129&gt;='Read Me &amp; Markers'!$B$19,L129&gt;='Read Me &amp; Markers'!$B$20),"A. Proven winner",IF(AND(I129&gt;='Read Me &amp; Markers'!$B$18,J129&gt;='Read Me &amp; Markers'!$B$19,L129&gt;='Read Me &amp; Markers'!$B$21),"B. Strong performer",IF(AND(I129&gt;='Read Me &amp; Markers'!$B$22,L129&gt;='Read Me &amp; Markers'!$B$23),"C. Scale workhorse",IF(AND(I129&gt;='Read Me &amp; Markers'!$B$24,I129&lt;'Read Me &amp; Markers'!$B$18,J129&gt;='Read Me &amp; Markers'!$B$25,L129&gt;='Read Me &amp; Markers'!$B$26),"D. Promising (needs more spend)",""))))</f>
        <v/>
      </c>
      <c r="C129" s="4" t="s">
        <v>733</v>
      </c>
      <c r="D129" s="4" t="s">
        <v>109</v>
      </c>
      <c r="E129" s="4" t="s">
        <v>734</v>
      </c>
      <c r="F129" s="4" t="s">
        <v>87</v>
      </c>
      <c r="G129" s="4" t="s">
        <v>583</v>
      </c>
      <c r="H129" s="4" t="s">
        <v>735</v>
      </c>
      <c r="I129" s="5" t="n">
        <v>299.42</v>
      </c>
      <c r="J129" s="7" t="n">
        <v>2</v>
      </c>
      <c r="K129" s="5" t="n">
        <v>119.92</v>
      </c>
      <c r="L129" s="8" t="n">
        <v>0.400508</v>
      </c>
      <c r="M129" s="9" t="n">
        <v>149.71</v>
      </c>
      <c r="N129" s="10" t="n">
        <v>0.05683948</v>
      </c>
      <c r="O129" s="5" t="n">
        <v>187.02</v>
      </c>
      <c r="P129" s="11" t="n">
        <v>1.051905</v>
      </c>
      <c r="Q129" s="7" t="n">
        <v>1601</v>
      </c>
      <c r="R129" s="7" t="n">
        <v>91</v>
      </c>
      <c r="S129" s="7" t="n">
        <v>4</v>
      </c>
      <c r="T129" s="7" t="n">
        <v>13</v>
      </c>
      <c r="U129" s="7" t="n">
        <v>1538</v>
      </c>
      <c r="V129" s="7" t="n">
        <v>435</v>
      </c>
    </row>
    <row r="130" customFormat="false" ht="15" hidden="false" customHeight="false" outlineLevel="0" collapsed="false">
      <c r="A130" s="4" t="s">
        <v>736</v>
      </c>
      <c r="B130" s="4" t="str">
        <f aca="false">IF(AND(I130&gt;='Read Me &amp; Markers'!$B$18,J130&gt;='Read Me &amp; Markers'!$B$19,L130&gt;='Read Me &amp; Markers'!$B$20),"A. Proven winner",IF(AND(I130&gt;='Read Me &amp; Markers'!$B$18,J130&gt;='Read Me &amp; Markers'!$B$19,L130&gt;='Read Me &amp; Markers'!$B$21),"B. Strong performer",IF(AND(I130&gt;='Read Me &amp; Markers'!$B$22,L130&gt;='Read Me &amp; Markers'!$B$23),"C. Scale workhorse",IF(AND(I130&gt;='Read Me &amp; Markers'!$B$24,I130&lt;'Read Me &amp; Markers'!$B$18,J130&gt;='Read Me &amp; Markers'!$B$25,L130&gt;='Read Me &amp; Markers'!$B$26),"D. Promising (needs more spend)",""))))</f>
        <v/>
      </c>
      <c r="C130" s="4" t="s">
        <v>737</v>
      </c>
      <c r="D130" s="4" t="s">
        <v>109</v>
      </c>
      <c r="E130" s="4" t="s">
        <v>738</v>
      </c>
      <c r="F130" s="4" t="s">
        <v>87</v>
      </c>
      <c r="G130" s="4" t="s">
        <v>739</v>
      </c>
      <c r="H130" s="4" t="s">
        <v>740</v>
      </c>
      <c r="I130" s="5" t="n">
        <v>292.42</v>
      </c>
      <c r="J130" s="7" t="n">
        <v>3</v>
      </c>
      <c r="K130" s="5" t="n">
        <v>194.28</v>
      </c>
      <c r="L130" s="8" t="n">
        <v>0.664387</v>
      </c>
      <c r="M130" s="9" t="n">
        <v>97.47</v>
      </c>
      <c r="N130" s="10" t="n">
        <v>0.06253077</v>
      </c>
      <c r="O130" s="5" t="n">
        <v>143.98</v>
      </c>
      <c r="P130" s="11" t="n">
        <v>1.240684</v>
      </c>
      <c r="Q130" s="7" t="n">
        <v>2031</v>
      </c>
      <c r="R130" s="7" t="n">
        <v>127</v>
      </c>
      <c r="S130" s="7" t="n">
        <v>5</v>
      </c>
      <c r="T130" s="7" t="n">
        <v>8</v>
      </c>
      <c r="U130" s="7" t="n">
        <v>1898</v>
      </c>
      <c r="V130" s="7" t="n">
        <v>260</v>
      </c>
    </row>
    <row r="131" customFormat="false" ht="15" hidden="false" customHeight="false" outlineLevel="0" collapsed="false">
      <c r="A131" s="4" t="s">
        <v>741</v>
      </c>
      <c r="B131" s="4" t="str">
        <f aca="false">IF(AND(I131&gt;='Read Me &amp; Markers'!$B$18,J131&gt;='Read Me &amp; Markers'!$B$19,L131&gt;='Read Me &amp; Markers'!$B$20),"A. Proven winner",IF(AND(I131&gt;='Read Me &amp; Markers'!$B$18,J131&gt;='Read Me &amp; Markers'!$B$19,L131&gt;='Read Me &amp; Markers'!$B$21),"B. Strong performer",IF(AND(I131&gt;='Read Me &amp; Markers'!$B$22,L131&gt;='Read Me &amp; Markers'!$B$23),"C. Scale workhorse",IF(AND(I131&gt;='Read Me &amp; Markers'!$B$24,I131&lt;'Read Me &amp; Markers'!$B$18,J131&gt;='Read Me &amp; Markers'!$B$25,L131&gt;='Read Me &amp; Markers'!$B$26),"D. Promising (needs more spend)",""))))</f>
        <v/>
      </c>
      <c r="C131" s="4" t="s">
        <v>129</v>
      </c>
      <c r="D131" s="4" t="s">
        <v>206</v>
      </c>
      <c r="E131" s="4" t="s">
        <v>742</v>
      </c>
      <c r="F131" s="4" t="s">
        <v>253</v>
      </c>
      <c r="G131" s="4" t="s">
        <v>743</v>
      </c>
      <c r="H131" s="4" t="s">
        <v>744</v>
      </c>
      <c r="I131" s="5" t="n">
        <v>291.81</v>
      </c>
      <c r="J131" s="7" t="n">
        <v>4</v>
      </c>
      <c r="K131" s="5" t="n">
        <v>235.52</v>
      </c>
      <c r="L131" s="8" t="n">
        <v>0.807101</v>
      </c>
      <c r="M131" s="9" t="n">
        <v>72.95</v>
      </c>
      <c r="N131" s="10" t="n">
        <v>0.02613962</v>
      </c>
      <c r="O131" s="5" t="n">
        <v>93.02</v>
      </c>
      <c r="P131" s="11" t="n">
        <v>1.225869</v>
      </c>
      <c r="Q131" s="7" t="n">
        <v>3137</v>
      </c>
      <c r="R131" s="7" t="n">
        <v>82</v>
      </c>
      <c r="S131" s="7" t="n">
        <v>8</v>
      </c>
      <c r="T131" s="7" t="n">
        <v>7</v>
      </c>
      <c r="U131" s="7" t="n">
        <v>2856</v>
      </c>
      <c r="V131" s="7" t="n">
        <v>572</v>
      </c>
    </row>
    <row r="132" customFormat="false" ht="15" hidden="false" customHeight="false" outlineLevel="0" collapsed="false">
      <c r="A132" s="4" t="s">
        <v>745</v>
      </c>
      <c r="B132" s="4" t="str">
        <f aca="false">IF(AND(I132&gt;='Read Me &amp; Markers'!$B$18,J132&gt;='Read Me &amp; Markers'!$B$19,L132&gt;='Read Me &amp; Markers'!$B$20),"A. Proven winner",IF(AND(I132&gt;='Read Me &amp; Markers'!$B$18,J132&gt;='Read Me &amp; Markers'!$B$19,L132&gt;='Read Me &amp; Markers'!$B$21),"B. Strong performer",IF(AND(I132&gt;='Read Me &amp; Markers'!$B$22,L132&gt;='Read Me &amp; Markers'!$B$23),"C. Scale workhorse",IF(AND(I132&gt;='Read Me &amp; Markers'!$B$24,I132&lt;'Read Me &amp; Markers'!$B$18,J132&gt;='Read Me &amp; Markers'!$B$25,L132&gt;='Read Me &amp; Markers'!$B$26),"D. Promising (needs more spend)",""))))</f>
        <v/>
      </c>
      <c r="C132" s="4" t="s">
        <v>746</v>
      </c>
      <c r="D132" s="4" t="s">
        <v>109</v>
      </c>
      <c r="E132" s="4" t="s">
        <v>747</v>
      </c>
      <c r="F132" s="4" t="s">
        <v>87</v>
      </c>
      <c r="G132" s="4" t="s">
        <v>583</v>
      </c>
      <c r="H132" s="4" t="s">
        <v>748</v>
      </c>
      <c r="I132" s="5" t="n">
        <v>291.54</v>
      </c>
      <c r="J132" s="7" t="n">
        <v>5</v>
      </c>
      <c r="K132" s="5" t="n">
        <v>259.86</v>
      </c>
      <c r="L132" s="8" t="n">
        <v>0.891336</v>
      </c>
      <c r="M132" s="9" t="n">
        <v>58.31</v>
      </c>
      <c r="N132" s="10" t="n">
        <v>0.02709095</v>
      </c>
      <c r="O132" s="5" t="n">
        <v>62.68</v>
      </c>
      <c r="P132" s="11" t="n">
        <v>1.551368</v>
      </c>
      <c r="Q132" s="7" t="n">
        <v>4651</v>
      </c>
      <c r="R132" s="7" t="n">
        <v>126</v>
      </c>
      <c r="S132" s="7" t="n">
        <v>13</v>
      </c>
      <c r="T132" s="7" t="n">
        <v>18</v>
      </c>
      <c r="U132" s="7" t="n">
        <v>0</v>
      </c>
      <c r="V132" s="7" t="n">
        <v>0</v>
      </c>
    </row>
    <row r="133" customFormat="false" ht="15" hidden="false" customHeight="false" outlineLevel="0" collapsed="false">
      <c r="A133" s="4" t="s">
        <v>749</v>
      </c>
      <c r="B133" s="4" t="str">
        <f aca="false">IF(AND(I133&gt;='Read Me &amp; Markers'!$B$18,J133&gt;='Read Me &amp; Markers'!$B$19,L133&gt;='Read Me &amp; Markers'!$B$20),"A. Proven winner",IF(AND(I133&gt;='Read Me &amp; Markers'!$B$18,J133&gt;='Read Me &amp; Markers'!$B$19,L133&gt;='Read Me &amp; Markers'!$B$21),"B. Strong performer",IF(AND(I133&gt;='Read Me &amp; Markers'!$B$22,L133&gt;='Read Me &amp; Markers'!$B$23),"C. Scale workhorse",IF(AND(I133&gt;='Read Me &amp; Markers'!$B$24,I133&lt;'Read Me &amp; Markers'!$B$18,J133&gt;='Read Me &amp; Markers'!$B$25,L133&gt;='Read Me &amp; Markers'!$B$26),"D. Promising (needs more spend)",""))))</f>
        <v/>
      </c>
      <c r="C133" s="4" t="s">
        <v>750</v>
      </c>
      <c r="D133" s="4" t="s">
        <v>109</v>
      </c>
      <c r="E133" s="4" t="s">
        <v>751</v>
      </c>
      <c r="F133" s="4" t="s">
        <v>111</v>
      </c>
      <c r="G133" s="4" t="s">
        <v>286</v>
      </c>
      <c r="H133" s="4" t="s">
        <v>752</v>
      </c>
      <c r="I133" s="5" t="n">
        <v>287.44</v>
      </c>
      <c r="J133" s="7" t="n">
        <v>2</v>
      </c>
      <c r="K133" s="5" t="n">
        <v>81.91</v>
      </c>
      <c r="L133" s="8" t="n">
        <v>0.284964</v>
      </c>
      <c r="M133" s="9" t="n">
        <v>143.72</v>
      </c>
      <c r="N133" s="10" t="n">
        <v>0.01744987</v>
      </c>
      <c r="O133" s="5" t="n">
        <v>44</v>
      </c>
      <c r="P133" s="11" t="n">
        <v>1.52926</v>
      </c>
      <c r="Q133" s="7" t="n">
        <v>6533</v>
      </c>
      <c r="R133" s="7" t="n">
        <v>114</v>
      </c>
      <c r="S133" s="7" t="n">
        <v>0</v>
      </c>
      <c r="T133" s="7" t="n">
        <v>6</v>
      </c>
      <c r="U133" s="7" t="n">
        <v>22</v>
      </c>
      <c r="V133" s="7" t="n">
        <v>3</v>
      </c>
    </row>
    <row r="134" customFormat="false" ht="15" hidden="false" customHeight="false" outlineLevel="0" collapsed="false">
      <c r="A134" s="4" t="s">
        <v>753</v>
      </c>
      <c r="B134" s="4" t="str">
        <f aca="false">IF(AND(I134&gt;='Read Me &amp; Markers'!$B$18,J134&gt;='Read Me &amp; Markers'!$B$19,L134&gt;='Read Me &amp; Markers'!$B$20),"A. Proven winner",IF(AND(I134&gt;='Read Me &amp; Markers'!$B$18,J134&gt;='Read Me &amp; Markers'!$B$19,L134&gt;='Read Me &amp; Markers'!$B$21),"B. Strong performer",IF(AND(I134&gt;='Read Me &amp; Markers'!$B$22,L134&gt;='Read Me &amp; Markers'!$B$23),"C. Scale workhorse",IF(AND(I134&gt;='Read Me &amp; Markers'!$B$24,I134&lt;'Read Me &amp; Markers'!$B$18,J134&gt;='Read Me &amp; Markers'!$B$25,L134&gt;='Read Me &amp; Markers'!$B$26),"D. Promising (needs more spend)",""))))</f>
        <v/>
      </c>
      <c r="C134" s="4" t="s">
        <v>169</v>
      </c>
      <c r="D134" s="4" t="s">
        <v>206</v>
      </c>
      <c r="E134" s="4" t="s">
        <v>754</v>
      </c>
      <c r="F134" s="4" t="s">
        <v>87</v>
      </c>
      <c r="G134" s="4" t="s">
        <v>208</v>
      </c>
      <c r="H134" s="4" t="s">
        <v>755</v>
      </c>
      <c r="I134" s="5" t="n">
        <v>287.08</v>
      </c>
      <c r="J134" s="7" t="n">
        <v>0</v>
      </c>
      <c r="K134" s="5" t="n">
        <v>0</v>
      </c>
      <c r="L134" s="8" t="n">
        <v>0</v>
      </c>
      <c r="M134" s="9" t="n">
        <v>0</v>
      </c>
      <c r="N134" s="10" t="n">
        <v>0.02662407</v>
      </c>
      <c r="O134" s="5" t="n">
        <v>76.43</v>
      </c>
      <c r="P134" s="11" t="n">
        <v>1.383935</v>
      </c>
      <c r="Q134" s="7" t="n">
        <v>3756</v>
      </c>
      <c r="R134" s="7" t="n">
        <v>100</v>
      </c>
      <c r="S134" s="7" t="n">
        <v>12</v>
      </c>
      <c r="T134" s="7" t="n">
        <v>6</v>
      </c>
      <c r="U134" s="7" t="n">
        <v>3292</v>
      </c>
      <c r="V134" s="7" t="n">
        <v>256</v>
      </c>
    </row>
    <row r="135" customFormat="false" ht="15" hidden="false" customHeight="false" outlineLevel="0" collapsed="false">
      <c r="A135" s="4" t="s">
        <v>756</v>
      </c>
      <c r="B135" s="4" t="str">
        <f aca="false">IF(AND(I135&gt;='Read Me &amp; Markers'!$B$18,J135&gt;='Read Me &amp; Markers'!$B$19,L135&gt;='Read Me &amp; Markers'!$B$20),"A. Proven winner",IF(AND(I135&gt;='Read Me &amp; Markers'!$B$18,J135&gt;='Read Me &amp; Markers'!$B$19,L135&gt;='Read Me &amp; Markers'!$B$21),"B. Strong performer",IF(AND(I135&gt;='Read Me &amp; Markers'!$B$22,L135&gt;='Read Me &amp; Markers'!$B$23),"C. Scale workhorse",IF(AND(I135&gt;='Read Me &amp; Markers'!$B$24,I135&lt;'Read Me &amp; Markers'!$B$18,J135&gt;='Read Me &amp; Markers'!$B$25,L135&gt;='Read Me &amp; Markers'!$B$26),"D. Promising (needs more spend)",""))))</f>
        <v/>
      </c>
      <c r="C135" s="4" t="s">
        <v>121</v>
      </c>
      <c r="D135" s="4" t="s">
        <v>100</v>
      </c>
      <c r="E135" s="4" t="s">
        <v>757</v>
      </c>
      <c r="F135" s="4" t="s">
        <v>87</v>
      </c>
      <c r="G135" s="4" t="s">
        <v>342</v>
      </c>
      <c r="H135" s="4" t="s">
        <v>758</v>
      </c>
      <c r="I135" s="5" t="n">
        <v>282.13</v>
      </c>
      <c r="J135" s="7" t="n">
        <v>2</v>
      </c>
      <c r="K135" s="5" t="n">
        <v>96.78</v>
      </c>
      <c r="L135" s="8" t="n">
        <v>0.343033</v>
      </c>
      <c r="M135" s="9" t="n">
        <v>141.07</v>
      </c>
      <c r="N135" s="10" t="n">
        <v>0.02173913</v>
      </c>
      <c r="O135" s="5" t="n">
        <v>125.17</v>
      </c>
      <c r="P135" s="11" t="n">
        <v>1.087313</v>
      </c>
      <c r="Q135" s="7" t="n">
        <v>2254</v>
      </c>
      <c r="R135" s="7" t="n">
        <v>49</v>
      </c>
      <c r="S135" s="7" t="n">
        <v>7</v>
      </c>
      <c r="T135" s="7" t="n">
        <v>5</v>
      </c>
      <c r="U135" s="7" t="n">
        <v>2067</v>
      </c>
      <c r="V135" s="7" t="n">
        <v>132</v>
      </c>
    </row>
    <row r="136" customFormat="false" ht="15" hidden="false" customHeight="false" outlineLevel="0" collapsed="false">
      <c r="A136" s="4" t="s">
        <v>759</v>
      </c>
      <c r="B136" s="4" t="str">
        <f aca="false">IF(AND(I136&gt;='Read Me &amp; Markers'!$B$18,J136&gt;='Read Me &amp; Markers'!$B$19,L136&gt;='Read Me &amp; Markers'!$B$20),"A. Proven winner",IF(AND(I136&gt;='Read Me &amp; Markers'!$B$18,J136&gt;='Read Me &amp; Markers'!$B$19,L136&gt;='Read Me &amp; Markers'!$B$21),"B. Strong performer",IF(AND(I136&gt;='Read Me &amp; Markers'!$B$22,L136&gt;='Read Me &amp; Markers'!$B$23),"C. Scale workhorse",IF(AND(I136&gt;='Read Me &amp; Markers'!$B$24,I136&lt;'Read Me &amp; Markers'!$B$18,J136&gt;='Read Me &amp; Markers'!$B$25,L136&gt;='Read Me &amp; Markers'!$B$26),"D. Promising (needs more spend)",""))))</f>
        <v/>
      </c>
      <c r="C136" s="4" t="s">
        <v>121</v>
      </c>
      <c r="D136" s="4" t="s">
        <v>100</v>
      </c>
      <c r="E136" s="4" t="s">
        <v>760</v>
      </c>
      <c r="F136" s="4" t="s">
        <v>87</v>
      </c>
      <c r="G136" s="4" t="s">
        <v>342</v>
      </c>
      <c r="H136" s="4" t="s">
        <v>761</v>
      </c>
      <c r="I136" s="5" t="n">
        <v>279.72</v>
      </c>
      <c r="J136" s="7" t="n">
        <v>5</v>
      </c>
      <c r="K136" s="5" t="n">
        <v>341.78</v>
      </c>
      <c r="L136" s="8" t="n">
        <v>1.221865</v>
      </c>
      <c r="M136" s="9" t="n">
        <v>55.94</v>
      </c>
      <c r="N136" s="10" t="n">
        <v>0.06512087</v>
      </c>
      <c r="O136" s="5" t="n">
        <v>138</v>
      </c>
      <c r="P136" s="11" t="n">
        <v>1.10343</v>
      </c>
      <c r="Q136" s="7" t="n">
        <v>2027</v>
      </c>
      <c r="R136" s="7" t="n">
        <v>132</v>
      </c>
      <c r="S136" s="7" t="n">
        <v>15</v>
      </c>
      <c r="T136" s="7" t="n">
        <v>17</v>
      </c>
      <c r="U136" s="7" t="n">
        <v>1839</v>
      </c>
      <c r="V136" s="7" t="n">
        <v>527</v>
      </c>
    </row>
    <row r="137" customFormat="false" ht="15" hidden="false" customHeight="false" outlineLevel="0" collapsed="false">
      <c r="A137" s="4" t="s">
        <v>762</v>
      </c>
      <c r="B137" s="4" t="str">
        <f aca="false">IF(AND(I137&gt;='Read Me &amp; Markers'!$B$18,J137&gt;='Read Me &amp; Markers'!$B$19,L137&gt;='Read Me &amp; Markers'!$B$20),"A. Proven winner",IF(AND(I137&gt;='Read Me &amp; Markers'!$B$18,J137&gt;='Read Me &amp; Markers'!$B$19,L137&gt;='Read Me &amp; Markers'!$B$21),"B. Strong performer",IF(AND(I137&gt;='Read Me &amp; Markers'!$B$22,L137&gt;='Read Me &amp; Markers'!$B$23),"C. Scale workhorse",IF(AND(I137&gt;='Read Me &amp; Markers'!$B$24,I137&lt;'Read Me &amp; Markers'!$B$18,J137&gt;='Read Me &amp; Markers'!$B$25,L137&gt;='Read Me &amp; Markers'!$B$26),"D. Promising (needs more spend)",""))))</f>
        <v/>
      </c>
      <c r="C137" s="4" t="s">
        <v>169</v>
      </c>
      <c r="D137" s="4" t="s">
        <v>100</v>
      </c>
      <c r="E137" s="4" t="s">
        <v>763</v>
      </c>
      <c r="F137" s="4" t="s">
        <v>87</v>
      </c>
      <c r="G137" s="4" t="s">
        <v>142</v>
      </c>
      <c r="H137" s="4" t="s">
        <v>764</v>
      </c>
      <c r="I137" s="5" t="n">
        <v>279.64</v>
      </c>
      <c r="J137" s="7" t="n">
        <v>4</v>
      </c>
      <c r="K137" s="5" t="n">
        <v>258.44</v>
      </c>
      <c r="L137" s="8" t="n">
        <v>0.924188</v>
      </c>
      <c r="M137" s="9" t="n">
        <v>69.91</v>
      </c>
      <c r="N137" s="10" t="n">
        <v>0.0343879</v>
      </c>
      <c r="O137" s="5" t="n">
        <v>76.93</v>
      </c>
      <c r="P137" s="11" t="n">
        <v>1.269647</v>
      </c>
      <c r="Q137" s="7" t="n">
        <v>3635</v>
      </c>
      <c r="R137" s="7" t="n">
        <v>125</v>
      </c>
      <c r="S137" s="7" t="n">
        <v>20</v>
      </c>
      <c r="T137" s="7" t="n">
        <v>30</v>
      </c>
      <c r="U137" s="7" t="n">
        <v>2982</v>
      </c>
      <c r="V137" s="7" t="n">
        <v>656</v>
      </c>
    </row>
    <row r="138" customFormat="false" ht="15" hidden="false" customHeight="false" outlineLevel="0" collapsed="false">
      <c r="A138" s="4" t="s">
        <v>765</v>
      </c>
      <c r="B138" s="4" t="str">
        <f aca="false">IF(AND(I138&gt;='Read Me &amp; Markers'!$B$18,J138&gt;='Read Me &amp; Markers'!$B$19,L138&gt;='Read Me &amp; Markers'!$B$20),"A. Proven winner",IF(AND(I138&gt;='Read Me &amp; Markers'!$B$18,J138&gt;='Read Me &amp; Markers'!$B$19,L138&gt;='Read Me &amp; Markers'!$B$21),"B. Strong performer",IF(AND(I138&gt;='Read Me &amp; Markers'!$B$22,L138&gt;='Read Me &amp; Markers'!$B$23),"C. Scale workhorse",IF(AND(I138&gt;='Read Me &amp; Markers'!$B$24,I138&lt;'Read Me &amp; Markers'!$B$18,J138&gt;='Read Me &amp; Markers'!$B$25,L138&gt;='Read Me &amp; Markers'!$B$26),"D. Promising (needs more spend)",""))))</f>
        <v/>
      </c>
      <c r="C138" s="4" t="s">
        <v>121</v>
      </c>
      <c r="D138" s="4" t="s">
        <v>100</v>
      </c>
      <c r="E138" s="4" t="s">
        <v>278</v>
      </c>
      <c r="F138" s="4" t="s">
        <v>87</v>
      </c>
      <c r="G138" s="4" t="s">
        <v>279</v>
      </c>
      <c r="H138" s="4" t="s">
        <v>766</v>
      </c>
      <c r="I138" s="5" t="n">
        <v>276.76</v>
      </c>
      <c r="J138" s="7" t="n">
        <v>5</v>
      </c>
      <c r="K138" s="5" t="n">
        <v>317.8</v>
      </c>
      <c r="L138" s="8" t="n">
        <v>1.148287</v>
      </c>
      <c r="M138" s="9" t="n">
        <v>55.35</v>
      </c>
      <c r="N138" s="10" t="n">
        <v>0.05652866</v>
      </c>
      <c r="O138" s="5" t="n">
        <v>110.18</v>
      </c>
      <c r="P138" s="11" t="n">
        <v>1.230769</v>
      </c>
      <c r="Q138" s="7" t="n">
        <v>2512</v>
      </c>
      <c r="R138" s="7" t="n">
        <v>142</v>
      </c>
      <c r="S138" s="7" t="n">
        <v>9</v>
      </c>
      <c r="T138" s="7" t="n">
        <v>9</v>
      </c>
      <c r="U138" s="7" t="n">
        <v>2302</v>
      </c>
      <c r="V138" s="7" t="n">
        <v>535</v>
      </c>
    </row>
    <row r="139" customFormat="false" ht="15" hidden="false" customHeight="false" outlineLevel="0" collapsed="false">
      <c r="A139" s="4" t="s">
        <v>767</v>
      </c>
      <c r="B139" s="4" t="str">
        <f aca="false">IF(AND(I139&gt;='Read Me &amp; Markers'!$B$18,J139&gt;='Read Me &amp; Markers'!$B$19,L139&gt;='Read Me &amp; Markers'!$B$20),"A. Proven winner",IF(AND(I139&gt;='Read Me &amp; Markers'!$B$18,J139&gt;='Read Me &amp; Markers'!$B$19,L139&gt;='Read Me &amp; Markers'!$B$21),"B. Strong performer",IF(AND(I139&gt;='Read Me &amp; Markers'!$B$22,L139&gt;='Read Me &amp; Markers'!$B$23),"C. Scale workhorse",IF(AND(I139&gt;='Read Me &amp; Markers'!$B$24,I139&lt;'Read Me &amp; Markers'!$B$18,J139&gt;='Read Me &amp; Markers'!$B$25,L139&gt;='Read Me &amp; Markers'!$B$26),"D. Promising (needs more spend)",""))))</f>
        <v/>
      </c>
      <c r="C139" s="4" t="s">
        <v>121</v>
      </c>
      <c r="D139" s="4" t="s">
        <v>100</v>
      </c>
      <c r="E139" s="4" t="s">
        <v>768</v>
      </c>
      <c r="F139" s="4" t="s">
        <v>87</v>
      </c>
      <c r="G139" s="4" t="s">
        <v>650</v>
      </c>
      <c r="H139" s="4" t="s">
        <v>769</v>
      </c>
      <c r="I139" s="5" t="n">
        <v>276.43</v>
      </c>
      <c r="J139" s="7" t="n">
        <v>5</v>
      </c>
      <c r="K139" s="5" t="n">
        <v>331.83</v>
      </c>
      <c r="L139" s="8" t="n">
        <v>1.200412</v>
      </c>
      <c r="M139" s="9" t="n">
        <v>55.29</v>
      </c>
      <c r="N139" s="10" t="n">
        <v>0.04630321</v>
      </c>
      <c r="O139" s="5" t="n">
        <v>103.22</v>
      </c>
      <c r="P139" s="11" t="n">
        <v>1.262612</v>
      </c>
      <c r="Q139" s="7" t="n">
        <v>2678</v>
      </c>
      <c r="R139" s="7" t="n">
        <v>124</v>
      </c>
      <c r="S139" s="7" t="n">
        <v>14</v>
      </c>
      <c r="T139" s="7" t="n">
        <v>9</v>
      </c>
      <c r="U139" s="7" t="n">
        <v>2482</v>
      </c>
      <c r="V139" s="7" t="n">
        <v>531</v>
      </c>
    </row>
    <row r="140" customFormat="false" ht="15" hidden="false" customHeight="false" outlineLevel="0" collapsed="false">
      <c r="A140" s="4" t="s">
        <v>770</v>
      </c>
      <c r="B140" s="4" t="str">
        <f aca="false">IF(AND(I140&gt;='Read Me &amp; Markers'!$B$18,J140&gt;='Read Me &amp; Markers'!$B$19,L140&gt;='Read Me &amp; Markers'!$B$20),"A. Proven winner",IF(AND(I140&gt;='Read Me &amp; Markers'!$B$18,J140&gt;='Read Me &amp; Markers'!$B$19,L140&gt;='Read Me &amp; Markers'!$B$21),"B. Strong performer",IF(AND(I140&gt;='Read Me &amp; Markers'!$B$22,L140&gt;='Read Me &amp; Markers'!$B$23),"C. Scale workhorse",IF(AND(I140&gt;='Read Me &amp; Markers'!$B$24,I140&lt;'Read Me &amp; Markers'!$B$18,J140&gt;='Read Me &amp; Markers'!$B$25,L140&gt;='Read Me &amp; Markers'!$B$26),"D. Promising (needs more spend)",""))))</f>
        <v/>
      </c>
      <c r="C140" s="4" t="s">
        <v>771</v>
      </c>
      <c r="D140" s="4" t="s">
        <v>109</v>
      </c>
      <c r="E140" s="4" t="s">
        <v>377</v>
      </c>
      <c r="F140" s="4" t="s">
        <v>87</v>
      </c>
      <c r="G140" s="4" t="s">
        <v>378</v>
      </c>
      <c r="H140" s="4" t="s">
        <v>772</v>
      </c>
      <c r="I140" s="5" t="n">
        <v>276.4</v>
      </c>
      <c r="J140" s="7" t="n">
        <v>3</v>
      </c>
      <c r="K140" s="5" t="n">
        <v>231.88</v>
      </c>
      <c r="L140" s="8" t="n">
        <v>0.838929</v>
      </c>
      <c r="M140" s="9" t="n">
        <v>92.13</v>
      </c>
      <c r="N140" s="10" t="n">
        <v>0.10114416</v>
      </c>
      <c r="O140" s="5" t="n">
        <v>126.5</v>
      </c>
      <c r="P140" s="11" t="n">
        <v>1.206516</v>
      </c>
      <c r="Q140" s="7" t="n">
        <v>2185</v>
      </c>
      <c r="R140" s="7" t="n">
        <v>221</v>
      </c>
      <c r="S140" s="7" t="n">
        <v>8</v>
      </c>
      <c r="T140" s="7" t="n">
        <v>10</v>
      </c>
      <c r="U140" s="7" t="n">
        <v>2090</v>
      </c>
      <c r="V140" s="7" t="n">
        <v>611</v>
      </c>
    </row>
    <row r="141" customFormat="false" ht="15" hidden="false" customHeight="false" outlineLevel="0" collapsed="false">
      <c r="A141" s="4" t="s">
        <v>773</v>
      </c>
      <c r="B141" s="4" t="str">
        <f aca="false">IF(AND(I141&gt;='Read Me &amp; Markers'!$B$18,J141&gt;='Read Me &amp; Markers'!$B$19,L141&gt;='Read Me &amp; Markers'!$B$20),"A. Proven winner",IF(AND(I141&gt;='Read Me &amp; Markers'!$B$18,J141&gt;='Read Me &amp; Markers'!$B$19,L141&gt;='Read Me &amp; Markers'!$B$21),"B. Strong performer",IF(AND(I141&gt;='Read Me &amp; Markers'!$B$22,L141&gt;='Read Me &amp; Markers'!$B$23),"C. Scale workhorse",IF(AND(I141&gt;='Read Me &amp; Markers'!$B$24,I141&lt;'Read Me &amp; Markers'!$B$18,J141&gt;='Read Me &amp; Markers'!$B$25,L141&gt;='Read Me &amp; Markers'!$B$26),"D. Promising (needs more spend)",""))))</f>
        <v/>
      </c>
      <c r="C141" s="4" t="s">
        <v>169</v>
      </c>
      <c r="D141" s="4" t="s">
        <v>528</v>
      </c>
      <c r="E141" s="4" t="s">
        <v>774</v>
      </c>
      <c r="F141" s="4" t="s">
        <v>230</v>
      </c>
      <c r="G141" s="4" t="s">
        <v>530</v>
      </c>
      <c r="H141" s="4" t="s">
        <v>775</v>
      </c>
      <c r="I141" s="5" t="n">
        <v>276.02</v>
      </c>
      <c r="J141" s="7" t="n">
        <v>2</v>
      </c>
      <c r="K141" s="5" t="n">
        <v>69.96</v>
      </c>
      <c r="L141" s="8" t="n">
        <v>0.25346</v>
      </c>
      <c r="M141" s="9" t="n">
        <v>138.01</v>
      </c>
      <c r="N141" s="10" t="n">
        <v>0.06200873</v>
      </c>
      <c r="O141" s="5" t="n">
        <v>241.07</v>
      </c>
      <c r="P141" s="11" t="n">
        <v>1.099904</v>
      </c>
      <c r="Q141" s="7" t="n">
        <v>1145</v>
      </c>
      <c r="R141" s="7" t="n">
        <v>71</v>
      </c>
      <c r="S141" s="7" t="n">
        <v>3</v>
      </c>
      <c r="T141" s="7" t="n">
        <v>4</v>
      </c>
      <c r="U141" s="7" t="n">
        <v>1075</v>
      </c>
      <c r="V141" s="7" t="n">
        <v>235</v>
      </c>
    </row>
    <row r="142" customFormat="false" ht="15" hidden="false" customHeight="false" outlineLevel="0" collapsed="false">
      <c r="A142" s="4" t="s">
        <v>776</v>
      </c>
      <c r="B142" s="4" t="str">
        <f aca="false">IF(AND(I142&gt;='Read Me &amp; Markers'!$B$18,J142&gt;='Read Me &amp; Markers'!$B$19,L142&gt;='Read Me &amp; Markers'!$B$20),"A. Proven winner",IF(AND(I142&gt;='Read Me &amp; Markers'!$B$18,J142&gt;='Read Me &amp; Markers'!$B$19,L142&gt;='Read Me &amp; Markers'!$B$21),"B. Strong performer",IF(AND(I142&gt;='Read Me &amp; Markers'!$B$22,L142&gt;='Read Me &amp; Markers'!$B$23),"C. Scale workhorse",IF(AND(I142&gt;='Read Me &amp; Markers'!$B$24,I142&lt;'Read Me &amp; Markers'!$B$18,J142&gt;='Read Me &amp; Markers'!$B$25,L142&gt;='Read Me &amp; Markers'!$B$26),"D. Promising (needs more spend)",""))))</f>
        <v/>
      </c>
      <c r="C142" s="4" t="s">
        <v>777</v>
      </c>
      <c r="D142" s="4" t="s">
        <v>109</v>
      </c>
      <c r="E142" s="4" t="s">
        <v>778</v>
      </c>
      <c r="F142" s="4" t="s">
        <v>87</v>
      </c>
      <c r="G142" s="4" t="s">
        <v>361</v>
      </c>
      <c r="H142" s="4" t="s">
        <v>779</v>
      </c>
      <c r="I142" s="5" t="n">
        <v>275.8</v>
      </c>
      <c r="J142" s="7" t="n">
        <v>5</v>
      </c>
      <c r="K142" s="5" t="n">
        <v>235.84</v>
      </c>
      <c r="L142" s="8" t="n">
        <v>0.855112</v>
      </c>
      <c r="M142" s="9" t="n">
        <v>55.16</v>
      </c>
      <c r="N142" s="10" t="n">
        <v>0.01775305</v>
      </c>
      <c r="O142" s="5" t="n">
        <v>73.08</v>
      </c>
      <c r="P142" s="11" t="n">
        <v>1.653812</v>
      </c>
      <c r="Q142" s="7" t="n">
        <v>3774</v>
      </c>
      <c r="R142" s="7" t="n">
        <v>67</v>
      </c>
      <c r="S142" s="7" t="n">
        <v>3</v>
      </c>
      <c r="T142" s="7" t="n">
        <v>13</v>
      </c>
      <c r="U142" s="7" t="n">
        <v>0</v>
      </c>
      <c r="V142" s="7" t="n">
        <v>0</v>
      </c>
    </row>
    <row r="143" customFormat="false" ht="15" hidden="false" customHeight="false" outlineLevel="0" collapsed="false">
      <c r="A143" s="4" t="s">
        <v>780</v>
      </c>
      <c r="B143" s="4" t="str">
        <f aca="false">IF(AND(I143&gt;='Read Me &amp; Markers'!$B$18,J143&gt;='Read Me &amp; Markers'!$B$19,L143&gt;='Read Me &amp; Markers'!$B$20),"A. Proven winner",IF(AND(I143&gt;='Read Me &amp; Markers'!$B$18,J143&gt;='Read Me &amp; Markers'!$B$19,L143&gt;='Read Me &amp; Markers'!$B$21),"B. Strong performer",IF(AND(I143&gt;='Read Me &amp; Markers'!$B$22,L143&gt;='Read Me &amp; Markers'!$B$23),"C. Scale workhorse",IF(AND(I143&gt;='Read Me &amp; Markers'!$B$24,I143&lt;'Read Me &amp; Markers'!$B$18,J143&gt;='Read Me &amp; Markers'!$B$25,L143&gt;='Read Me &amp; Markers'!$B$26),"D. Promising (needs more spend)",""))))</f>
        <v/>
      </c>
      <c r="C143" s="4" t="s">
        <v>129</v>
      </c>
      <c r="D143" s="4" t="s">
        <v>100</v>
      </c>
      <c r="E143" s="4" t="s">
        <v>564</v>
      </c>
      <c r="F143" s="4" t="s">
        <v>87</v>
      </c>
      <c r="G143" s="4" t="s">
        <v>254</v>
      </c>
      <c r="H143" s="4" t="s">
        <v>781</v>
      </c>
      <c r="I143" s="5" t="n">
        <v>272.93</v>
      </c>
      <c r="J143" s="7" t="n">
        <v>5</v>
      </c>
      <c r="K143" s="5" t="n">
        <v>351.82</v>
      </c>
      <c r="L143" s="8" t="n">
        <v>1.289048</v>
      </c>
      <c r="M143" s="9" t="n">
        <v>54.59</v>
      </c>
      <c r="N143" s="10" t="n">
        <v>0.06030151</v>
      </c>
      <c r="O143" s="5" t="n">
        <v>114.29</v>
      </c>
      <c r="P143" s="11" t="n">
        <v>1.208502</v>
      </c>
      <c r="Q143" s="7" t="n">
        <v>2388</v>
      </c>
      <c r="R143" s="7" t="n">
        <v>144</v>
      </c>
      <c r="S143" s="7" t="n">
        <v>17</v>
      </c>
      <c r="T143" s="7" t="n">
        <v>15</v>
      </c>
      <c r="U143" s="7" t="n">
        <v>2229</v>
      </c>
      <c r="V143" s="7" t="n">
        <v>446</v>
      </c>
    </row>
    <row r="144" customFormat="false" ht="15" hidden="false" customHeight="false" outlineLevel="0" collapsed="false">
      <c r="A144" s="4" t="s">
        <v>354</v>
      </c>
      <c r="B144" s="4" t="str">
        <f aca="false">IF(AND(I144&gt;='Read Me &amp; Markers'!$B$18,J144&gt;='Read Me &amp; Markers'!$B$19,L144&gt;='Read Me &amp; Markers'!$B$20),"A. Proven winner",IF(AND(I144&gt;='Read Me &amp; Markers'!$B$18,J144&gt;='Read Me &amp; Markers'!$B$19,L144&gt;='Read Me &amp; Markers'!$B$21),"B. Strong performer",IF(AND(I144&gt;='Read Me &amp; Markers'!$B$22,L144&gt;='Read Me &amp; Markers'!$B$23),"C. Scale workhorse",IF(AND(I144&gt;='Read Me &amp; Markers'!$B$24,I144&lt;'Read Me &amp; Markers'!$B$18,J144&gt;='Read Me &amp; Markers'!$B$25,L144&gt;='Read Me &amp; Markers'!$B$26),"D. Promising (needs more spend)",""))))</f>
        <v>D. Promising (needs more spend)</v>
      </c>
      <c r="C144" s="4" t="s">
        <v>121</v>
      </c>
      <c r="D144" s="4" t="s">
        <v>100</v>
      </c>
      <c r="E144" s="4" t="s">
        <v>355</v>
      </c>
      <c r="F144" s="4" t="s">
        <v>87</v>
      </c>
      <c r="G144" s="4" t="s">
        <v>142</v>
      </c>
      <c r="H144" s="4" t="s">
        <v>356</v>
      </c>
      <c r="I144" s="5" t="n">
        <v>271.98</v>
      </c>
      <c r="J144" s="7" t="n">
        <v>6</v>
      </c>
      <c r="K144" s="5" t="n">
        <v>392.52</v>
      </c>
      <c r="L144" s="8" t="n">
        <v>1.443194</v>
      </c>
      <c r="M144" s="9" t="n">
        <v>45.33</v>
      </c>
      <c r="N144" s="10" t="n">
        <v>0.03456341</v>
      </c>
      <c r="O144" s="5" t="n">
        <v>70.68</v>
      </c>
      <c r="P144" s="11" t="n">
        <v>1.168185</v>
      </c>
      <c r="Q144" s="7" t="n">
        <v>3848</v>
      </c>
      <c r="R144" s="7" t="n">
        <v>133</v>
      </c>
      <c r="S144" s="7" t="n">
        <v>27</v>
      </c>
      <c r="T144" s="7" t="n">
        <v>18</v>
      </c>
      <c r="U144" s="7" t="n">
        <v>3322</v>
      </c>
      <c r="V144" s="7" t="n">
        <v>146</v>
      </c>
    </row>
    <row r="145" customFormat="false" ht="15" hidden="false" customHeight="false" outlineLevel="0" collapsed="false">
      <c r="A145" s="4" t="s">
        <v>782</v>
      </c>
      <c r="B145" s="4" t="str">
        <f aca="false">IF(AND(I145&gt;='Read Me &amp; Markers'!$B$18,J145&gt;='Read Me &amp; Markers'!$B$19,L145&gt;='Read Me &amp; Markers'!$B$20),"A. Proven winner",IF(AND(I145&gt;='Read Me &amp; Markers'!$B$18,J145&gt;='Read Me &amp; Markers'!$B$19,L145&gt;='Read Me &amp; Markers'!$B$21),"B. Strong performer",IF(AND(I145&gt;='Read Me &amp; Markers'!$B$22,L145&gt;='Read Me &amp; Markers'!$B$23),"C. Scale workhorse",IF(AND(I145&gt;='Read Me &amp; Markers'!$B$24,I145&lt;'Read Me &amp; Markers'!$B$18,J145&gt;='Read Me &amp; Markers'!$B$25,L145&gt;='Read Me &amp; Markers'!$B$26),"D. Promising (needs more spend)",""))))</f>
        <v/>
      </c>
      <c r="C145" s="4" t="s">
        <v>783</v>
      </c>
      <c r="D145" s="4" t="s">
        <v>228</v>
      </c>
      <c r="E145" s="4" t="s">
        <v>784</v>
      </c>
      <c r="F145" s="4" t="s">
        <v>230</v>
      </c>
      <c r="G145" s="4" t="s">
        <v>785</v>
      </c>
      <c r="H145" s="4" t="s">
        <v>786</v>
      </c>
      <c r="I145" s="5" t="n">
        <v>270.17</v>
      </c>
      <c r="J145" s="7" t="n">
        <v>4</v>
      </c>
      <c r="K145" s="5" t="n">
        <v>315.86</v>
      </c>
      <c r="L145" s="8" t="n">
        <v>1.169116</v>
      </c>
      <c r="M145" s="9" t="n">
        <v>67.54</v>
      </c>
      <c r="N145" s="10" t="n">
        <v>0.02137917</v>
      </c>
      <c r="O145" s="5" t="n">
        <v>56.63</v>
      </c>
      <c r="P145" s="11" t="n">
        <v>1.920692</v>
      </c>
      <c r="Q145" s="7" t="n">
        <v>4771</v>
      </c>
      <c r="R145" s="7" t="n">
        <v>102</v>
      </c>
      <c r="S145" s="7" t="n">
        <v>7</v>
      </c>
      <c r="T145" s="7" t="n">
        <v>11</v>
      </c>
      <c r="U145" s="7" t="n">
        <v>0</v>
      </c>
      <c r="V145" s="7" t="n">
        <v>0</v>
      </c>
    </row>
    <row r="146" customFormat="false" ht="15" hidden="false" customHeight="false" outlineLevel="0" collapsed="false">
      <c r="A146" s="4" t="s">
        <v>787</v>
      </c>
      <c r="B146" s="4" t="str">
        <f aca="false">IF(AND(I146&gt;='Read Me &amp; Markers'!$B$18,J146&gt;='Read Me &amp; Markers'!$B$19,L146&gt;='Read Me &amp; Markers'!$B$20),"A. Proven winner",IF(AND(I146&gt;='Read Me &amp; Markers'!$B$18,J146&gt;='Read Me &amp; Markers'!$B$19,L146&gt;='Read Me &amp; Markers'!$B$21),"B. Strong performer",IF(AND(I146&gt;='Read Me &amp; Markers'!$B$22,L146&gt;='Read Me &amp; Markers'!$B$23),"C. Scale workhorse",IF(AND(I146&gt;='Read Me &amp; Markers'!$B$24,I146&lt;'Read Me &amp; Markers'!$B$18,J146&gt;='Read Me &amp; Markers'!$B$25,L146&gt;='Read Me &amp; Markers'!$B$26),"D. Promising (needs more spend)",""))))</f>
        <v/>
      </c>
      <c r="C146" s="4" t="s">
        <v>788</v>
      </c>
      <c r="D146" s="4" t="s">
        <v>528</v>
      </c>
      <c r="E146" s="4" t="s">
        <v>724</v>
      </c>
      <c r="F146" s="4" t="s">
        <v>230</v>
      </c>
      <c r="G146" s="4" t="s">
        <v>378</v>
      </c>
      <c r="H146" s="4" t="s">
        <v>789</v>
      </c>
      <c r="I146" s="5" t="n">
        <v>270.06</v>
      </c>
      <c r="J146" s="7" t="n">
        <v>2</v>
      </c>
      <c r="K146" s="5" t="n">
        <v>79.96</v>
      </c>
      <c r="L146" s="8" t="n">
        <v>0.296082</v>
      </c>
      <c r="M146" s="9" t="n">
        <v>135.03</v>
      </c>
      <c r="N146" s="10" t="n">
        <v>0.08227115</v>
      </c>
      <c r="O146" s="5" t="n">
        <v>156.47</v>
      </c>
      <c r="P146" s="11" t="n">
        <v>1.163857</v>
      </c>
      <c r="Q146" s="7" t="n">
        <v>1726</v>
      </c>
      <c r="R146" s="7" t="n">
        <v>142</v>
      </c>
      <c r="S146" s="7" t="n">
        <v>6</v>
      </c>
      <c r="T146" s="7" t="n">
        <v>3</v>
      </c>
      <c r="U146" s="7" t="n">
        <v>1498</v>
      </c>
      <c r="V146" s="7" t="n">
        <v>319</v>
      </c>
    </row>
    <row r="147" customFormat="false" ht="15" hidden="false" customHeight="false" outlineLevel="0" collapsed="false">
      <c r="A147" s="4" t="s">
        <v>790</v>
      </c>
      <c r="B147" s="4" t="str">
        <f aca="false">IF(AND(I147&gt;='Read Me &amp; Markers'!$B$18,J147&gt;='Read Me &amp; Markers'!$B$19,L147&gt;='Read Me &amp; Markers'!$B$20),"A. Proven winner",IF(AND(I147&gt;='Read Me &amp; Markers'!$B$18,J147&gt;='Read Me &amp; Markers'!$B$19,L147&gt;='Read Me &amp; Markers'!$B$21),"B. Strong performer",IF(AND(I147&gt;='Read Me &amp; Markers'!$B$22,L147&gt;='Read Me &amp; Markers'!$B$23),"C. Scale workhorse",IF(AND(I147&gt;='Read Me &amp; Markers'!$B$24,I147&lt;'Read Me &amp; Markers'!$B$18,J147&gt;='Read Me &amp; Markers'!$B$25,L147&gt;='Read Me &amp; Markers'!$B$26),"D. Promising (needs more spend)",""))))</f>
        <v/>
      </c>
      <c r="C147" s="4" t="s">
        <v>791</v>
      </c>
      <c r="D147" s="4" t="s">
        <v>528</v>
      </c>
      <c r="E147" s="4" t="s">
        <v>792</v>
      </c>
      <c r="F147" s="4" t="s">
        <v>230</v>
      </c>
      <c r="G147" s="4" t="s">
        <v>378</v>
      </c>
      <c r="H147" s="4" t="s">
        <v>793</v>
      </c>
      <c r="I147" s="5" t="n">
        <v>269.72</v>
      </c>
      <c r="J147" s="7" t="n">
        <v>6</v>
      </c>
      <c r="K147" s="5" t="n">
        <v>289.88</v>
      </c>
      <c r="L147" s="8" t="n">
        <v>1.074744</v>
      </c>
      <c r="M147" s="9" t="n">
        <v>44.95</v>
      </c>
      <c r="N147" s="10" t="n">
        <v>0.04627949</v>
      </c>
      <c r="O147" s="5" t="n">
        <v>81.58</v>
      </c>
      <c r="P147" s="11" t="n">
        <v>1.360494</v>
      </c>
      <c r="Q147" s="7" t="n">
        <v>3306</v>
      </c>
      <c r="R147" s="7" t="n">
        <v>153</v>
      </c>
      <c r="S147" s="7" t="n">
        <v>14</v>
      </c>
      <c r="T147" s="7" t="n">
        <v>14</v>
      </c>
      <c r="U147" s="7" t="n">
        <v>2819</v>
      </c>
      <c r="V147" s="7" t="n">
        <v>392</v>
      </c>
    </row>
    <row r="148" customFormat="false" ht="15" hidden="false" customHeight="false" outlineLevel="0" collapsed="false">
      <c r="A148" s="4" t="s">
        <v>794</v>
      </c>
      <c r="B148" s="4" t="str">
        <f aca="false">IF(AND(I148&gt;='Read Me &amp; Markers'!$B$18,J148&gt;='Read Me &amp; Markers'!$B$19,L148&gt;='Read Me &amp; Markers'!$B$20),"A. Proven winner",IF(AND(I148&gt;='Read Me &amp; Markers'!$B$18,J148&gt;='Read Me &amp; Markers'!$B$19,L148&gt;='Read Me &amp; Markers'!$B$21),"B. Strong performer",IF(AND(I148&gt;='Read Me &amp; Markers'!$B$22,L148&gt;='Read Me &amp; Markers'!$B$23),"C. Scale workhorse",IF(AND(I148&gt;='Read Me &amp; Markers'!$B$24,I148&lt;'Read Me &amp; Markers'!$B$18,J148&gt;='Read Me &amp; Markers'!$B$25,L148&gt;='Read Me &amp; Markers'!$B$26),"D. Promising (needs more spend)",""))))</f>
        <v/>
      </c>
      <c r="C148" s="4" t="s">
        <v>169</v>
      </c>
      <c r="D148" s="4" t="s">
        <v>100</v>
      </c>
      <c r="E148" s="4" t="s">
        <v>795</v>
      </c>
      <c r="F148" s="4" t="s">
        <v>87</v>
      </c>
      <c r="G148" s="4" t="s">
        <v>538</v>
      </c>
      <c r="H148" s="4" t="s">
        <v>796</v>
      </c>
      <c r="I148" s="5" t="n">
        <v>267.89</v>
      </c>
      <c r="J148" s="7" t="n">
        <v>3</v>
      </c>
      <c r="K148" s="5" t="n">
        <v>259.88</v>
      </c>
      <c r="L148" s="8" t="n">
        <v>0.9701</v>
      </c>
      <c r="M148" s="9" t="n">
        <v>89.3</v>
      </c>
      <c r="N148" s="10" t="n">
        <v>0.03918857</v>
      </c>
      <c r="O148" s="5" t="n">
        <v>123.51</v>
      </c>
      <c r="P148" s="11" t="n">
        <v>1.092695</v>
      </c>
      <c r="Q148" s="7" t="n">
        <v>2169</v>
      </c>
      <c r="R148" s="7" t="n">
        <v>85</v>
      </c>
      <c r="S148" s="7" t="n">
        <v>8</v>
      </c>
      <c r="T148" s="7" t="n">
        <v>12</v>
      </c>
      <c r="U148" s="7" t="n">
        <v>1995</v>
      </c>
      <c r="V148" s="7" t="n">
        <v>408</v>
      </c>
    </row>
    <row r="149" customFormat="false" ht="15" hidden="false" customHeight="false" outlineLevel="0" collapsed="false">
      <c r="A149" s="4" t="s">
        <v>797</v>
      </c>
      <c r="B149" s="4" t="str">
        <f aca="false">IF(AND(I149&gt;='Read Me &amp; Markers'!$B$18,J149&gt;='Read Me &amp; Markers'!$B$19,L149&gt;='Read Me &amp; Markers'!$B$20),"A. Proven winner",IF(AND(I149&gt;='Read Me &amp; Markers'!$B$18,J149&gt;='Read Me &amp; Markers'!$B$19,L149&gt;='Read Me &amp; Markers'!$B$21),"B. Strong performer",IF(AND(I149&gt;='Read Me &amp; Markers'!$B$22,L149&gt;='Read Me &amp; Markers'!$B$23),"C. Scale workhorse",IF(AND(I149&gt;='Read Me &amp; Markers'!$B$24,I149&lt;'Read Me &amp; Markers'!$B$18,J149&gt;='Read Me &amp; Markers'!$B$25,L149&gt;='Read Me &amp; Markers'!$B$26),"D. Promising (needs more spend)",""))))</f>
        <v/>
      </c>
      <c r="C149" s="4" t="s">
        <v>169</v>
      </c>
      <c r="D149" s="4" t="s">
        <v>100</v>
      </c>
      <c r="E149" s="4" t="s">
        <v>237</v>
      </c>
      <c r="F149" s="4" t="s">
        <v>87</v>
      </c>
      <c r="G149" s="4" t="s">
        <v>208</v>
      </c>
      <c r="H149" s="4" t="s">
        <v>798</v>
      </c>
      <c r="I149" s="5" t="n">
        <v>267.45</v>
      </c>
      <c r="J149" s="7" t="n">
        <v>6</v>
      </c>
      <c r="K149" s="5" t="n">
        <v>291.78</v>
      </c>
      <c r="L149" s="8" t="n">
        <v>1.09097</v>
      </c>
      <c r="M149" s="9" t="n">
        <v>44.58</v>
      </c>
      <c r="N149" s="10" t="n">
        <v>0.04329173</v>
      </c>
      <c r="O149" s="5" t="n">
        <v>104.31</v>
      </c>
      <c r="P149" s="11" t="n">
        <v>1.288442</v>
      </c>
      <c r="Q149" s="7" t="n">
        <v>2564</v>
      </c>
      <c r="R149" s="7" t="n">
        <v>111</v>
      </c>
      <c r="S149" s="7" t="n">
        <v>14</v>
      </c>
      <c r="T149" s="7" t="n">
        <v>12</v>
      </c>
      <c r="U149" s="7" t="n">
        <v>2210</v>
      </c>
      <c r="V149" s="7" t="n">
        <v>340</v>
      </c>
    </row>
    <row r="150" customFormat="false" ht="15" hidden="false" customHeight="false" outlineLevel="0" collapsed="false">
      <c r="A150" s="4" t="s">
        <v>799</v>
      </c>
      <c r="B150" s="4" t="str">
        <f aca="false">IF(AND(I150&gt;='Read Me &amp; Markers'!$B$18,J150&gt;='Read Me &amp; Markers'!$B$19,L150&gt;='Read Me &amp; Markers'!$B$20),"A. Proven winner",IF(AND(I150&gt;='Read Me &amp; Markers'!$B$18,J150&gt;='Read Me &amp; Markers'!$B$19,L150&gt;='Read Me &amp; Markers'!$B$21),"B. Strong performer",IF(AND(I150&gt;='Read Me &amp; Markers'!$B$22,L150&gt;='Read Me &amp; Markers'!$B$23),"C. Scale workhorse",IF(AND(I150&gt;='Read Me &amp; Markers'!$B$24,I150&lt;'Read Me &amp; Markers'!$B$18,J150&gt;='Read Me &amp; Markers'!$B$25,L150&gt;='Read Me &amp; Markers'!$B$26),"D. Promising (needs more spend)",""))))</f>
        <v/>
      </c>
      <c r="C150" s="4" t="s">
        <v>800</v>
      </c>
      <c r="D150" s="4" t="s">
        <v>228</v>
      </c>
      <c r="E150" s="4" t="s">
        <v>801</v>
      </c>
      <c r="F150" s="4" t="s">
        <v>230</v>
      </c>
      <c r="G150" s="4" t="s">
        <v>378</v>
      </c>
      <c r="H150" s="4" t="s">
        <v>802</v>
      </c>
      <c r="I150" s="5" t="n">
        <v>265.25</v>
      </c>
      <c r="J150" s="7" t="n">
        <v>3</v>
      </c>
      <c r="K150" s="5" t="n">
        <v>179.92</v>
      </c>
      <c r="L150" s="8" t="n">
        <v>0.678303</v>
      </c>
      <c r="M150" s="9" t="n">
        <v>88.42</v>
      </c>
      <c r="N150" s="10" t="n">
        <v>0.06429463</v>
      </c>
      <c r="O150" s="5" t="n">
        <v>165.57</v>
      </c>
      <c r="P150" s="11" t="n">
        <v>1.101788</v>
      </c>
      <c r="Q150" s="7" t="n">
        <v>1602</v>
      </c>
      <c r="R150" s="7" t="n">
        <v>103</v>
      </c>
      <c r="S150" s="7" t="n">
        <v>0</v>
      </c>
      <c r="T150" s="7" t="n">
        <v>26</v>
      </c>
      <c r="U150" s="7" t="n">
        <v>1537</v>
      </c>
      <c r="V150" s="7" t="n">
        <v>392</v>
      </c>
    </row>
    <row r="151" customFormat="false" ht="15" hidden="false" customHeight="false" outlineLevel="0" collapsed="false">
      <c r="A151" s="4" t="s">
        <v>803</v>
      </c>
      <c r="B151" s="4" t="str">
        <f aca="false">IF(AND(I151&gt;='Read Me &amp; Markers'!$B$18,J151&gt;='Read Me &amp; Markers'!$B$19,L151&gt;='Read Me &amp; Markers'!$B$20),"A. Proven winner",IF(AND(I151&gt;='Read Me &amp; Markers'!$B$18,J151&gt;='Read Me &amp; Markers'!$B$19,L151&gt;='Read Me &amp; Markers'!$B$21),"B. Strong performer",IF(AND(I151&gt;='Read Me &amp; Markers'!$B$22,L151&gt;='Read Me &amp; Markers'!$B$23),"C. Scale workhorse",IF(AND(I151&gt;='Read Me &amp; Markers'!$B$24,I151&lt;'Read Me &amp; Markers'!$B$18,J151&gt;='Read Me &amp; Markers'!$B$25,L151&gt;='Read Me &amp; Markers'!$B$26),"D. Promising (needs more spend)",""))))</f>
        <v/>
      </c>
      <c r="C151" s="4" t="s">
        <v>804</v>
      </c>
      <c r="D151" s="4" t="s">
        <v>109</v>
      </c>
      <c r="E151" s="4" t="s">
        <v>482</v>
      </c>
      <c r="F151" s="4" t="s">
        <v>87</v>
      </c>
      <c r="G151" s="4" t="s">
        <v>483</v>
      </c>
      <c r="H151" s="4" t="s">
        <v>805</v>
      </c>
      <c r="I151" s="5" t="n">
        <v>264.95</v>
      </c>
      <c r="J151" s="7" t="n">
        <v>5</v>
      </c>
      <c r="K151" s="5" t="n">
        <v>233.8</v>
      </c>
      <c r="L151" s="8" t="n">
        <v>0.882431</v>
      </c>
      <c r="M151" s="9" t="n">
        <v>52.99</v>
      </c>
      <c r="N151" s="10" t="n">
        <v>0.03399015</v>
      </c>
      <c r="O151" s="5" t="n">
        <v>130.52</v>
      </c>
      <c r="P151" s="11" t="n">
        <v>1.151446</v>
      </c>
      <c r="Q151" s="7" t="n">
        <v>2030</v>
      </c>
      <c r="R151" s="7" t="n">
        <v>69</v>
      </c>
      <c r="S151" s="7" t="n">
        <v>9</v>
      </c>
      <c r="T151" s="7" t="n">
        <v>9</v>
      </c>
      <c r="U151" s="7" t="n">
        <v>1916</v>
      </c>
      <c r="V151" s="7" t="n">
        <v>657</v>
      </c>
    </row>
    <row r="152" customFormat="false" ht="15" hidden="false" customHeight="false" outlineLevel="0" collapsed="false">
      <c r="A152" s="4" t="s">
        <v>334</v>
      </c>
      <c r="B152" s="4" t="str">
        <f aca="false">IF(AND(I152&gt;='Read Me &amp; Markers'!$B$18,J152&gt;='Read Me &amp; Markers'!$B$19,L152&gt;='Read Me &amp; Markers'!$B$20),"A. Proven winner",IF(AND(I152&gt;='Read Me &amp; Markers'!$B$18,J152&gt;='Read Me &amp; Markers'!$B$19,L152&gt;='Read Me &amp; Markers'!$B$21),"B. Strong performer",IF(AND(I152&gt;='Read Me &amp; Markers'!$B$22,L152&gt;='Read Me &amp; Markers'!$B$23),"C. Scale workhorse",IF(AND(I152&gt;='Read Me &amp; Markers'!$B$24,I152&lt;'Read Me &amp; Markers'!$B$18,J152&gt;='Read Me &amp; Markers'!$B$25,L152&gt;='Read Me &amp; Markers'!$B$26),"D. Promising (needs more spend)",""))))</f>
        <v>D. Promising (needs more spend)</v>
      </c>
      <c r="C152" s="4" t="s">
        <v>333</v>
      </c>
      <c r="D152" s="4" t="s">
        <v>154</v>
      </c>
      <c r="E152" s="4" t="s">
        <v>335</v>
      </c>
      <c r="F152" s="4" t="s">
        <v>87</v>
      </c>
      <c r="G152" s="4" t="s">
        <v>336</v>
      </c>
      <c r="H152" s="4" t="s">
        <v>338</v>
      </c>
      <c r="I152" s="5" t="n">
        <v>264.3</v>
      </c>
      <c r="J152" s="7" t="n">
        <v>7</v>
      </c>
      <c r="K152" s="5" t="n">
        <v>404.53</v>
      </c>
      <c r="L152" s="8" t="n">
        <v>1.530571</v>
      </c>
      <c r="M152" s="9" t="n">
        <v>37.76</v>
      </c>
      <c r="N152" s="10" t="n">
        <v>0.04563013</v>
      </c>
      <c r="O152" s="5" t="n">
        <v>63.81</v>
      </c>
      <c r="P152" s="11" t="n">
        <v>1.314503</v>
      </c>
      <c r="Q152" s="7" t="n">
        <v>4142</v>
      </c>
      <c r="R152" s="7" t="n">
        <v>189</v>
      </c>
      <c r="S152" s="7" t="n">
        <v>22</v>
      </c>
      <c r="T152" s="7" t="n">
        <v>20</v>
      </c>
      <c r="U152" s="7" t="n">
        <v>3711</v>
      </c>
      <c r="V152" s="7" t="n">
        <v>352</v>
      </c>
    </row>
    <row r="153" customFormat="false" ht="15" hidden="false" customHeight="false" outlineLevel="0" collapsed="false">
      <c r="A153" s="4" t="s">
        <v>806</v>
      </c>
      <c r="B153" s="4" t="str">
        <f aca="false">IF(AND(I153&gt;='Read Me &amp; Markers'!$B$18,J153&gt;='Read Me &amp; Markers'!$B$19,L153&gt;='Read Me &amp; Markers'!$B$20),"A. Proven winner",IF(AND(I153&gt;='Read Me &amp; Markers'!$B$18,J153&gt;='Read Me &amp; Markers'!$B$19,L153&gt;='Read Me &amp; Markers'!$B$21),"B. Strong performer",IF(AND(I153&gt;='Read Me &amp; Markers'!$B$22,L153&gt;='Read Me &amp; Markers'!$B$23),"C. Scale workhorse",IF(AND(I153&gt;='Read Me &amp; Markers'!$B$24,I153&lt;'Read Me &amp; Markers'!$B$18,J153&gt;='Read Me &amp; Markers'!$B$25,L153&gt;='Read Me &amp; Markers'!$B$26),"D. Promising (needs more spend)",""))))</f>
        <v/>
      </c>
      <c r="C153" s="4" t="s">
        <v>807</v>
      </c>
      <c r="D153" s="4" t="s">
        <v>109</v>
      </c>
      <c r="E153" s="4" t="s">
        <v>110</v>
      </c>
      <c r="F153" s="4" t="s">
        <v>111</v>
      </c>
      <c r="G153" s="4" t="s">
        <v>112</v>
      </c>
      <c r="H153" s="4" t="s">
        <v>808</v>
      </c>
      <c r="I153" s="5" t="n">
        <v>263.31</v>
      </c>
      <c r="J153" s="7" t="n">
        <v>3</v>
      </c>
      <c r="K153" s="5" t="n">
        <v>215.91</v>
      </c>
      <c r="L153" s="8" t="n">
        <v>0.819984</v>
      </c>
      <c r="M153" s="9" t="n">
        <v>87.77</v>
      </c>
      <c r="N153" s="10" t="n">
        <v>0.01840205</v>
      </c>
      <c r="O153" s="5" t="n">
        <v>61.33</v>
      </c>
      <c r="P153" s="11" t="n">
        <v>1.575991</v>
      </c>
      <c r="Q153" s="7" t="n">
        <v>4293</v>
      </c>
      <c r="R153" s="7" t="n">
        <v>79</v>
      </c>
      <c r="S153" s="7" t="n">
        <v>0</v>
      </c>
      <c r="T153" s="7" t="n">
        <v>6</v>
      </c>
      <c r="U153" s="7" t="n">
        <v>0</v>
      </c>
      <c r="V153" s="7" t="n">
        <v>0</v>
      </c>
    </row>
    <row r="154" customFormat="false" ht="15" hidden="false" customHeight="false" outlineLevel="0" collapsed="false">
      <c r="A154" s="4" t="s">
        <v>809</v>
      </c>
      <c r="B154" s="4" t="str">
        <f aca="false">IF(AND(I154&gt;='Read Me &amp; Markers'!$B$18,J154&gt;='Read Me &amp; Markers'!$B$19,L154&gt;='Read Me &amp; Markers'!$B$20),"A. Proven winner",IF(AND(I154&gt;='Read Me &amp; Markers'!$B$18,J154&gt;='Read Me &amp; Markers'!$B$19,L154&gt;='Read Me &amp; Markers'!$B$21),"B. Strong performer",IF(AND(I154&gt;='Read Me &amp; Markers'!$B$22,L154&gt;='Read Me &amp; Markers'!$B$23),"C. Scale workhorse",IF(AND(I154&gt;='Read Me &amp; Markers'!$B$24,I154&lt;'Read Me &amp; Markers'!$B$18,J154&gt;='Read Me &amp; Markers'!$B$25,L154&gt;='Read Me &amp; Markers'!$B$26),"D. Promising (needs more spend)",""))))</f>
        <v/>
      </c>
      <c r="C154" s="4" t="s">
        <v>121</v>
      </c>
      <c r="D154" s="4" t="s">
        <v>100</v>
      </c>
      <c r="E154" s="4" t="s">
        <v>810</v>
      </c>
      <c r="F154" s="4" t="s">
        <v>87</v>
      </c>
      <c r="G154" s="4" t="s">
        <v>124</v>
      </c>
      <c r="H154" s="4" t="s">
        <v>811</v>
      </c>
      <c r="I154" s="5" t="n">
        <v>257.97</v>
      </c>
      <c r="J154" s="7" t="n">
        <v>4</v>
      </c>
      <c r="K154" s="5" t="n">
        <v>219.89</v>
      </c>
      <c r="L154" s="8" t="n">
        <v>0.852386</v>
      </c>
      <c r="M154" s="9" t="n">
        <v>64.49</v>
      </c>
      <c r="N154" s="10" t="n">
        <v>0.03448276</v>
      </c>
      <c r="O154" s="5" t="n">
        <v>148.26</v>
      </c>
      <c r="P154" s="11" t="n">
        <v>1.195055</v>
      </c>
      <c r="Q154" s="7" t="n">
        <v>1740</v>
      </c>
      <c r="R154" s="7" t="n">
        <v>60</v>
      </c>
      <c r="S154" s="7" t="n">
        <v>5</v>
      </c>
      <c r="T154" s="7" t="n">
        <v>10</v>
      </c>
      <c r="U154" s="7" t="n">
        <v>1583</v>
      </c>
      <c r="V154" s="7" t="n">
        <v>170</v>
      </c>
    </row>
    <row r="155" customFormat="false" ht="15" hidden="false" customHeight="false" outlineLevel="0" collapsed="false">
      <c r="A155" s="4" t="s">
        <v>812</v>
      </c>
      <c r="B155" s="4" t="str">
        <f aca="false">IF(AND(I155&gt;='Read Me &amp; Markers'!$B$18,J155&gt;='Read Me &amp; Markers'!$B$19,L155&gt;='Read Me &amp; Markers'!$B$20),"A. Proven winner",IF(AND(I155&gt;='Read Me &amp; Markers'!$B$18,J155&gt;='Read Me &amp; Markers'!$B$19,L155&gt;='Read Me &amp; Markers'!$B$21),"B. Strong performer",IF(AND(I155&gt;='Read Me &amp; Markers'!$B$22,L155&gt;='Read Me &amp; Markers'!$B$23),"C. Scale workhorse",IF(AND(I155&gt;='Read Me &amp; Markers'!$B$24,I155&lt;'Read Me &amp; Markers'!$B$18,J155&gt;='Read Me &amp; Markers'!$B$25,L155&gt;='Read Me &amp; Markers'!$B$26),"D. Promising (needs more spend)",""))))</f>
        <v/>
      </c>
      <c r="C155" s="4" t="s">
        <v>813</v>
      </c>
      <c r="D155" s="4" t="s">
        <v>109</v>
      </c>
      <c r="E155" s="4" t="s">
        <v>435</v>
      </c>
      <c r="F155" s="4" t="s">
        <v>87</v>
      </c>
      <c r="G155" s="4" t="s">
        <v>436</v>
      </c>
      <c r="H155" s="4" t="s">
        <v>814</v>
      </c>
      <c r="I155" s="5" t="n">
        <v>257.65</v>
      </c>
      <c r="J155" s="7" t="n">
        <v>1</v>
      </c>
      <c r="K155" s="5" t="n">
        <v>35.96</v>
      </c>
      <c r="L155" s="8" t="n">
        <v>0.139569</v>
      </c>
      <c r="M155" s="9" t="n">
        <v>257.65</v>
      </c>
      <c r="N155" s="10" t="n">
        <v>0.02315609</v>
      </c>
      <c r="O155" s="5" t="n">
        <v>110.48</v>
      </c>
      <c r="P155" s="11" t="n">
        <v>1.559866</v>
      </c>
      <c r="Q155" s="7" t="n">
        <v>2332</v>
      </c>
      <c r="R155" s="7" t="n">
        <v>54</v>
      </c>
      <c r="S155" s="7" t="n">
        <v>3</v>
      </c>
      <c r="T155" s="7" t="n">
        <v>4</v>
      </c>
      <c r="U155" s="7" t="n">
        <v>2084</v>
      </c>
      <c r="V155" s="7" t="n">
        <v>113</v>
      </c>
    </row>
    <row r="156" customFormat="false" ht="15" hidden="false" customHeight="false" outlineLevel="0" collapsed="false">
      <c r="A156" s="4" t="s">
        <v>815</v>
      </c>
      <c r="B156" s="4" t="str">
        <f aca="false">IF(AND(I156&gt;='Read Me &amp; Markers'!$B$18,J156&gt;='Read Me &amp; Markers'!$B$19,L156&gt;='Read Me &amp; Markers'!$B$20),"A. Proven winner",IF(AND(I156&gt;='Read Me &amp; Markers'!$B$18,J156&gt;='Read Me &amp; Markers'!$B$19,L156&gt;='Read Me &amp; Markers'!$B$21),"B. Strong performer",IF(AND(I156&gt;='Read Me &amp; Markers'!$B$22,L156&gt;='Read Me &amp; Markers'!$B$23),"C. Scale workhorse",IF(AND(I156&gt;='Read Me &amp; Markers'!$B$24,I156&lt;'Read Me &amp; Markers'!$B$18,J156&gt;='Read Me &amp; Markers'!$B$25,L156&gt;='Read Me &amp; Markers'!$B$26),"D. Promising (needs more spend)",""))))</f>
        <v/>
      </c>
      <c r="C156" s="4" t="s">
        <v>98</v>
      </c>
      <c r="D156" s="4" t="s">
        <v>100</v>
      </c>
      <c r="E156" s="4" t="s">
        <v>768</v>
      </c>
      <c r="F156" s="4" t="s">
        <v>87</v>
      </c>
      <c r="G156" s="4" t="s">
        <v>650</v>
      </c>
      <c r="H156" s="4" t="s">
        <v>816</v>
      </c>
      <c r="I156" s="5" t="n">
        <v>257.62</v>
      </c>
      <c r="J156" s="7" t="n">
        <v>2</v>
      </c>
      <c r="K156" s="5" t="n">
        <v>119.94</v>
      </c>
      <c r="L156" s="8" t="n">
        <v>0.465569</v>
      </c>
      <c r="M156" s="9" t="n">
        <v>128.81</v>
      </c>
      <c r="N156" s="10" t="n">
        <v>0.0917481</v>
      </c>
      <c r="O156" s="5" t="n">
        <v>139.86</v>
      </c>
      <c r="P156" s="11" t="n">
        <v>1.03367</v>
      </c>
      <c r="Q156" s="7" t="n">
        <v>1842</v>
      </c>
      <c r="R156" s="7" t="n">
        <v>169</v>
      </c>
      <c r="S156" s="7" t="n">
        <v>16</v>
      </c>
      <c r="T156" s="7" t="n">
        <v>12</v>
      </c>
      <c r="U156" s="7" t="n">
        <v>1734</v>
      </c>
      <c r="V156" s="7" t="n">
        <v>563</v>
      </c>
    </row>
    <row r="157" customFormat="false" ht="15" hidden="false" customHeight="false" outlineLevel="0" collapsed="false">
      <c r="A157" s="4" t="s">
        <v>817</v>
      </c>
      <c r="B157" s="4" t="str">
        <f aca="false">IF(AND(I157&gt;='Read Me &amp; Markers'!$B$18,J157&gt;='Read Me &amp; Markers'!$B$19,L157&gt;='Read Me &amp; Markers'!$B$20),"A. Proven winner",IF(AND(I157&gt;='Read Me &amp; Markers'!$B$18,J157&gt;='Read Me &amp; Markers'!$B$19,L157&gt;='Read Me &amp; Markers'!$B$21),"B. Strong performer",IF(AND(I157&gt;='Read Me &amp; Markers'!$B$22,L157&gt;='Read Me &amp; Markers'!$B$23),"C. Scale workhorse",IF(AND(I157&gt;='Read Me &amp; Markers'!$B$24,I157&lt;'Read Me &amp; Markers'!$B$18,J157&gt;='Read Me &amp; Markers'!$B$25,L157&gt;='Read Me &amp; Markers'!$B$26),"D. Promising (needs more spend)",""))))</f>
        <v/>
      </c>
      <c r="C157" s="4" t="s">
        <v>129</v>
      </c>
      <c r="D157" s="4" t="s">
        <v>206</v>
      </c>
      <c r="E157" s="4" t="s">
        <v>818</v>
      </c>
      <c r="F157" s="4" t="s">
        <v>87</v>
      </c>
      <c r="G157" s="4" t="s">
        <v>254</v>
      </c>
      <c r="H157" s="4" t="s">
        <v>819</v>
      </c>
      <c r="I157" s="5" t="n">
        <v>257.41</v>
      </c>
      <c r="J157" s="7" t="n">
        <v>1</v>
      </c>
      <c r="K157" s="5" t="n">
        <v>79.97</v>
      </c>
      <c r="L157" s="8" t="n">
        <v>0.310672</v>
      </c>
      <c r="M157" s="9" t="n">
        <v>257.41</v>
      </c>
      <c r="N157" s="10" t="n">
        <v>0.0330079</v>
      </c>
      <c r="O157" s="5" t="n">
        <v>119.67</v>
      </c>
      <c r="P157" s="11" t="n">
        <v>1.101947</v>
      </c>
      <c r="Q157" s="7" t="n">
        <v>2151</v>
      </c>
      <c r="R157" s="7" t="n">
        <v>71</v>
      </c>
      <c r="S157" s="7" t="n">
        <v>10</v>
      </c>
      <c r="T157" s="7" t="n">
        <v>5</v>
      </c>
      <c r="U157" s="7" t="n">
        <v>2035</v>
      </c>
      <c r="V157" s="7" t="n">
        <v>453</v>
      </c>
    </row>
    <row r="158" customFormat="false" ht="15" hidden="false" customHeight="false" outlineLevel="0" collapsed="false">
      <c r="A158" s="4" t="s">
        <v>820</v>
      </c>
      <c r="B158" s="4" t="str">
        <f aca="false">IF(AND(I158&gt;='Read Me &amp; Markers'!$B$18,J158&gt;='Read Me &amp; Markers'!$B$19,L158&gt;='Read Me &amp; Markers'!$B$20),"A. Proven winner",IF(AND(I158&gt;='Read Me &amp; Markers'!$B$18,J158&gt;='Read Me &amp; Markers'!$B$19,L158&gt;='Read Me &amp; Markers'!$B$21),"B. Strong performer",IF(AND(I158&gt;='Read Me &amp; Markers'!$B$22,L158&gt;='Read Me &amp; Markers'!$B$23),"C. Scale workhorse",IF(AND(I158&gt;='Read Me &amp; Markers'!$B$24,I158&lt;'Read Me &amp; Markers'!$B$18,J158&gt;='Read Me &amp; Markers'!$B$25,L158&gt;='Read Me &amp; Markers'!$B$26),"D. Promising (needs more spend)",""))))</f>
        <v/>
      </c>
      <c r="C158" s="4" t="s">
        <v>821</v>
      </c>
      <c r="D158" s="4" t="s">
        <v>109</v>
      </c>
      <c r="E158" s="4" t="s">
        <v>822</v>
      </c>
      <c r="F158" s="4" t="s">
        <v>172</v>
      </c>
      <c r="G158" s="4" t="s">
        <v>361</v>
      </c>
      <c r="H158" s="4" t="s">
        <v>823</v>
      </c>
      <c r="I158" s="5" t="n">
        <v>256.43</v>
      </c>
      <c r="J158" s="7" t="n">
        <v>4</v>
      </c>
      <c r="K158" s="5" t="n">
        <v>335.86</v>
      </c>
      <c r="L158" s="8" t="n">
        <v>1.309753</v>
      </c>
      <c r="M158" s="9" t="n">
        <v>64.11</v>
      </c>
      <c r="N158" s="10" t="n">
        <v>0.06874266</v>
      </c>
      <c r="O158" s="5" t="n">
        <v>150.66</v>
      </c>
      <c r="P158" s="11" t="n">
        <v>1.105913</v>
      </c>
      <c r="Q158" s="7" t="n">
        <v>1702</v>
      </c>
      <c r="R158" s="7" t="n">
        <v>117</v>
      </c>
      <c r="S158" s="7" t="n">
        <v>8</v>
      </c>
      <c r="T158" s="7" t="n">
        <v>7</v>
      </c>
      <c r="U158" s="7" t="n">
        <v>1602</v>
      </c>
      <c r="V158" s="7" t="n">
        <v>348</v>
      </c>
    </row>
    <row r="159" customFormat="false" ht="15" hidden="false" customHeight="false" outlineLevel="0" collapsed="false">
      <c r="A159" s="4" t="s">
        <v>824</v>
      </c>
      <c r="B159" s="4" t="str">
        <f aca="false">IF(AND(I159&gt;='Read Me &amp; Markers'!$B$18,J159&gt;='Read Me &amp; Markers'!$B$19,L159&gt;='Read Me &amp; Markers'!$B$20),"A. Proven winner",IF(AND(I159&gt;='Read Me &amp; Markers'!$B$18,J159&gt;='Read Me &amp; Markers'!$B$19,L159&gt;='Read Me &amp; Markers'!$B$21),"B. Strong performer",IF(AND(I159&gt;='Read Me &amp; Markers'!$B$22,L159&gt;='Read Me &amp; Markers'!$B$23),"C. Scale workhorse",IF(AND(I159&gt;='Read Me &amp; Markers'!$B$24,I159&lt;'Read Me &amp; Markers'!$B$18,J159&gt;='Read Me &amp; Markers'!$B$25,L159&gt;='Read Me &amp; Markers'!$B$26),"D. Promising (needs more spend)",""))))</f>
        <v/>
      </c>
      <c r="C159" s="4" t="s">
        <v>777</v>
      </c>
      <c r="D159" s="4" t="s">
        <v>228</v>
      </c>
      <c r="E159" s="4" t="s">
        <v>825</v>
      </c>
      <c r="F159" s="4" t="s">
        <v>230</v>
      </c>
      <c r="G159" s="4" t="s">
        <v>785</v>
      </c>
      <c r="H159" s="4" t="s">
        <v>826</v>
      </c>
      <c r="I159" s="5" t="n">
        <v>244.29</v>
      </c>
      <c r="J159" s="7" t="n">
        <v>1</v>
      </c>
      <c r="K159" s="5" t="n">
        <v>45.95</v>
      </c>
      <c r="L159" s="8" t="n">
        <v>0.188096</v>
      </c>
      <c r="M159" s="9" t="n">
        <v>244.29</v>
      </c>
      <c r="N159" s="10" t="n">
        <v>0.0212528</v>
      </c>
      <c r="O159" s="5" t="n">
        <v>91.09</v>
      </c>
      <c r="P159" s="11" t="n">
        <v>1.582301</v>
      </c>
      <c r="Q159" s="7" t="n">
        <v>2682</v>
      </c>
      <c r="R159" s="7" t="n">
        <v>57</v>
      </c>
      <c r="S159" s="7" t="n">
        <v>1</v>
      </c>
      <c r="T159" s="7" t="n">
        <v>3</v>
      </c>
      <c r="U159" s="7" t="n">
        <v>0</v>
      </c>
      <c r="V159" s="7" t="n">
        <v>0</v>
      </c>
    </row>
    <row r="160" customFormat="false" ht="15" hidden="false" customHeight="false" outlineLevel="0" collapsed="false">
      <c r="A160" s="4" t="s">
        <v>827</v>
      </c>
      <c r="B160" s="4" t="str">
        <f aca="false">IF(AND(I160&gt;='Read Me &amp; Markers'!$B$18,J160&gt;='Read Me &amp; Markers'!$B$19,L160&gt;='Read Me &amp; Markers'!$B$20),"A. Proven winner",IF(AND(I160&gt;='Read Me &amp; Markers'!$B$18,J160&gt;='Read Me &amp; Markers'!$B$19,L160&gt;='Read Me &amp; Markers'!$B$21),"B. Strong performer",IF(AND(I160&gt;='Read Me &amp; Markers'!$B$22,L160&gt;='Read Me &amp; Markers'!$B$23),"C. Scale workhorse",IF(AND(I160&gt;='Read Me &amp; Markers'!$B$24,I160&lt;'Read Me &amp; Markers'!$B$18,J160&gt;='Read Me &amp; Markers'!$B$25,L160&gt;='Read Me &amp; Markers'!$B$26),"D. Promising (needs more spend)",""))))</f>
        <v/>
      </c>
      <c r="C160" s="4" t="s">
        <v>129</v>
      </c>
      <c r="D160" s="4" t="s">
        <v>100</v>
      </c>
      <c r="E160" s="4" t="s">
        <v>760</v>
      </c>
      <c r="F160" s="4" t="s">
        <v>87</v>
      </c>
      <c r="G160" s="4" t="s">
        <v>342</v>
      </c>
      <c r="H160" s="4" t="s">
        <v>828</v>
      </c>
      <c r="I160" s="5" t="n">
        <v>243.97</v>
      </c>
      <c r="J160" s="7" t="n">
        <v>3</v>
      </c>
      <c r="K160" s="5" t="n">
        <v>238.22</v>
      </c>
      <c r="L160" s="8" t="n">
        <v>0.976432</v>
      </c>
      <c r="M160" s="9" t="n">
        <v>81.32</v>
      </c>
      <c r="N160" s="10" t="n">
        <v>0.05643111</v>
      </c>
      <c r="O160" s="5" t="n">
        <v>124.03</v>
      </c>
      <c r="P160" s="11" t="n">
        <v>1.070768</v>
      </c>
      <c r="Q160" s="7" t="n">
        <v>1967</v>
      </c>
      <c r="R160" s="7" t="n">
        <v>111</v>
      </c>
      <c r="S160" s="7" t="n">
        <v>13</v>
      </c>
      <c r="T160" s="7" t="n">
        <v>12</v>
      </c>
      <c r="U160" s="7" t="n">
        <v>1774</v>
      </c>
      <c r="V160" s="7" t="n">
        <v>277</v>
      </c>
    </row>
    <row r="161" customFormat="false" ht="15" hidden="false" customHeight="false" outlineLevel="0" collapsed="false">
      <c r="A161" s="4" t="s">
        <v>829</v>
      </c>
      <c r="B161" s="4" t="str">
        <f aca="false">IF(AND(I161&gt;='Read Me &amp; Markers'!$B$18,J161&gt;='Read Me &amp; Markers'!$B$19,L161&gt;='Read Me &amp; Markers'!$B$20),"A. Proven winner",IF(AND(I161&gt;='Read Me &amp; Markers'!$B$18,J161&gt;='Read Me &amp; Markers'!$B$19,L161&gt;='Read Me &amp; Markers'!$B$21),"B. Strong performer",IF(AND(I161&gt;='Read Me &amp; Markers'!$B$22,L161&gt;='Read Me &amp; Markers'!$B$23),"C. Scale workhorse",IF(AND(I161&gt;='Read Me &amp; Markers'!$B$24,I161&lt;'Read Me &amp; Markers'!$B$18,J161&gt;='Read Me &amp; Markers'!$B$25,L161&gt;='Read Me &amp; Markers'!$B$26),"D. Promising (needs more spend)",""))))</f>
        <v/>
      </c>
      <c r="C161" s="4" t="s">
        <v>129</v>
      </c>
      <c r="D161" s="4" t="s">
        <v>100</v>
      </c>
      <c r="E161" s="4" t="s">
        <v>830</v>
      </c>
      <c r="F161" s="4" t="s">
        <v>87</v>
      </c>
      <c r="G161" s="4" t="s">
        <v>538</v>
      </c>
      <c r="H161" s="4" t="s">
        <v>831</v>
      </c>
      <c r="I161" s="5" t="n">
        <v>241.35</v>
      </c>
      <c r="J161" s="7" t="n">
        <v>2</v>
      </c>
      <c r="K161" s="5" t="n">
        <v>125.92</v>
      </c>
      <c r="L161" s="8" t="n">
        <v>0.521732</v>
      </c>
      <c r="M161" s="9" t="n">
        <v>120.68</v>
      </c>
      <c r="N161" s="10" t="n">
        <v>0.04510961</v>
      </c>
      <c r="O161" s="5" t="n">
        <v>101.75</v>
      </c>
      <c r="P161" s="11" t="n">
        <v>1.250395</v>
      </c>
      <c r="Q161" s="7" t="n">
        <v>2372</v>
      </c>
      <c r="R161" s="7" t="n">
        <v>107</v>
      </c>
      <c r="S161" s="7" t="n">
        <v>16</v>
      </c>
      <c r="T161" s="7" t="n">
        <v>7</v>
      </c>
      <c r="U161" s="7" t="n">
        <v>2220</v>
      </c>
      <c r="V161" s="7" t="n">
        <v>493</v>
      </c>
    </row>
    <row r="162" customFormat="false" ht="15" hidden="false" customHeight="false" outlineLevel="0" collapsed="false">
      <c r="A162" s="4" t="s">
        <v>832</v>
      </c>
      <c r="B162" s="4" t="str">
        <f aca="false">IF(AND(I162&gt;='Read Me &amp; Markers'!$B$18,J162&gt;='Read Me &amp; Markers'!$B$19,L162&gt;='Read Me &amp; Markers'!$B$20),"A. Proven winner",IF(AND(I162&gt;='Read Me &amp; Markers'!$B$18,J162&gt;='Read Me &amp; Markers'!$B$19,L162&gt;='Read Me &amp; Markers'!$B$21),"B. Strong performer",IF(AND(I162&gt;='Read Me &amp; Markers'!$B$22,L162&gt;='Read Me &amp; Markers'!$B$23),"C. Scale workhorse",IF(AND(I162&gt;='Read Me &amp; Markers'!$B$24,I162&lt;'Read Me &amp; Markers'!$B$18,J162&gt;='Read Me &amp; Markers'!$B$25,L162&gt;='Read Me &amp; Markers'!$B$26),"D. Promising (needs more spend)",""))))</f>
        <v/>
      </c>
      <c r="C162" s="4" t="s">
        <v>833</v>
      </c>
      <c r="D162" s="4" t="s">
        <v>109</v>
      </c>
      <c r="E162" s="4" t="s">
        <v>542</v>
      </c>
      <c r="F162" s="4" t="s">
        <v>111</v>
      </c>
      <c r="G162" s="4" t="s">
        <v>286</v>
      </c>
      <c r="H162" s="4" t="s">
        <v>834</v>
      </c>
      <c r="I162" s="5" t="n">
        <v>241</v>
      </c>
      <c r="J162" s="7" t="n">
        <v>4</v>
      </c>
      <c r="K162" s="5" t="n">
        <v>271.85</v>
      </c>
      <c r="L162" s="8" t="n">
        <v>1.128008</v>
      </c>
      <c r="M162" s="9" t="n">
        <v>60.25</v>
      </c>
      <c r="N162" s="10" t="n">
        <v>0.04581359</v>
      </c>
      <c r="O162" s="5" t="n">
        <v>95.18</v>
      </c>
      <c r="P162" s="11" t="n">
        <v>1.105677</v>
      </c>
      <c r="Q162" s="7" t="n">
        <v>2532</v>
      </c>
      <c r="R162" s="7" t="n">
        <v>116</v>
      </c>
      <c r="S162" s="7" t="n">
        <v>4</v>
      </c>
      <c r="T162" s="7" t="n">
        <v>7</v>
      </c>
      <c r="U162" s="7" t="n">
        <v>2295</v>
      </c>
      <c r="V162" s="7" t="n">
        <v>548</v>
      </c>
    </row>
    <row r="163" customFormat="false" ht="15" hidden="false" customHeight="false" outlineLevel="0" collapsed="false">
      <c r="A163" s="4" t="s">
        <v>835</v>
      </c>
      <c r="B163" s="4" t="str">
        <f aca="false">IF(AND(I163&gt;='Read Me &amp; Markers'!$B$18,J163&gt;='Read Me &amp; Markers'!$B$19,L163&gt;='Read Me &amp; Markers'!$B$20),"A. Proven winner",IF(AND(I163&gt;='Read Me &amp; Markers'!$B$18,J163&gt;='Read Me &amp; Markers'!$B$19,L163&gt;='Read Me &amp; Markers'!$B$21),"B. Strong performer",IF(AND(I163&gt;='Read Me &amp; Markers'!$B$22,L163&gt;='Read Me &amp; Markers'!$B$23),"C. Scale workhorse",IF(AND(I163&gt;='Read Me &amp; Markers'!$B$24,I163&lt;'Read Me &amp; Markers'!$B$18,J163&gt;='Read Me &amp; Markers'!$B$25,L163&gt;='Read Me &amp; Markers'!$B$26),"D. Promising (needs more spend)",""))))</f>
        <v/>
      </c>
      <c r="C163" s="4" t="s">
        <v>121</v>
      </c>
      <c r="D163" s="4" t="s">
        <v>528</v>
      </c>
      <c r="E163" s="4" t="s">
        <v>836</v>
      </c>
      <c r="F163" s="4" t="s">
        <v>230</v>
      </c>
      <c r="G163" s="4" t="s">
        <v>530</v>
      </c>
      <c r="H163" s="4" t="s">
        <v>837</v>
      </c>
      <c r="I163" s="5" t="n">
        <v>240.55</v>
      </c>
      <c r="J163" s="7" t="n">
        <v>4</v>
      </c>
      <c r="K163" s="5" t="n">
        <v>192.91</v>
      </c>
      <c r="L163" s="8" t="n">
        <v>0.801954</v>
      </c>
      <c r="M163" s="9" t="n">
        <v>60.14</v>
      </c>
      <c r="N163" s="10" t="n">
        <v>0.04056501</v>
      </c>
      <c r="O163" s="5" t="n">
        <v>87.12</v>
      </c>
      <c r="P163" s="11" t="n">
        <v>1.174394</v>
      </c>
      <c r="Q163" s="7" t="n">
        <v>2761</v>
      </c>
      <c r="R163" s="7" t="n">
        <v>112</v>
      </c>
      <c r="S163" s="7" t="n">
        <v>6</v>
      </c>
      <c r="T163" s="7" t="n">
        <v>7</v>
      </c>
      <c r="U163" s="7" t="n">
        <v>2508</v>
      </c>
      <c r="V163" s="7" t="n">
        <v>162</v>
      </c>
    </row>
    <row r="164" customFormat="false" ht="15" hidden="false" customHeight="false" outlineLevel="0" collapsed="false">
      <c r="A164" s="4" t="s">
        <v>838</v>
      </c>
      <c r="B164" s="4" t="str">
        <f aca="false">IF(AND(I164&gt;='Read Me &amp; Markers'!$B$18,J164&gt;='Read Me &amp; Markers'!$B$19,L164&gt;='Read Me &amp; Markers'!$B$20),"A. Proven winner",IF(AND(I164&gt;='Read Me &amp; Markers'!$B$18,J164&gt;='Read Me &amp; Markers'!$B$19,L164&gt;='Read Me &amp; Markers'!$B$21),"B. Strong performer",IF(AND(I164&gt;='Read Me &amp; Markers'!$B$22,L164&gt;='Read Me &amp; Markers'!$B$23),"C. Scale workhorse",IF(AND(I164&gt;='Read Me &amp; Markers'!$B$24,I164&lt;'Read Me &amp; Markers'!$B$18,J164&gt;='Read Me &amp; Markers'!$B$25,L164&gt;='Read Me &amp; Markers'!$B$26),"D. Promising (needs more spend)",""))))</f>
        <v/>
      </c>
      <c r="C164" s="4" t="s">
        <v>839</v>
      </c>
      <c r="D164" s="4" t="s">
        <v>109</v>
      </c>
      <c r="E164" s="4" t="s">
        <v>738</v>
      </c>
      <c r="F164" s="4" t="s">
        <v>87</v>
      </c>
      <c r="G164" s="4" t="s">
        <v>739</v>
      </c>
      <c r="H164" s="4" t="s">
        <v>840</v>
      </c>
      <c r="I164" s="5" t="n">
        <v>239.53</v>
      </c>
      <c r="J164" s="7" t="n">
        <v>3</v>
      </c>
      <c r="K164" s="5" t="n">
        <v>109.68</v>
      </c>
      <c r="L164" s="8" t="n">
        <v>0.457897</v>
      </c>
      <c r="M164" s="9" t="n">
        <v>79.84</v>
      </c>
      <c r="N164" s="10" t="n">
        <v>0.03064516</v>
      </c>
      <c r="O164" s="5" t="n">
        <v>193.17</v>
      </c>
      <c r="P164" s="11" t="n">
        <v>1.134492</v>
      </c>
      <c r="Q164" s="7" t="n">
        <v>1240</v>
      </c>
      <c r="R164" s="7" t="n">
        <v>38</v>
      </c>
      <c r="S164" s="7" t="n">
        <v>11</v>
      </c>
      <c r="T164" s="7" t="n">
        <v>14</v>
      </c>
      <c r="U164" s="7" t="n">
        <v>1135</v>
      </c>
      <c r="V164" s="7" t="n">
        <v>409</v>
      </c>
    </row>
    <row r="165" customFormat="false" ht="15" hidden="false" customHeight="false" outlineLevel="0" collapsed="false">
      <c r="A165" s="4" t="s">
        <v>841</v>
      </c>
      <c r="B165" s="4" t="str">
        <f aca="false">IF(AND(I165&gt;='Read Me &amp; Markers'!$B$18,J165&gt;='Read Me &amp; Markers'!$B$19,L165&gt;='Read Me &amp; Markers'!$B$20),"A. Proven winner",IF(AND(I165&gt;='Read Me &amp; Markers'!$B$18,J165&gt;='Read Me &amp; Markers'!$B$19,L165&gt;='Read Me &amp; Markers'!$B$21),"B. Strong performer",IF(AND(I165&gt;='Read Me &amp; Markers'!$B$22,L165&gt;='Read Me &amp; Markers'!$B$23),"C. Scale workhorse",IF(AND(I165&gt;='Read Me &amp; Markers'!$B$24,I165&lt;'Read Me &amp; Markers'!$B$18,J165&gt;='Read Me &amp; Markers'!$B$25,L165&gt;='Read Me &amp; Markers'!$B$26),"D. Promising (needs more spend)",""))))</f>
        <v/>
      </c>
      <c r="C165" s="4" t="s">
        <v>121</v>
      </c>
      <c r="D165" s="4" t="s">
        <v>100</v>
      </c>
      <c r="E165" s="4" t="s">
        <v>131</v>
      </c>
      <c r="F165" s="4" t="s">
        <v>87</v>
      </c>
      <c r="G165" s="4" t="s">
        <v>132</v>
      </c>
      <c r="H165" s="4" t="s">
        <v>842</v>
      </c>
      <c r="I165" s="5" t="n">
        <v>238.86</v>
      </c>
      <c r="J165" s="7" t="n">
        <v>5</v>
      </c>
      <c r="K165" s="5" t="n">
        <v>244.65</v>
      </c>
      <c r="L165" s="8" t="n">
        <v>1.02424</v>
      </c>
      <c r="M165" s="9" t="n">
        <v>47.77</v>
      </c>
      <c r="N165" s="10" t="n">
        <v>0.03350915</v>
      </c>
      <c r="O165" s="5" t="n">
        <v>74.11</v>
      </c>
      <c r="P165" s="11" t="n">
        <v>1.370906</v>
      </c>
      <c r="Q165" s="7" t="n">
        <v>3223</v>
      </c>
      <c r="R165" s="7" t="n">
        <v>108</v>
      </c>
      <c r="S165" s="7" t="n">
        <v>20</v>
      </c>
      <c r="T165" s="7" t="n">
        <v>14</v>
      </c>
      <c r="U165" s="7" t="n">
        <v>2573</v>
      </c>
      <c r="V165" s="7" t="n">
        <v>228</v>
      </c>
    </row>
    <row r="166" customFormat="false" ht="15" hidden="false" customHeight="false" outlineLevel="0" collapsed="false">
      <c r="A166" s="4" t="s">
        <v>843</v>
      </c>
      <c r="B166" s="4" t="str">
        <f aca="false">IF(AND(I166&gt;='Read Me &amp; Markers'!$B$18,J166&gt;='Read Me &amp; Markers'!$B$19,L166&gt;='Read Me &amp; Markers'!$B$20),"A. Proven winner",IF(AND(I166&gt;='Read Me &amp; Markers'!$B$18,J166&gt;='Read Me &amp; Markers'!$B$19,L166&gt;='Read Me &amp; Markers'!$B$21),"B. Strong performer",IF(AND(I166&gt;='Read Me &amp; Markers'!$B$22,L166&gt;='Read Me &amp; Markers'!$B$23),"C. Scale workhorse",IF(AND(I166&gt;='Read Me &amp; Markers'!$B$24,I166&lt;'Read Me &amp; Markers'!$B$18,J166&gt;='Read Me &amp; Markers'!$B$25,L166&gt;='Read Me &amp; Markers'!$B$26),"D. Promising (needs more spend)",""))))</f>
        <v/>
      </c>
      <c r="C166" s="4" t="s">
        <v>83</v>
      </c>
      <c r="D166" s="4" t="s">
        <v>228</v>
      </c>
      <c r="E166" s="4" t="s">
        <v>844</v>
      </c>
      <c r="F166" s="4" t="s">
        <v>230</v>
      </c>
      <c r="G166" s="4" t="s">
        <v>262</v>
      </c>
      <c r="H166" s="4" t="s">
        <v>845</v>
      </c>
      <c r="I166" s="5" t="n">
        <v>238.37</v>
      </c>
      <c r="J166" s="7" t="n">
        <v>3</v>
      </c>
      <c r="K166" s="5" t="n">
        <v>137.85</v>
      </c>
      <c r="L166" s="8" t="n">
        <v>0.578303</v>
      </c>
      <c r="M166" s="9" t="n">
        <v>79.46</v>
      </c>
      <c r="N166" s="10" t="n">
        <v>0.05916031</v>
      </c>
      <c r="O166" s="5" t="n">
        <v>113.73</v>
      </c>
      <c r="P166" s="11" t="n">
        <v>1.119658</v>
      </c>
      <c r="Q166" s="7" t="n">
        <v>2096</v>
      </c>
      <c r="R166" s="7" t="n">
        <v>124</v>
      </c>
      <c r="S166" s="7" t="n">
        <v>1</v>
      </c>
      <c r="T166" s="7" t="n">
        <v>6</v>
      </c>
      <c r="U166" s="7" t="n">
        <v>1985</v>
      </c>
      <c r="V166" s="7" t="n">
        <v>508</v>
      </c>
    </row>
    <row r="167" customFormat="false" ht="15" hidden="false" customHeight="false" outlineLevel="0" collapsed="false">
      <c r="A167" s="4" t="s">
        <v>846</v>
      </c>
      <c r="B167" s="4" t="str">
        <f aca="false">IF(AND(I167&gt;='Read Me &amp; Markers'!$B$18,J167&gt;='Read Me &amp; Markers'!$B$19,L167&gt;='Read Me &amp; Markers'!$B$20),"A. Proven winner",IF(AND(I167&gt;='Read Me &amp; Markers'!$B$18,J167&gt;='Read Me &amp; Markers'!$B$19,L167&gt;='Read Me &amp; Markers'!$B$21),"B. Strong performer",IF(AND(I167&gt;='Read Me &amp; Markers'!$B$22,L167&gt;='Read Me &amp; Markers'!$B$23),"C. Scale workhorse",IF(AND(I167&gt;='Read Me &amp; Markers'!$B$24,I167&lt;'Read Me &amp; Markers'!$B$18,J167&gt;='Read Me &amp; Markers'!$B$25,L167&gt;='Read Me &amp; Markers'!$B$26),"D. Promising (needs more spend)",""))))</f>
        <v/>
      </c>
      <c r="C167" s="4" t="s">
        <v>847</v>
      </c>
      <c r="D167" s="4" t="s">
        <v>109</v>
      </c>
      <c r="E167" s="4" t="s">
        <v>848</v>
      </c>
      <c r="F167" s="4" t="s">
        <v>87</v>
      </c>
      <c r="G167" s="4" t="s">
        <v>588</v>
      </c>
      <c r="H167" s="4" t="s">
        <v>849</v>
      </c>
      <c r="I167" s="5" t="n">
        <v>236.31</v>
      </c>
      <c r="J167" s="7" t="n">
        <v>3</v>
      </c>
      <c r="K167" s="5" t="n">
        <v>178.86</v>
      </c>
      <c r="L167" s="8" t="n">
        <v>0.756887</v>
      </c>
      <c r="M167" s="9" t="n">
        <v>78.77</v>
      </c>
      <c r="N167" s="10" t="n">
        <v>0.0251076</v>
      </c>
      <c r="O167" s="5" t="n">
        <v>84.76</v>
      </c>
      <c r="P167" s="11" t="n">
        <v>1.356691</v>
      </c>
      <c r="Q167" s="7" t="n">
        <v>2788</v>
      </c>
      <c r="R167" s="7" t="n">
        <v>70</v>
      </c>
      <c r="S167" s="7" t="n">
        <v>5</v>
      </c>
      <c r="T167" s="7" t="n">
        <v>10</v>
      </c>
      <c r="U167" s="7" t="n">
        <v>2348</v>
      </c>
      <c r="V167" s="7" t="n">
        <v>109</v>
      </c>
    </row>
    <row r="168" customFormat="false" ht="15" hidden="false" customHeight="false" outlineLevel="0" collapsed="false">
      <c r="A168" s="4" t="s">
        <v>850</v>
      </c>
      <c r="B168" s="4" t="str">
        <f aca="false">IF(AND(I168&gt;='Read Me &amp; Markers'!$B$18,J168&gt;='Read Me &amp; Markers'!$B$19,L168&gt;='Read Me &amp; Markers'!$B$20),"A. Proven winner",IF(AND(I168&gt;='Read Me &amp; Markers'!$B$18,J168&gt;='Read Me &amp; Markers'!$B$19,L168&gt;='Read Me &amp; Markers'!$B$21),"B. Strong performer",IF(AND(I168&gt;='Read Me &amp; Markers'!$B$22,L168&gt;='Read Me &amp; Markers'!$B$23),"C. Scale workhorse",IF(AND(I168&gt;='Read Me &amp; Markers'!$B$24,I168&lt;'Read Me &amp; Markers'!$B$18,J168&gt;='Read Me &amp; Markers'!$B$25,L168&gt;='Read Me &amp; Markers'!$B$26),"D. Promising (needs more spend)",""))))</f>
        <v/>
      </c>
      <c r="C168" s="4" t="s">
        <v>851</v>
      </c>
      <c r="D168" s="4" t="s">
        <v>528</v>
      </c>
      <c r="E168" s="4" t="s">
        <v>852</v>
      </c>
      <c r="F168" s="4" t="s">
        <v>230</v>
      </c>
      <c r="G168" s="4" t="s">
        <v>378</v>
      </c>
      <c r="H168" s="4" t="s">
        <v>853</v>
      </c>
      <c r="I168" s="5" t="n">
        <v>235.37</v>
      </c>
      <c r="J168" s="7" t="n">
        <v>4</v>
      </c>
      <c r="K168" s="5" t="n">
        <v>199.89</v>
      </c>
      <c r="L168" s="8" t="n">
        <v>0.849259</v>
      </c>
      <c r="M168" s="9" t="n">
        <v>58.84</v>
      </c>
      <c r="N168" s="10" t="n">
        <v>0.05558912</v>
      </c>
      <c r="O168" s="5" t="n">
        <v>142.22</v>
      </c>
      <c r="P168" s="11" t="n">
        <v>1.146122</v>
      </c>
      <c r="Q168" s="7" t="n">
        <v>1655</v>
      </c>
      <c r="R168" s="7" t="n">
        <v>92</v>
      </c>
      <c r="S168" s="7" t="n">
        <v>11</v>
      </c>
      <c r="T168" s="7" t="n">
        <v>10</v>
      </c>
      <c r="U168" s="7" t="n">
        <v>1444</v>
      </c>
      <c r="V168" s="7" t="n">
        <v>197</v>
      </c>
    </row>
    <row r="169" customFormat="false" ht="15" hidden="false" customHeight="false" outlineLevel="0" collapsed="false">
      <c r="A169" s="4" t="s">
        <v>854</v>
      </c>
      <c r="B169" s="4" t="str">
        <f aca="false">IF(AND(I169&gt;='Read Me &amp; Markers'!$B$18,J169&gt;='Read Me &amp; Markers'!$B$19,L169&gt;='Read Me &amp; Markers'!$B$20),"A. Proven winner",IF(AND(I169&gt;='Read Me &amp; Markers'!$B$18,J169&gt;='Read Me &amp; Markers'!$B$19,L169&gt;='Read Me &amp; Markers'!$B$21),"B. Strong performer",IF(AND(I169&gt;='Read Me &amp; Markers'!$B$22,L169&gt;='Read Me &amp; Markers'!$B$23),"C. Scale workhorse",IF(AND(I169&gt;='Read Me &amp; Markers'!$B$24,I169&lt;'Read Me &amp; Markers'!$B$18,J169&gt;='Read Me &amp; Markers'!$B$25,L169&gt;='Read Me &amp; Markers'!$B$26),"D. Promising (needs more spend)",""))))</f>
        <v/>
      </c>
      <c r="C169" s="4" t="s">
        <v>98</v>
      </c>
      <c r="D169" s="4" t="s">
        <v>100</v>
      </c>
      <c r="E169" s="4" t="s">
        <v>855</v>
      </c>
      <c r="F169" s="4" t="s">
        <v>87</v>
      </c>
      <c r="G169" s="4" t="s">
        <v>124</v>
      </c>
      <c r="H169" s="4" t="s">
        <v>856</v>
      </c>
      <c r="I169" s="5" t="n">
        <v>234.74</v>
      </c>
      <c r="J169" s="7" t="n">
        <v>4</v>
      </c>
      <c r="K169" s="5" t="n">
        <v>311.85</v>
      </c>
      <c r="L169" s="8" t="n">
        <v>1.328491</v>
      </c>
      <c r="M169" s="9" t="n">
        <v>58.69</v>
      </c>
      <c r="N169" s="10" t="n">
        <v>0.02252719</v>
      </c>
      <c r="O169" s="5" t="n">
        <v>60.78</v>
      </c>
      <c r="P169" s="11" t="n">
        <v>1.404364</v>
      </c>
      <c r="Q169" s="7" t="n">
        <v>3862</v>
      </c>
      <c r="R169" s="7" t="n">
        <v>87</v>
      </c>
      <c r="S169" s="7" t="n">
        <v>7</v>
      </c>
      <c r="T169" s="7" t="n">
        <v>5</v>
      </c>
      <c r="U169" s="7" t="n">
        <v>3387</v>
      </c>
      <c r="V169" s="7" t="n">
        <v>142</v>
      </c>
    </row>
    <row r="170" customFormat="false" ht="15" hidden="false" customHeight="false" outlineLevel="0" collapsed="false">
      <c r="A170" s="4" t="s">
        <v>857</v>
      </c>
      <c r="B170" s="4" t="str">
        <f aca="false">IF(AND(I170&gt;='Read Me &amp; Markers'!$B$18,J170&gt;='Read Me &amp; Markers'!$B$19,L170&gt;='Read Me &amp; Markers'!$B$20),"A. Proven winner",IF(AND(I170&gt;='Read Me &amp; Markers'!$B$18,J170&gt;='Read Me &amp; Markers'!$B$19,L170&gt;='Read Me &amp; Markers'!$B$21),"B. Strong performer",IF(AND(I170&gt;='Read Me &amp; Markers'!$B$22,L170&gt;='Read Me &amp; Markers'!$B$23),"C. Scale workhorse",IF(AND(I170&gt;='Read Me &amp; Markers'!$B$24,I170&lt;'Read Me &amp; Markers'!$B$18,J170&gt;='Read Me &amp; Markers'!$B$25,L170&gt;='Read Me &amp; Markers'!$B$26),"D. Promising (needs more spend)",""))))</f>
        <v/>
      </c>
      <c r="C170" s="4" t="s">
        <v>858</v>
      </c>
      <c r="D170" s="4" t="s">
        <v>109</v>
      </c>
      <c r="E170" s="4" t="s">
        <v>859</v>
      </c>
      <c r="F170" s="4" t="s">
        <v>172</v>
      </c>
      <c r="G170" s="4" t="s">
        <v>508</v>
      </c>
      <c r="H170" s="4" t="s">
        <v>860</v>
      </c>
      <c r="I170" s="5" t="n">
        <v>234.08</v>
      </c>
      <c r="J170" s="7" t="n">
        <v>5</v>
      </c>
      <c r="K170" s="5" t="n">
        <v>344.84</v>
      </c>
      <c r="L170" s="8" t="n">
        <v>1.473172</v>
      </c>
      <c r="M170" s="9" t="n">
        <v>46.82</v>
      </c>
      <c r="N170" s="10" t="n">
        <v>0.02160494</v>
      </c>
      <c r="O170" s="5" t="n">
        <v>80.27</v>
      </c>
      <c r="P170" s="11" t="n">
        <v>1.498458</v>
      </c>
      <c r="Q170" s="7" t="n">
        <v>2916</v>
      </c>
      <c r="R170" s="7" t="n">
        <v>63</v>
      </c>
      <c r="S170" s="7" t="n">
        <v>5</v>
      </c>
      <c r="T170" s="7" t="n">
        <v>6</v>
      </c>
      <c r="U170" s="7" t="n">
        <v>0</v>
      </c>
      <c r="V170" s="7" t="n">
        <v>0</v>
      </c>
    </row>
    <row r="171" customFormat="false" ht="15" hidden="false" customHeight="false" outlineLevel="0" collapsed="false">
      <c r="A171" s="4" t="s">
        <v>861</v>
      </c>
      <c r="B171" s="4" t="str">
        <f aca="false">IF(AND(I171&gt;='Read Me &amp; Markers'!$B$18,J171&gt;='Read Me &amp; Markers'!$B$19,L171&gt;='Read Me &amp; Markers'!$B$20),"A. Proven winner",IF(AND(I171&gt;='Read Me &amp; Markers'!$B$18,J171&gt;='Read Me &amp; Markers'!$B$19,L171&gt;='Read Me &amp; Markers'!$B$21),"B. Strong performer",IF(AND(I171&gt;='Read Me &amp; Markers'!$B$22,L171&gt;='Read Me &amp; Markers'!$B$23),"C. Scale workhorse",IF(AND(I171&gt;='Read Me &amp; Markers'!$B$24,I171&lt;'Read Me &amp; Markers'!$B$18,J171&gt;='Read Me &amp; Markers'!$B$25,L171&gt;='Read Me &amp; Markers'!$B$26),"D. Promising (needs more spend)",""))))</f>
        <v/>
      </c>
      <c r="C171" s="4" t="s">
        <v>169</v>
      </c>
      <c r="D171" s="4" t="s">
        <v>100</v>
      </c>
      <c r="E171" s="4" t="s">
        <v>862</v>
      </c>
      <c r="F171" s="4" t="s">
        <v>87</v>
      </c>
      <c r="G171" s="4" t="s">
        <v>650</v>
      </c>
      <c r="H171" s="4" t="s">
        <v>863</v>
      </c>
      <c r="I171" s="5" t="n">
        <v>233.6</v>
      </c>
      <c r="J171" s="7" t="n">
        <v>1</v>
      </c>
      <c r="K171" s="5" t="n">
        <v>45.94</v>
      </c>
      <c r="L171" s="8" t="n">
        <v>0.196661</v>
      </c>
      <c r="M171" s="9" t="n">
        <v>233.6</v>
      </c>
      <c r="N171" s="10" t="n">
        <v>0.02621128</v>
      </c>
      <c r="O171" s="5" t="n">
        <v>61.85</v>
      </c>
      <c r="P171" s="11" t="n">
        <v>1.451576</v>
      </c>
      <c r="Q171" s="7" t="n">
        <v>3777</v>
      </c>
      <c r="R171" s="7" t="n">
        <v>99</v>
      </c>
      <c r="S171" s="7" t="n">
        <v>9</v>
      </c>
      <c r="T171" s="7" t="n">
        <v>7</v>
      </c>
      <c r="U171" s="7" t="n">
        <v>3375</v>
      </c>
      <c r="V171" s="7" t="n">
        <v>133</v>
      </c>
    </row>
    <row r="172" customFormat="false" ht="15" hidden="false" customHeight="false" outlineLevel="0" collapsed="false">
      <c r="A172" s="4" t="s">
        <v>864</v>
      </c>
      <c r="B172" s="4" t="str">
        <f aca="false">IF(AND(I172&gt;='Read Me &amp; Markers'!$B$18,J172&gt;='Read Me &amp; Markers'!$B$19,L172&gt;='Read Me &amp; Markers'!$B$20),"A. Proven winner",IF(AND(I172&gt;='Read Me &amp; Markers'!$B$18,J172&gt;='Read Me &amp; Markers'!$B$19,L172&gt;='Read Me &amp; Markers'!$B$21),"B. Strong performer",IF(AND(I172&gt;='Read Me &amp; Markers'!$B$22,L172&gt;='Read Me &amp; Markers'!$B$23),"C. Scale workhorse",IF(AND(I172&gt;='Read Me &amp; Markers'!$B$24,I172&lt;'Read Me &amp; Markers'!$B$18,J172&gt;='Read Me &amp; Markers'!$B$25,L172&gt;='Read Me &amp; Markers'!$B$26),"D. Promising (needs more spend)",""))))</f>
        <v/>
      </c>
      <c r="C172" s="4" t="s">
        <v>302</v>
      </c>
      <c r="D172" s="4" t="s">
        <v>528</v>
      </c>
      <c r="E172" s="4" t="s">
        <v>865</v>
      </c>
      <c r="F172" s="4" t="s">
        <v>230</v>
      </c>
      <c r="G172" s="4" t="s">
        <v>530</v>
      </c>
      <c r="H172" s="4" t="s">
        <v>866</v>
      </c>
      <c r="I172" s="5" t="n">
        <v>229.89</v>
      </c>
      <c r="J172" s="7" t="n">
        <v>3</v>
      </c>
      <c r="K172" s="5" t="n">
        <v>159.91</v>
      </c>
      <c r="L172" s="8" t="n">
        <v>0.695594</v>
      </c>
      <c r="M172" s="9" t="n">
        <v>76.63</v>
      </c>
      <c r="N172" s="10" t="n">
        <v>0.0806142</v>
      </c>
      <c r="O172" s="5" t="n">
        <v>147.08</v>
      </c>
      <c r="P172" s="11" t="n">
        <v>1.162082</v>
      </c>
      <c r="Q172" s="7" t="n">
        <v>1563</v>
      </c>
      <c r="R172" s="7" t="n">
        <v>126</v>
      </c>
      <c r="S172" s="7" t="n">
        <v>10</v>
      </c>
      <c r="T172" s="7" t="n">
        <v>10</v>
      </c>
      <c r="U172" s="7" t="n">
        <v>1444</v>
      </c>
      <c r="V172" s="7" t="n">
        <v>289</v>
      </c>
    </row>
    <row r="173" customFormat="false" ht="15" hidden="false" customHeight="false" outlineLevel="0" collapsed="false">
      <c r="A173" s="4" t="s">
        <v>867</v>
      </c>
      <c r="B173" s="4" t="str">
        <f aca="false">IF(AND(I173&gt;='Read Me &amp; Markers'!$B$18,J173&gt;='Read Me &amp; Markers'!$B$19,L173&gt;='Read Me &amp; Markers'!$B$20),"A. Proven winner",IF(AND(I173&gt;='Read Me &amp; Markers'!$B$18,J173&gt;='Read Me &amp; Markers'!$B$19,L173&gt;='Read Me &amp; Markers'!$B$21),"B. Strong performer",IF(AND(I173&gt;='Read Me &amp; Markers'!$B$22,L173&gt;='Read Me &amp; Markers'!$B$23),"C. Scale workhorse",IF(AND(I173&gt;='Read Me &amp; Markers'!$B$24,I173&lt;'Read Me &amp; Markers'!$B$18,J173&gt;='Read Me &amp; Markers'!$B$25,L173&gt;='Read Me &amp; Markers'!$B$26),"D. Promising (needs more spend)",""))))</f>
        <v/>
      </c>
      <c r="C173" s="4" t="s">
        <v>868</v>
      </c>
      <c r="D173" s="4" t="s">
        <v>109</v>
      </c>
      <c r="E173" s="4" t="s">
        <v>869</v>
      </c>
      <c r="F173" s="4" t="s">
        <v>87</v>
      </c>
      <c r="G173" s="4" t="s">
        <v>599</v>
      </c>
      <c r="H173" s="4" t="s">
        <v>870</v>
      </c>
      <c r="I173" s="5" t="n">
        <v>227.33</v>
      </c>
      <c r="J173" s="7" t="n">
        <v>2</v>
      </c>
      <c r="K173" s="5" t="n">
        <v>94.3</v>
      </c>
      <c r="L173" s="8" t="n">
        <v>0.414815</v>
      </c>
      <c r="M173" s="9" t="n">
        <v>113.67</v>
      </c>
      <c r="N173" s="10" t="n">
        <v>0.07755662</v>
      </c>
      <c r="O173" s="5" t="n">
        <v>156.03</v>
      </c>
      <c r="P173" s="11" t="n">
        <v>1.134735</v>
      </c>
      <c r="Q173" s="7" t="n">
        <v>1457</v>
      </c>
      <c r="R173" s="7" t="n">
        <v>113</v>
      </c>
      <c r="S173" s="7" t="n">
        <v>7</v>
      </c>
      <c r="T173" s="7" t="n">
        <v>10</v>
      </c>
      <c r="U173" s="7" t="n">
        <v>1317</v>
      </c>
      <c r="V173" s="7" t="n">
        <v>483</v>
      </c>
    </row>
    <row r="174" customFormat="false" ht="15" hidden="false" customHeight="false" outlineLevel="0" collapsed="false">
      <c r="A174" s="4" t="s">
        <v>871</v>
      </c>
      <c r="B174" s="4" t="str">
        <f aca="false">IF(AND(I174&gt;='Read Me &amp; Markers'!$B$18,J174&gt;='Read Me &amp; Markers'!$B$19,L174&gt;='Read Me &amp; Markers'!$B$20),"A. Proven winner",IF(AND(I174&gt;='Read Me &amp; Markers'!$B$18,J174&gt;='Read Me &amp; Markers'!$B$19,L174&gt;='Read Me &amp; Markers'!$B$21),"B. Strong performer",IF(AND(I174&gt;='Read Me &amp; Markers'!$B$22,L174&gt;='Read Me &amp; Markers'!$B$23),"C. Scale workhorse",IF(AND(I174&gt;='Read Me &amp; Markers'!$B$24,I174&lt;'Read Me &amp; Markers'!$B$18,J174&gt;='Read Me &amp; Markers'!$B$25,L174&gt;='Read Me &amp; Markers'!$B$26),"D. Promising (needs more spend)",""))))</f>
        <v/>
      </c>
      <c r="C174" s="4" t="s">
        <v>169</v>
      </c>
      <c r="D174" s="4" t="s">
        <v>100</v>
      </c>
      <c r="E174" s="4" t="s">
        <v>872</v>
      </c>
      <c r="F174" s="4" t="s">
        <v>87</v>
      </c>
      <c r="G174" s="4" t="s">
        <v>342</v>
      </c>
      <c r="H174" s="4" t="s">
        <v>873</v>
      </c>
      <c r="I174" s="5" t="n">
        <v>225.04</v>
      </c>
      <c r="J174" s="7" t="n">
        <v>1</v>
      </c>
      <c r="K174" s="5" t="n">
        <v>48.34</v>
      </c>
      <c r="L174" s="8" t="n">
        <v>0.214806</v>
      </c>
      <c r="M174" s="9" t="n">
        <v>225.04</v>
      </c>
      <c r="N174" s="10" t="n">
        <v>0.0229089</v>
      </c>
      <c r="O174" s="5" t="n">
        <v>119.89</v>
      </c>
      <c r="P174" s="11" t="n">
        <v>1.05213</v>
      </c>
      <c r="Q174" s="7" t="n">
        <v>1877</v>
      </c>
      <c r="R174" s="7" t="n">
        <v>43</v>
      </c>
      <c r="S174" s="7" t="n">
        <v>2</v>
      </c>
      <c r="T174" s="7" t="n">
        <v>1</v>
      </c>
      <c r="U174" s="7" t="n">
        <v>1703</v>
      </c>
      <c r="V174" s="7" t="n">
        <v>165</v>
      </c>
    </row>
    <row r="175" customFormat="false" ht="15" hidden="false" customHeight="false" outlineLevel="0" collapsed="false">
      <c r="A175" s="4" t="s">
        <v>874</v>
      </c>
      <c r="B175" s="4" t="str">
        <f aca="false">IF(AND(I175&gt;='Read Me &amp; Markers'!$B$18,J175&gt;='Read Me &amp; Markers'!$B$19,L175&gt;='Read Me &amp; Markers'!$B$20),"A. Proven winner",IF(AND(I175&gt;='Read Me &amp; Markers'!$B$18,J175&gt;='Read Me &amp; Markers'!$B$19,L175&gt;='Read Me &amp; Markers'!$B$21),"B. Strong performer",IF(AND(I175&gt;='Read Me &amp; Markers'!$B$22,L175&gt;='Read Me &amp; Markers'!$B$23),"C. Scale workhorse",IF(AND(I175&gt;='Read Me &amp; Markers'!$B$24,I175&lt;'Read Me &amp; Markers'!$B$18,J175&gt;='Read Me &amp; Markers'!$B$25,L175&gt;='Read Me &amp; Markers'!$B$26),"D. Promising (needs more spend)",""))))</f>
        <v/>
      </c>
      <c r="C175" s="4" t="s">
        <v>83</v>
      </c>
      <c r="D175" s="4" t="s">
        <v>228</v>
      </c>
      <c r="E175" s="4" t="s">
        <v>875</v>
      </c>
      <c r="F175" s="4" t="s">
        <v>230</v>
      </c>
      <c r="G175" s="4" t="s">
        <v>262</v>
      </c>
      <c r="H175" s="4" t="s">
        <v>876</v>
      </c>
      <c r="I175" s="5" t="n">
        <v>223.23</v>
      </c>
      <c r="J175" s="7" t="n">
        <v>4</v>
      </c>
      <c r="K175" s="5" t="n">
        <v>208.26</v>
      </c>
      <c r="L175" s="8" t="n">
        <v>0.932939</v>
      </c>
      <c r="M175" s="9" t="n">
        <v>55.81</v>
      </c>
      <c r="N175" s="10" t="n">
        <v>0.07880724</v>
      </c>
      <c r="O175" s="5" t="n">
        <v>118.87</v>
      </c>
      <c r="P175" s="11" t="n">
        <v>1.229058</v>
      </c>
      <c r="Q175" s="7" t="n">
        <v>1878</v>
      </c>
      <c r="R175" s="7" t="n">
        <v>148</v>
      </c>
      <c r="S175" s="7" t="n">
        <v>21</v>
      </c>
      <c r="T175" s="7" t="n">
        <v>11</v>
      </c>
      <c r="U175" s="7" t="n">
        <v>1750</v>
      </c>
      <c r="V175" s="7" t="n">
        <v>324</v>
      </c>
    </row>
    <row r="176" customFormat="false" ht="15" hidden="false" customHeight="false" outlineLevel="0" collapsed="false">
      <c r="A176" s="4" t="s">
        <v>877</v>
      </c>
      <c r="B176" s="4" t="str">
        <f aca="false">IF(AND(I176&gt;='Read Me &amp; Markers'!$B$18,J176&gt;='Read Me &amp; Markers'!$B$19,L176&gt;='Read Me &amp; Markers'!$B$20),"A. Proven winner",IF(AND(I176&gt;='Read Me &amp; Markers'!$B$18,J176&gt;='Read Me &amp; Markers'!$B$19,L176&gt;='Read Me &amp; Markers'!$B$21),"B. Strong performer",IF(AND(I176&gt;='Read Me &amp; Markers'!$B$22,L176&gt;='Read Me &amp; Markers'!$B$23),"C. Scale workhorse",IF(AND(I176&gt;='Read Me &amp; Markers'!$B$24,I176&lt;'Read Me &amp; Markers'!$B$18,J176&gt;='Read Me &amp; Markers'!$B$25,L176&gt;='Read Me &amp; Markers'!$B$26),"D. Promising (needs more spend)",""))))</f>
        <v/>
      </c>
      <c r="C176" s="4" t="s">
        <v>662</v>
      </c>
      <c r="D176" s="4" t="s">
        <v>228</v>
      </c>
      <c r="E176" s="4" t="s">
        <v>878</v>
      </c>
      <c r="F176" s="4" t="s">
        <v>87</v>
      </c>
      <c r="G176" s="4" t="s">
        <v>262</v>
      </c>
      <c r="H176" s="4" t="s">
        <v>879</v>
      </c>
      <c r="I176" s="5" t="n">
        <v>221.62</v>
      </c>
      <c r="J176" s="7" t="n">
        <v>5</v>
      </c>
      <c r="K176" s="5" t="n">
        <v>327.79</v>
      </c>
      <c r="L176" s="8" t="n">
        <v>1.479063</v>
      </c>
      <c r="M176" s="9" t="n">
        <v>44.32</v>
      </c>
      <c r="N176" s="10" t="n">
        <v>0.0359656</v>
      </c>
      <c r="O176" s="5" t="n">
        <v>86.64</v>
      </c>
      <c r="P176" s="11" t="n">
        <v>1.255768</v>
      </c>
      <c r="Q176" s="7" t="n">
        <v>2558</v>
      </c>
      <c r="R176" s="7" t="n">
        <v>92</v>
      </c>
      <c r="S176" s="7" t="n">
        <v>4</v>
      </c>
      <c r="T176" s="7" t="n">
        <v>11</v>
      </c>
      <c r="U176" s="7" t="n">
        <v>1925</v>
      </c>
      <c r="V176" s="7" t="n">
        <v>366</v>
      </c>
    </row>
    <row r="177" customFormat="false" ht="15" hidden="false" customHeight="false" outlineLevel="0" collapsed="false">
      <c r="A177" s="4" t="s">
        <v>880</v>
      </c>
      <c r="B177" s="4" t="str">
        <f aca="false">IF(AND(I177&gt;='Read Me &amp; Markers'!$B$18,J177&gt;='Read Me &amp; Markers'!$B$19,L177&gt;='Read Me &amp; Markers'!$B$20),"A. Proven winner",IF(AND(I177&gt;='Read Me &amp; Markers'!$B$18,J177&gt;='Read Me &amp; Markers'!$B$19,L177&gt;='Read Me &amp; Markers'!$B$21),"B. Strong performer",IF(AND(I177&gt;='Read Me &amp; Markers'!$B$22,L177&gt;='Read Me &amp; Markers'!$B$23),"C. Scale workhorse",IF(AND(I177&gt;='Read Me &amp; Markers'!$B$24,I177&lt;'Read Me &amp; Markers'!$B$18,J177&gt;='Read Me &amp; Markers'!$B$25,L177&gt;='Read Me &amp; Markers'!$B$26),"D. Promising (needs more spend)",""))))</f>
        <v/>
      </c>
      <c r="C177" s="4" t="s">
        <v>83</v>
      </c>
      <c r="D177" s="4" t="s">
        <v>228</v>
      </c>
      <c r="E177" s="4" t="s">
        <v>881</v>
      </c>
      <c r="F177" s="4" t="s">
        <v>230</v>
      </c>
      <c r="G177" s="4" t="s">
        <v>262</v>
      </c>
      <c r="H177" s="4" t="s">
        <v>882</v>
      </c>
      <c r="I177" s="5" t="n">
        <v>218.79</v>
      </c>
      <c r="J177" s="7" t="n">
        <v>3</v>
      </c>
      <c r="K177" s="5" t="n">
        <v>239.91</v>
      </c>
      <c r="L177" s="8" t="n">
        <v>1.096531</v>
      </c>
      <c r="M177" s="9" t="n">
        <v>72.93</v>
      </c>
      <c r="N177" s="10" t="n">
        <v>0.04562947</v>
      </c>
      <c r="O177" s="5" t="n">
        <v>120.28</v>
      </c>
      <c r="P177" s="11" t="n">
        <v>1.482478</v>
      </c>
      <c r="Q177" s="7" t="n">
        <v>1819</v>
      </c>
      <c r="R177" s="7" t="n">
        <v>83</v>
      </c>
      <c r="S177" s="7" t="n">
        <v>9</v>
      </c>
      <c r="T177" s="7" t="n">
        <v>7</v>
      </c>
      <c r="U177" s="7" t="n">
        <v>1710</v>
      </c>
      <c r="V177" s="7" t="n">
        <v>119</v>
      </c>
    </row>
    <row r="178" customFormat="false" ht="15" hidden="false" customHeight="false" outlineLevel="0" collapsed="false">
      <c r="A178" s="4" t="s">
        <v>883</v>
      </c>
      <c r="B178" s="4" t="str">
        <f aca="false">IF(AND(I178&gt;='Read Me &amp; Markers'!$B$18,J178&gt;='Read Me &amp; Markers'!$B$19,L178&gt;='Read Me &amp; Markers'!$B$20),"A. Proven winner",IF(AND(I178&gt;='Read Me &amp; Markers'!$B$18,J178&gt;='Read Me &amp; Markers'!$B$19,L178&gt;='Read Me &amp; Markers'!$B$21),"B. Strong performer",IF(AND(I178&gt;='Read Me &amp; Markers'!$B$22,L178&gt;='Read Me &amp; Markers'!$B$23),"C. Scale workhorse",IF(AND(I178&gt;='Read Me &amp; Markers'!$B$24,I178&lt;'Read Me &amp; Markers'!$B$18,J178&gt;='Read Me &amp; Markers'!$B$25,L178&gt;='Read Me &amp; Markers'!$B$26),"D. Promising (needs more spend)",""))))</f>
        <v/>
      </c>
      <c r="C178" s="4" t="s">
        <v>121</v>
      </c>
      <c r="D178" s="4" t="s">
        <v>100</v>
      </c>
      <c r="E178" s="4" t="s">
        <v>884</v>
      </c>
      <c r="F178" s="4" t="s">
        <v>87</v>
      </c>
      <c r="G178" s="4" t="s">
        <v>208</v>
      </c>
      <c r="H178" s="4" t="s">
        <v>885</v>
      </c>
      <c r="I178" s="5" t="n">
        <v>217.43</v>
      </c>
      <c r="J178" s="7" t="n">
        <v>4</v>
      </c>
      <c r="K178" s="5" t="n">
        <v>199.88</v>
      </c>
      <c r="L178" s="8" t="n">
        <v>0.919284</v>
      </c>
      <c r="M178" s="9" t="n">
        <v>54.36</v>
      </c>
      <c r="N178" s="10" t="n">
        <v>0.04619423</v>
      </c>
      <c r="O178" s="5" t="n">
        <v>114.14</v>
      </c>
      <c r="P178" s="11" t="n">
        <v>1.304795</v>
      </c>
      <c r="Q178" s="7" t="n">
        <v>1905</v>
      </c>
      <c r="R178" s="7" t="n">
        <v>88</v>
      </c>
      <c r="S178" s="7" t="n">
        <v>5</v>
      </c>
      <c r="T178" s="7" t="n">
        <v>12</v>
      </c>
      <c r="U178" s="7" t="n">
        <v>1568</v>
      </c>
      <c r="V178" s="7" t="n">
        <v>248</v>
      </c>
    </row>
    <row r="179" customFormat="false" ht="15" hidden="false" customHeight="false" outlineLevel="0" collapsed="false">
      <c r="A179" s="4" t="s">
        <v>886</v>
      </c>
      <c r="B179" s="4" t="str">
        <f aca="false">IF(AND(I179&gt;='Read Me &amp; Markers'!$B$18,J179&gt;='Read Me &amp; Markers'!$B$19,L179&gt;='Read Me &amp; Markers'!$B$20),"A. Proven winner",IF(AND(I179&gt;='Read Me &amp; Markers'!$B$18,J179&gt;='Read Me &amp; Markers'!$B$19,L179&gt;='Read Me &amp; Markers'!$B$21),"B. Strong performer",IF(AND(I179&gt;='Read Me &amp; Markers'!$B$22,L179&gt;='Read Me &amp; Markers'!$B$23),"C. Scale workhorse",IF(AND(I179&gt;='Read Me &amp; Markers'!$B$24,I179&lt;'Read Me &amp; Markers'!$B$18,J179&gt;='Read Me &amp; Markers'!$B$25,L179&gt;='Read Me &amp; Markers'!$B$26),"D. Promising (needs more spend)",""))))</f>
        <v/>
      </c>
      <c r="C179" s="4" t="s">
        <v>887</v>
      </c>
      <c r="D179" s="4" t="s">
        <v>109</v>
      </c>
      <c r="E179" s="4" t="s">
        <v>888</v>
      </c>
      <c r="F179" s="4" t="s">
        <v>172</v>
      </c>
      <c r="G179" s="4" t="s">
        <v>317</v>
      </c>
      <c r="H179" s="4" t="s">
        <v>889</v>
      </c>
      <c r="I179" s="5" t="n">
        <v>215.41</v>
      </c>
      <c r="J179" s="7" t="n">
        <v>2</v>
      </c>
      <c r="K179" s="5" t="n">
        <v>91.9</v>
      </c>
      <c r="L179" s="8" t="n">
        <v>0.426628</v>
      </c>
      <c r="M179" s="9" t="n">
        <v>107.71</v>
      </c>
      <c r="N179" s="10" t="n">
        <v>0.06150342</v>
      </c>
      <c r="O179" s="5" t="n">
        <v>163.56</v>
      </c>
      <c r="P179" s="11" t="n">
        <v>1.429967</v>
      </c>
      <c r="Q179" s="7" t="n">
        <v>1317</v>
      </c>
      <c r="R179" s="7" t="n">
        <v>81</v>
      </c>
      <c r="S179" s="7" t="n">
        <v>4</v>
      </c>
      <c r="T179" s="7" t="n">
        <v>7</v>
      </c>
      <c r="U179" s="7" t="n">
        <v>1185</v>
      </c>
      <c r="V179" s="7" t="n">
        <v>318</v>
      </c>
    </row>
    <row r="180" customFormat="false" ht="15" hidden="false" customHeight="false" outlineLevel="0" collapsed="false">
      <c r="A180" s="4" t="s">
        <v>890</v>
      </c>
      <c r="B180" s="4" t="str">
        <f aca="false">IF(AND(I180&gt;='Read Me &amp; Markers'!$B$18,J180&gt;='Read Me &amp; Markers'!$B$19,L180&gt;='Read Me &amp; Markers'!$B$20),"A. Proven winner",IF(AND(I180&gt;='Read Me &amp; Markers'!$B$18,J180&gt;='Read Me &amp; Markers'!$B$19,L180&gt;='Read Me &amp; Markers'!$B$21),"B. Strong performer",IF(AND(I180&gt;='Read Me &amp; Markers'!$B$22,L180&gt;='Read Me &amp; Markers'!$B$23),"C. Scale workhorse",IF(AND(I180&gt;='Read Me &amp; Markers'!$B$24,I180&lt;'Read Me &amp; Markers'!$B$18,J180&gt;='Read Me &amp; Markers'!$B$25,L180&gt;='Read Me &amp; Markers'!$B$26),"D. Promising (needs more spend)",""))))</f>
        <v/>
      </c>
      <c r="C180" s="4" t="s">
        <v>121</v>
      </c>
      <c r="D180" s="4" t="s">
        <v>528</v>
      </c>
      <c r="E180" s="4" t="s">
        <v>891</v>
      </c>
      <c r="F180" s="4" t="s">
        <v>230</v>
      </c>
      <c r="G180" s="4" t="s">
        <v>530</v>
      </c>
      <c r="H180" s="4" t="s">
        <v>892</v>
      </c>
      <c r="I180" s="5" t="n">
        <v>213.96</v>
      </c>
      <c r="J180" s="7" t="n">
        <v>3</v>
      </c>
      <c r="K180" s="5" t="n">
        <v>219.91</v>
      </c>
      <c r="L180" s="8" t="n">
        <v>1.027809</v>
      </c>
      <c r="M180" s="9" t="n">
        <v>71.32</v>
      </c>
      <c r="N180" s="10" t="n">
        <v>0.03637142</v>
      </c>
      <c r="O180" s="5" t="n">
        <v>91.55</v>
      </c>
      <c r="P180" s="11" t="n">
        <v>1.208376</v>
      </c>
      <c r="Q180" s="7" t="n">
        <v>2337</v>
      </c>
      <c r="R180" s="7" t="n">
        <v>85</v>
      </c>
      <c r="S180" s="7" t="n">
        <v>9</v>
      </c>
      <c r="T180" s="7" t="n">
        <v>6</v>
      </c>
      <c r="U180" s="7" t="n">
        <v>2081</v>
      </c>
      <c r="V180" s="7" t="n">
        <v>100</v>
      </c>
    </row>
    <row r="181" customFormat="false" ht="15" hidden="false" customHeight="false" outlineLevel="0" collapsed="false">
      <c r="A181" s="4" t="s">
        <v>893</v>
      </c>
      <c r="B181" s="4" t="str">
        <f aca="false">IF(AND(I181&gt;='Read Me &amp; Markers'!$B$18,J181&gt;='Read Me &amp; Markers'!$B$19,L181&gt;='Read Me &amp; Markers'!$B$20),"A. Proven winner",IF(AND(I181&gt;='Read Me &amp; Markers'!$B$18,J181&gt;='Read Me &amp; Markers'!$B$19,L181&gt;='Read Me &amp; Markers'!$B$21),"B. Strong performer",IF(AND(I181&gt;='Read Me &amp; Markers'!$B$22,L181&gt;='Read Me &amp; Markers'!$B$23),"C. Scale workhorse",IF(AND(I181&gt;='Read Me &amp; Markers'!$B$24,I181&lt;'Read Me &amp; Markers'!$B$18,J181&gt;='Read Me &amp; Markers'!$B$25,L181&gt;='Read Me &amp; Markers'!$B$26),"D. Promising (needs more spend)",""))))</f>
        <v/>
      </c>
      <c r="C181" s="4" t="s">
        <v>894</v>
      </c>
      <c r="D181" s="4" t="s">
        <v>109</v>
      </c>
      <c r="E181" s="4" t="s">
        <v>110</v>
      </c>
      <c r="F181" s="4" t="s">
        <v>111</v>
      </c>
      <c r="G181" s="4" t="s">
        <v>112</v>
      </c>
      <c r="H181" s="4" t="s">
        <v>895</v>
      </c>
      <c r="I181" s="5" t="n">
        <v>213.4</v>
      </c>
      <c r="J181" s="7" t="n">
        <v>0</v>
      </c>
      <c r="K181" s="5" t="n">
        <v>0</v>
      </c>
      <c r="L181" s="8" t="n">
        <v>0</v>
      </c>
      <c r="M181" s="9" t="n">
        <v>0</v>
      </c>
      <c r="N181" s="10" t="n">
        <v>0.02055215</v>
      </c>
      <c r="O181" s="5" t="n">
        <v>65.46</v>
      </c>
      <c r="P181" s="11" t="n">
        <v>1.631632</v>
      </c>
      <c r="Q181" s="7" t="n">
        <v>3260</v>
      </c>
      <c r="R181" s="7" t="n">
        <v>67</v>
      </c>
      <c r="S181" s="7" t="n">
        <v>9</v>
      </c>
      <c r="T181" s="7" t="n">
        <v>11</v>
      </c>
      <c r="U181" s="7" t="n">
        <v>0</v>
      </c>
      <c r="V181" s="7" t="n">
        <v>0</v>
      </c>
    </row>
    <row r="182" customFormat="false" ht="15" hidden="false" customHeight="false" outlineLevel="0" collapsed="false">
      <c r="A182" s="4" t="s">
        <v>896</v>
      </c>
      <c r="B182" s="4" t="str">
        <f aca="false">IF(AND(I182&gt;='Read Me &amp; Markers'!$B$18,J182&gt;='Read Me &amp; Markers'!$B$19,L182&gt;='Read Me &amp; Markers'!$B$20),"A. Proven winner",IF(AND(I182&gt;='Read Me &amp; Markers'!$B$18,J182&gt;='Read Me &amp; Markers'!$B$19,L182&gt;='Read Me &amp; Markers'!$B$21),"B. Strong performer",IF(AND(I182&gt;='Read Me &amp; Markers'!$B$22,L182&gt;='Read Me &amp; Markers'!$B$23),"C. Scale workhorse",IF(AND(I182&gt;='Read Me &amp; Markers'!$B$24,I182&lt;'Read Me &amp; Markers'!$B$18,J182&gt;='Read Me &amp; Markers'!$B$25,L182&gt;='Read Me &amp; Markers'!$B$26),"D. Promising (needs more spend)",""))))</f>
        <v/>
      </c>
      <c r="C182" s="4" t="s">
        <v>192</v>
      </c>
      <c r="D182" s="4" t="s">
        <v>228</v>
      </c>
      <c r="E182" s="4" t="s">
        <v>897</v>
      </c>
      <c r="F182" s="4" t="s">
        <v>230</v>
      </c>
      <c r="G182" s="4" t="s">
        <v>262</v>
      </c>
      <c r="H182" s="4" t="s">
        <v>898</v>
      </c>
      <c r="I182" s="5" t="n">
        <v>213.33</v>
      </c>
      <c r="J182" s="7" t="n">
        <v>2</v>
      </c>
      <c r="K182" s="5" t="n">
        <v>79.94</v>
      </c>
      <c r="L182" s="8" t="n">
        <v>0.374725</v>
      </c>
      <c r="M182" s="9" t="n">
        <v>106.67</v>
      </c>
      <c r="N182" s="10" t="n">
        <v>0.05646527</v>
      </c>
      <c r="O182" s="5" t="n">
        <v>120.46</v>
      </c>
      <c r="P182" s="11" t="n">
        <v>1.147764</v>
      </c>
      <c r="Q182" s="7" t="n">
        <v>1771</v>
      </c>
      <c r="R182" s="7" t="n">
        <v>100</v>
      </c>
      <c r="S182" s="7" t="n">
        <v>6</v>
      </c>
      <c r="T182" s="7" t="n">
        <v>22</v>
      </c>
      <c r="U182" s="7" t="n">
        <v>1576</v>
      </c>
      <c r="V182" s="7" t="n">
        <v>571</v>
      </c>
    </row>
    <row r="183" customFormat="false" ht="15" hidden="false" customHeight="false" outlineLevel="0" collapsed="false">
      <c r="A183" s="4" t="s">
        <v>899</v>
      </c>
      <c r="B183" s="4" t="str">
        <f aca="false">IF(AND(I183&gt;='Read Me &amp; Markers'!$B$18,J183&gt;='Read Me &amp; Markers'!$B$19,L183&gt;='Read Me &amp; Markers'!$B$20),"A. Proven winner",IF(AND(I183&gt;='Read Me &amp; Markers'!$B$18,J183&gt;='Read Me &amp; Markers'!$B$19,L183&gt;='Read Me &amp; Markers'!$B$21),"B. Strong performer",IF(AND(I183&gt;='Read Me &amp; Markers'!$B$22,L183&gt;='Read Me &amp; Markers'!$B$23),"C. Scale workhorse",IF(AND(I183&gt;='Read Me &amp; Markers'!$B$24,I183&lt;'Read Me &amp; Markers'!$B$18,J183&gt;='Read Me &amp; Markers'!$B$25,L183&gt;='Read Me &amp; Markers'!$B$26),"D. Promising (needs more spend)",""))))</f>
        <v/>
      </c>
      <c r="C183" s="4" t="s">
        <v>129</v>
      </c>
      <c r="D183" s="4" t="s">
        <v>100</v>
      </c>
      <c r="E183" s="4" t="s">
        <v>900</v>
      </c>
      <c r="F183" s="4" t="s">
        <v>230</v>
      </c>
      <c r="G183" s="4" t="s">
        <v>254</v>
      </c>
      <c r="H183" s="4" t="s">
        <v>901</v>
      </c>
      <c r="I183" s="5" t="n">
        <v>211.56</v>
      </c>
      <c r="J183" s="7" t="n">
        <v>0</v>
      </c>
      <c r="K183" s="5" t="n">
        <v>0</v>
      </c>
      <c r="L183" s="8" t="n">
        <v>0</v>
      </c>
      <c r="M183" s="9" t="n">
        <v>0</v>
      </c>
      <c r="N183" s="10" t="n">
        <v>0.03476983</v>
      </c>
      <c r="O183" s="5" t="n">
        <v>103.6</v>
      </c>
      <c r="P183" s="11" t="n">
        <v>1.294043</v>
      </c>
      <c r="Q183" s="7" t="n">
        <v>2042</v>
      </c>
      <c r="R183" s="7" t="n">
        <v>71</v>
      </c>
      <c r="S183" s="7" t="n">
        <v>6</v>
      </c>
      <c r="T183" s="7" t="n">
        <v>4</v>
      </c>
      <c r="U183" s="7" t="n">
        <v>1767</v>
      </c>
      <c r="V183" s="7" t="n">
        <v>180</v>
      </c>
    </row>
    <row r="184" customFormat="false" ht="15" hidden="false" customHeight="false" outlineLevel="0" collapsed="false">
      <c r="A184" s="4" t="s">
        <v>902</v>
      </c>
      <c r="B184" s="4" t="str">
        <f aca="false">IF(AND(I184&gt;='Read Me &amp; Markers'!$B$18,J184&gt;='Read Me &amp; Markers'!$B$19,L184&gt;='Read Me &amp; Markers'!$B$20),"A. Proven winner",IF(AND(I184&gt;='Read Me &amp; Markers'!$B$18,J184&gt;='Read Me &amp; Markers'!$B$19,L184&gt;='Read Me &amp; Markers'!$B$21),"B. Strong performer",IF(AND(I184&gt;='Read Me &amp; Markers'!$B$22,L184&gt;='Read Me &amp; Markers'!$B$23),"C. Scale workhorse",IF(AND(I184&gt;='Read Me &amp; Markers'!$B$24,I184&lt;'Read Me &amp; Markers'!$B$18,J184&gt;='Read Me &amp; Markers'!$B$25,L184&gt;='Read Me &amp; Markers'!$B$26),"D. Promising (needs more spend)",""))))</f>
        <v/>
      </c>
      <c r="C184" s="4" t="s">
        <v>903</v>
      </c>
      <c r="D184" s="4" t="s">
        <v>100</v>
      </c>
      <c r="E184" s="4" t="s">
        <v>904</v>
      </c>
      <c r="F184" s="4" t="s">
        <v>87</v>
      </c>
      <c r="G184" s="4" t="s">
        <v>348</v>
      </c>
      <c r="H184" s="4" t="s">
        <v>905</v>
      </c>
      <c r="I184" s="5" t="n">
        <v>211.09</v>
      </c>
      <c r="J184" s="7" t="n">
        <v>3</v>
      </c>
      <c r="K184" s="5" t="n">
        <v>365.86</v>
      </c>
      <c r="L184" s="8" t="n">
        <v>1.733194</v>
      </c>
      <c r="M184" s="9" t="n">
        <v>70.36</v>
      </c>
      <c r="N184" s="10" t="n">
        <v>0.03150242</v>
      </c>
      <c r="O184" s="5" t="n">
        <v>85.25</v>
      </c>
      <c r="P184" s="11" t="n">
        <v>1.23986</v>
      </c>
      <c r="Q184" s="7" t="n">
        <v>2476</v>
      </c>
      <c r="R184" s="7" t="n">
        <v>78</v>
      </c>
      <c r="S184" s="7" t="n">
        <v>10</v>
      </c>
      <c r="T184" s="7" t="n">
        <v>8</v>
      </c>
      <c r="U184" s="7" t="n">
        <v>2255</v>
      </c>
      <c r="V184" s="7" t="n">
        <v>281</v>
      </c>
    </row>
    <row r="185" customFormat="false" ht="15" hidden="false" customHeight="false" outlineLevel="0" collapsed="false">
      <c r="A185" s="4" t="s">
        <v>906</v>
      </c>
      <c r="B185" s="4" t="str">
        <f aca="false">IF(AND(I185&gt;='Read Me &amp; Markers'!$B$18,J185&gt;='Read Me &amp; Markers'!$B$19,L185&gt;='Read Me &amp; Markers'!$B$20),"A. Proven winner",IF(AND(I185&gt;='Read Me &amp; Markers'!$B$18,J185&gt;='Read Me &amp; Markers'!$B$19,L185&gt;='Read Me &amp; Markers'!$B$21),"B. Strong performer",IF(AND(I185&gt;='Read Me &amp; Markers'!$B$22,L185&gt;='Read Me &amp; Markers'!$B$23),"C. Scale workhorse",IF(AND(I185&gt;='Read Me &amp; Markers'!$B$24,I185&lt;'Read Me &amp; Markers'!$B$18,J185&gt;='Read Me &amp; Markers'!$B$25,L185&gt;='Read Me &amp; Markers'!$B$26),"D. Promising (needs more spend)",""))))</f>
        <v/>
      </c>
      <c r="C185" s="4" t="s">
        <v>907</v>
      </c>
      <c r="D185" s="4" t="s">
        <v>109</v>
      </c>
      <c r="E185" s="4" t="s">
        <v>377</v>
      </c>
      <c r="F185" s="4" t="s">
        <v>111</v>
      </c>
      <c r="G185" s="4" t="s">
        <v>378</v>
      </c>
      <c r="H185" s="4" t="s">
        <v>908</v>
      </c>
      <c r="I185" s="5" t="n">
        <v>210.23</v>
      </c>
      <c r="J185" s="7" t="n">
        <v>5</v>
      </c>
      <c r="K185" s="5" t="n">
        <v>287.77</v>
      </c>
      <c r="L185" s="8" t="n">
        <v>1.368834</v>
      </c>
      <c r="M185" s="9" t="n">
        <v>42.05</v>
      </c>
      <c r="N185" s="10" t="n">
        <v>0.0840249</v>
      </c>
      <c r="O185" s="5" t="n">
        <v>218.08</v>
      </c>
      <c r="P185" s="11" t="n">
        <v>1.200498</v>
      </c>
      <c r="Q185" s="7" t="n">
        <v>964</v>
      </c>
      <c r="R185" s="7" t="n">
        <v>81</v>
      </c>
      <c r="S185" s="7" t="n">
        <v>4</v>
      </c>
      <c r="T185" s="7" t="n">
        <v>12</v>
      </c>
      <c r="U185" s="7" t="n">
        <v>837</v>
      </c>
      <c r="V185" s="7" t="n">
        <v>262</v>
      </c>
    </row>
    <row r="186" customFormat="false" ht="15" hidden="false" customHeight="false" outlineLevel="0" collapsed="false">
      <c r="A186" s="4" t="s">
        <v>909</v>
      </c>
      <c r="B186" s="4" t="str">
        <f aca="false">IF(AND(I186&gt;='Read Me &amp; Markers'!$B$18,J186&gt;='Read Me &amp; Markers'!$B$19,L186&gt;='Read Me &amp; Markers'!$B$20),"A. Proven winner",IF(AND(I186&gt;='Read Me &amp; Markers'!$B$18,J186&gt;='Read Me &amp; Markers'!$B$19,L186&gt;='Read Me &amp; Markers'!$B$21),"B. Strong performer",IF(AND(I186&gt;='Read Me &amp; Markers'!$B$22,L186&gt;='Read Me &amp; Markers'!$B$23),"C. Scale workhorse",IF(AND(I186&gt;='Read Me &amp; Markers'!$B$24,I186&lt;'Read Me &amp; Markers'!$B$18,J186&gt;='Read Me &amp; Markers'!$B$25,L186&gt;='Read Me &amp; Markers'!$B$26),"D. Promising (needs more spend)",""))))</f>
        <v/>
      </c>
      <c r="C186" s="4" t="s">
        <v>910</v>
      </c>
      <c r="D186" s="4" t="s">
        <v>109</v>
      </c>
      <c r="E186" s="4" t="s">
        <v>512</v>
      </c>
      <c r="F186" s="4" t="s">
        <v>87</v>
      </c>
      <c r="G186" s="4" t="s">
        <v>490</v>
      </c>
      <c r="H186" s="4" t="s">
        <v>911</v>
      </c>
      <c r="I186" s="5" t="n">
        <v>208.48</v>
      </c>
      <c r="J186" s="7" t="n">
        <v>1</v>
      </c>
      <c r="K186" s="5" t="n">
        <v>37.76</v>
      </c>
      <c r="L186" s="8" t="n">
        <v>0.18112</v>
      </c>
      <c r="M186" s="9" t="n">
        <v>208.48</v>
      </c>
      <c r="N186" s="10" t="n">
        <v>0.03713818</v>
      </c>
      <c r="O186" s="5" t="n">
        <v>113.86</v>
      </c>
      <c r="P186" s="11" t="n">
        <v>1.068261</v>
      </c>
      <c r="Q186" s="7" t="n">
        <v>1831</v>
      </c>
      <c r="R186" s="7" t="n">
        <v>68</v>
      </c>
      <c r="S186" s="7" t="n">
        <v>7</v>
      </c>
      <c r="T186" s="7" t="n">
        <v>7</v>
      </c>
      <c r="U186" s="7" t="n">
        <v>1702</v>
      </c>
      <c r="V186" s="7" t="n">
        <v>585</v>
      </c>
    </row>
    <row r="187" customFormat="false" ht="15" hidden="false" customHeight="false" outlineLevel="0" collapsed="false">
      <c r="A187" s="4" t="s">
        <v>912</v>
      </c>
      <c r="B187" s="4" t="str">
        <f aca="false">IF(AND(I187&gt;='Read Me &amp; Markers'!$B$18,J187&gt;='Read Me &amp; Markers'!$B$19,L187&gt;='Read Me &amp; Markers'!$B$20),"A. Proven winner",IF(AND(I187&gt;='Read Me &amp; Markers'!$B$18,J187&gt;='Read Me &amp; Markers'!$B$19,L187&gt;='Read Me &amp; Markers'!$B$21),"B. Strong performer",IF(AND(I187&gt;='Read Me &amp; Markers'!$B$22,L187&gt;='Read Me &amp; Markers'!$B$23),"C. Scale workhorse",IF(AND(I187&gt;='Read Me &amp; Markers'!$B$24,I187&lt;'Read Me &amp; Markers'!$B$18,J187&gt;='Read Me &amp; Markers'!$B$25,L187&gt;='Read Me &amp; Markers'!$B$26),"D. Promising (needs more spend)",""))))</f>
        <v/>
      </c>
      <c r="C187" s="4" t="s">
        <v>913</v>
      </c>
      <c r="D187" s="4" t="s">
        <v>109</v>
      </c>
      <c r="E187" s="4" t="s">
        <v>914</v>
      </c>
      <c r="F187" s="4" t="s">
        <v>87</v>
      </c>
      <c r="G187" s="4" t="s">
        <v>508</v>
      </c>
      <c r="H187" s="4" t="s">
        <v>915</v>
      </c>
      <c r="I187" s="5" t="n">
        <v>207.92</v>
      </c>
      <c r="J187" s="7" t="n">
        <v>2</v>
      </c>
      <c r="K187" s="5" t="n">
        <v>128.32</v>
      </c>
      <c r="L187" s="8" t="n">
        <v>0.61716</v>
      </c>
      <c r="M187" s="9" t="n">
        <v>103.96</v>
      </c>
      <c r="N187" s="10" t="n">
        <v>0.13603323</v>
      </c>
      <c r="O187" s="5" t="n">
        <v>215.91</v>
      </c>
      <c r="P187" s="11" t="n">
        <v>1.132941</v>
      </c>
      <c r="Q187" s="7" t="n">
        <v>963</v>
      </c>
      <c r="R187" s="7" t="n">
        <v>131</v>
      </c>
      <c r="S187" s="7" t="n">
        <v>1</v>
      </c>
      <c r="T187" s="7" t="n">
        <v>6</v>
      </c>
      <c r="U187" s="7" t="n">
        <v>918</v>
      </c>
      <c r="V187" s="7" t="n">
        <v>281</v>
      </c>
    </row>
    <row r="188" customFormat="false" ht="15" hidden="false" customHeight="false" outlineLevel="0" collapsed="false">
      <c r="A188" s="4" t="s">
        <v>916</v>
      </c>
      <c r="B188" s="4" t="str">
        <f aca="false">IF(AND(I188&gt;='Read Me &amp; Markers'!$B$18,J188&gt;='Read Me &amp; Markers'!$B$19,L188&gt;='Read Me &amp; Markers'!$B$20),"A. Proven winner",IF(AND(I188&gt;='Read Me &amp; Markers'!$B$18,J188&gt;='Read Me &amp; Markers'!$B$19,L188&gt;='Read Me &amp; Markers'!$B$21),"B. Strong performer",IF(AND(I188&gt;='Read Me &amp; Markers'!$B$22,L188&gt;='Read Me &amp; Markers'!$B$23),"C. Scale workhorse",IF(AND(I188&gt;='Read Me &amp; Markers'!$B$24,I188&lt;'Read Me &amp; Markers'!$B$18,J188&gt;='Read Me &amp; Markers'!$B$25,L188&gt;='Read Me &amp; Markers'!$B$26),"D. Promising (needs more spend)",""))))</f>
        <v/>
      </c>
      <c r="C188" s="4" t="s">
        <v>917</v>
      </c>
      <c r="D188" s="4" t="s">
        <v>228</v>
      </c>
      <c r="E188" s="4" t="s">
        <v>918</v>
      </c>
      <c r="F188" s="4" t="s">
        <v>230</v>
      </c>
      <c r="G188" s="4" t="s">
        <v>262</v>
      </c>
      <c r="H188" s="4" t="s">
        <v>919</v>
      </c>
      <c r="I188" s="5" t="n">
        <v>207.74</v>
      </c>
      <c r="J188" s="7" t="n">
        <v>1</v>
      </c>
      <c r="K188" s="5" t="n">
        <v>69.95</v>
      </c>
      <c r="L188" s="8" t="n">
        <v>0.336719</v>
      </c>
      <c r="M188" s="9" t="n">
        <v>207.74</v>
      </c>
      <c r="N188" s="10" t="n">
        <v>0.03285421</v>
      </c>
      <c r="O188" s="5" t="n">
        <v>106.64</v>
      </c>
      <c r="P188" s="11" t="n">
        <v>1.211443</v>
      </c>
      <c r="Q188" s="7" t="n">
        <v>1948</v>
      </c>
      <c r="R188" s="7" t="n">
        <v>64</v>
      </c>
      <c r="S188" s="7" t="n">
        <v>4</v>
      </c>
      <c r="T188" s="7" t="n">
        <v>7</v>
      </c>
      <c r="U188" s="7" t="n">
        <v>1599</v>
      </c>
      <c r="V188" s="7" t="n">
        <v>290</v>
      </c>
    </row>
    <row r="189" customFormat="false" ht="15" hidden="false" customHeight="false" outlineLevel="0" collapsed="false">
      <c r="A189" s="4" t="s">
        <v>920</v>
      </c>
      <c r="B189" s="4" t="str">
        <f aca="false">IF(AND(I189&gt;='Read Me &amp; Markers'!$B$18,J189&gt;='Read Me &amp; Markers'!$B$19,L189&gt;='Read Me &amp; Markers'!$B$20),"A. Proven winner",IF(AND(I189&gt;='Read Me &amp; Markers'!$B$18,J189&gt;='Read Me &amp; Markers'!$B$19,L189&gt;='Read Me &amp; Markers'!$B$21),"B. Strong performer",IF(AND(I189&gt;='Read Me &amp; Markers'!$B$22,L189&gt;='Read Me &amp; Markers'!$B$23),"C. Scale workhorse",IF(AND(I189&gt;='Read Me &amp; Markers'!$B$24,I189&lt;'Read Me &amp; Markers'!$B$18,J189&gt;='Read Me &amp; Markers'!$B$25,L189&gt;='Read Me &amp; Markers'!$B$26),"D. Promising (needs more spend)",""))))</f>
        <v/>
      </c>
      <c r="C189" s="4" t="s">
        <v>83</v>
      </c>
      <c r="D189" s="4" t="s">
        <v>228</v>
      </c>
      <c r="E189" s="4" t="s">
        <v>921</v>
      </c>
      <c r="F189" s="4" t="s">
        <v>230</v>
      </c>
      <c r="G189" s="4" t="s">
        <v>262</v>
      </c>
      <c r="H189" s="4" t="s">
        <v>922</v>
      </c>
      <c r="I189" s="5" t="n">
        <v>205.74</v>
      </c>
      <c r="J189" s="7" t="n">
        <v>3</v>
      </c>
      <c r="K189" s="5" t="n">
        <v>119.91</v>
      </c>
      <c r="L189" s="8" t="n">
        <v>0.582823</v>
      </c>
      <c r="M189" s="9" t="n">
        <v>68.58</v>
      </c>
      <c r="N189" s="10" t="n">
        <v>0.04874391</v>
      </c>
      <c r="O189" s="5" t="n">
        <v>77.14</v>
      </c>
      <c r="P189" s="11" t="n">
        <v>1.122947</v>
      </c>
      <c r="Q189" s="7" t="n">
        <v>2667</v>
      </c>
      <c r="R189" s="7" t="n">
        <v>130</v>
      </c>
      <c r="S189" s="7" t="n">
        <v>8</v>
      </c>
      <c r="T189" s="7" t="n">
        <v>7</v>
      </c>
      <c r="U189" s="7" t="n">
        <v>2566</v>
      </c>
      <c r="V189" s="7" t="n">
        <v>673</v>
      </c>
    </row>
    <row r="190" customFormat="false" ht="15" hidden="false" customHeight="false" outlineLevel="0" collapsed="false">
      <c r="A190" s="4" t="s">
        <v>923</v>
      </c>
      <c r="B190" s="4" t="str">
        <f aca="false">IF(AND(I190&gt;='Read Me &amp; Markers'!$B$18,J190&gt;='Read Me &amp; Markers'!$B$19,L190&gt;='Read Me &amp; Markers'!$B$20),"A. Proven winner",IF(AND(I190&gt;='Read Me &amp; Markers'!$B$18,J190&gt;='Read Me &amp; Markers'!$B$19,L190&gt;='Read Me &amp; Markers'!$B$21),"B. Strong performer",IF(AND(I190&gt;='Read Me &amp; Markers'!$B$22,L190&gt;='Read Me &amp; Markers'!$B$23),"C. Scale workhorse",IF(AND(I190&gt;='Read Me &amp; Markers'!$B$24,I190&lt;'Read Me &amp; Markers'!$B$18,J190&gt;='Read Me &amp; Markers'!$B$25,L190&gt;='Read Me &amp; Markers'!$B$26),"D. Promising (needs more spend)",""))))</f>
        <v/>
      </c>
      <c r="C190" s="4" t="s">
        <v>169</v>
      </c>
      <c r="D190" s="4" t="s">
        <v>100</v>
      </c>
      <c r="E190" s="4" t="s">
        <v>924</v>
      </c>
      <c r="F190" s="4" t="s">
        <v>87</v>
      </c>
      <c r="G190" s="4" t="s">
        <v>440</v>
      </c>
      <c r="H190" s="4" t="s">
        <v>925</v>
      </c>
      <c r="I190" s="5" t="n">
        <v>205.13</v>
      </c>
      <c r="J190" s="7" t="n">
        <v>3</v>
      </c>
      <c r="K190" s="5" t="n">
        <v>299.88</v>
      </c>
      <c r="L190" s="8" t="n">
        <v>1.461902</v>
      </c>
      <c r="M190" s="9" t="n">
        <v>68.38</v>
      </c>
      <c r="N190" s="10" t="n">
        <v>0.0215721</v>
      </c>
      <c r="O190" s="5" t="n">
        <v>60.62</v>
      </c>
      <c r="P190" s="11" t="n">
        <v>1.285714</v>
      </c>
      <c r="Q190" s="7" t="n">
        <v>3384</v>
      </c>
      <c r="R190" s="7" t="n">
        <v>73</v>
      </c>
      <c r="S190" s="7" t="n">
        <v>10</v>
      </c>
      <c r="T190" s="7" t="n">
        <v>5</v>
      </c>
      <c r="U190" s="7" t="n">
        <v>2814</v>
      </c>
      <c r="V190" s="7" t="n">
        <v>161</v>
      </c>
    </row>
    <row r="191" customFormat="false" ht="15" hidden="false" customHeight="false" outlineLevel="0" collapsed="false">
      <c r="A191" s="4" t="s">
        <v>926</v>
      </c>
      <c r="B191" s="4" t="str">
        <f aca="false">IF(AND(I191&gt;='Read Me &amp; Markers'!$B$18,J191&gt;='Read Me &amp; Markers'!$B$19,L191&gt;='Read Me &amp; Markers'!$B$20),"A. Proven winner",IF(AND(I191&gt;='Read Me &amp; Markers'!$B$18,J191&gt;='Read Me &amp; Markers'!$B$19,L191&gt;='Read Me &amp; Markers'!$B$21),"B. Strong performer",IF(AND(I191&gt;='Read Me &amp; Markers'!$B$22,L191&gt;='Read Me &amp; Markers'!$B$23),"C. Scale workhorse",IF(AND(I191&gt;='Read Me &amp; Markers'!$B$24,I191&lt;'Read Me &amp; Markers'!$B$18,J191&gt;='Read Me &amp; Markers'!$B$25,L191&gt;='Read Me &amp; Markers'!$B$26),"D. Promising (needs more spend)",""))))</f>
        <v/>
      </c>
      <c r="C191" s="4" t="s">
        <v>910</v>
      </c>
      <c r="D191" s="4" t="s">
        <v>109</v>
      </c>
      <c r="E191" s="4" t="s">
        <v>489</v>
      </c>
      <c r="F191" s="4" t="s">
        <v>87</v>
      </c>
      <c r="G191" s="4" t="s">
        <v>490</v>
      </c>
      <c r="H191" s="4" t="s">
        <v>927</v>
      </c>
      <c r="I191" s="5" t="n">
        <v>201.67</v>
      </c>
      <c r="J191" s="7" t="n">
        <v>2</v>
      </c>
      <c r="K191" s="5" t="n">
        <v>71.92</v>
      </c>
      <c r="L191" s="8" t="n">
        <v>0.356622</v>
      </c>
      <c r="M191" s="9" t="n">
        <v>100.84</v>
      </c>
      <c r="N191" s="10" t="n">
        <v>0.03073905</v>
      </c>
      <c r="O191" s="5" t="n">
        <v>131.9</v>
      </c>
      <c r="P191" s="11" t="n">
        <v>1.095272</v>
      </c>
      <c r="Q191" s="7" t="n">
        <v>1529</v>
      </c>
      <c r="R191" s="7" t="n">
        <v>47</v>
      </c>
      <c r="S191" s="7" t="n">
        <v>23</v>
      </c>
      <c r="T191" s="7" t="n">
        <v>19</v>
      </c>
      <c r="U191" s="7" t="n">
        <v>1447</v>
      </c>
      <c r="V191" s="7" t="n">
        <v>535</v>
      </c>
    </row>
    <row r="192" customFormat="false" ht="15" hidden="false" customHeight="false" outlineLevel="0" collapsed="false">
      <c r="A192" s="4" t="s">
        <v>928</v>
      </c>
      <c r="B192" s="4" t="str">
        <f aca="false">IF(AND(I192&gt;='Read Me &amp; Markers'!$B$18,J192&gt;='Read Me &amp; Markers'!$B$19,L192&gt;='Read Me &amp; Markers'!$B$20),"A. Proven winner",IF(AND(I192&gt;='Read Me &amp; Markers'!$B$18,J192&gt;='Read Me &amp; Markers'!$B$19,L192&gt;='Read Me &amp; Markers'!$B$21),"B. Strong performer",IF(AND(I192&gt;='Read Me &amp; Markers'!$B$22,L192&gt;='Read Me &amp; Markers'!$B$23),"C. Scale workhorse",IF(AND(I192&gt;='Read Me &amp; Markers'!$B$24,I192&lt;'Read Me &amp; Markers'!$B$18,J192&gt;='Read Me &amp; Markers'!$B$25,L192&gt;='Read Me &amp; Markers'!$B$26),"D. Promising (needs more spend)",""))))</f>
        <v/>
      </c>
      <c r="C192" s="4" t="s">
        <v>121</v>
      </c>
      <c r="D192" s="4" t="s">
        <v>100</v>
      </c>
      <c r="E192" s="4" t="s">
        <v>341</v>
      </c>
      <c r="F192" s="4" t="s">
        <v>87</v>
      </c>
      <c r="G192" s="4" t="s">
        <v>342</v>
      </c>
      <c r="H192" s="4" t="s">
        <v>929</v>
      </c>
      <c r="I192" s="5" t="n">
        <v>201.27</v>
      </c>
      <c r="J192" s="7" t="n">
        <v>3</v>
      </c>
      <c r="K192" s="5" t="n">
        <v>201.24</v>
      </c>
      <c r="L192" s="8" t="n">
        <v>0.999851</v>
      </c>
      <c r="M192" s="9" t="n">
        <v>67.09</v>
      </c>
      <c r="N192" s="10" t="n">
        <v>0.0680778</v>
      </c>
      <c r="O192" s="5" t="n">
        <v>115.14</v>
      </c>
      <c r="P192" s="11" t="n">
        <v>1.017462</v>
      </c>
      <c r="Q192" s="7" t="n">
        <v>1748</v>
      </c>
      <c r="R192" s="7" t="n">
        <v>119</v>
      </c>
      <c r="S192" s="7" t="n">
        <v>8</v>
      </c>
      <c r="T192" s="7" t="n">
        <v>6</v>
      </c>
      <c r="U192" s="7" t="n">
        <v>1669</v>
      </c>
      <c r="V192" s="7" t="n">
        <v>391</v>
      </c>
    </row>
    <row r="193" customFormat="false" ht="15" hidden="false" customHeight="false" outlineLevel="0" collapsed="false">
      <c r="A193" s="4" t="s">
        <v>930</v>
      </c>
      <c r="B193" s="4" t="str">
        <f aca="false">IF(AND(I193&gt;='Read Me &amp; Markers'!$B$18,J193&gt;='Read Me &amp; Markers'!$B$19,L193&gt;='Read Me &amp; Markers'!$B$20),"A. Proven winner",IF(AND(I193&gt;='Read Me &amp; Markers'!$B$18,J193&gt;='Read Me &amp; Markers'!$B$19,L193&gt;='Read Me &amp; Markers'!$B$21),"B. Strong performer",IF(AND(I193&gt;='Read Me &amp; Markers'!$B$22,L193&gt;='Read Me &amp; Markers'!$B$23),"C. Scale workhorse",IF(AND(I193&gt;='Read Me &amp; Markers'!$B$24,I193&lt;'Read Me &amp; Markers'!$B$18,J193&gt;='Read Me &amp; Markers'!$B$25,L193&gt;='Read Me &amp; Markers'!$B$26),"D. Promising (needs more spend)",""))))</f>
        <v/>
      </c>
      <c r="C193" s="4" t="s">
        <v>129</v>
      </c>
      <c r="D193" s="4" t="s">
        <v>100</v>
      </c>
      <c r="E193" s="4" t="s">
        <v>931</v>
      </c>
      <c r="F193" s="4" t="s">
        <v>230</v>
      </c>
      <c r="G193" s="4" t="s">
        <v>279</v>
      </c>
      <c r="H193" s="4" t="s">
        <v>932</v>
      </c>
      <c r="I193" s="5" t="n">
        <v>198.55</v>
      </c>
      <c r="J193" s="7" t="n">
        <v>3</v>
      </c>
      <c r="K193" s="5" t="n">
        <v>239.88</v>
      </c>
      <c r="L193" s="8" t="n">
        <v>1.208159</v>
      </c>
      <c r="M193" s="9" t="n">
        <v>66.18</v>
      </c>
      <c r="N193" s="10" t="n">
        <v>0.03983353</v>
      </c>
      <c r="O193" s="5" t="n">
        <v>118.04</v>
      </c>
      <c r="P193" s="11" t="n">
        <v>1.108037</v>
      </c>
      <c r="Q193" s="7" t="n">
        <v>1682</v>
      </c>
      <c r="R193" s="7" t="n">
        <v>67</v>
      </c>
      <c r="S193" s="7" t="n">
        <v>6</v>
      </c>
      <c r="T193" s="7" t="n">
        <v>7</v>
      </c>
      <c r="U193" s="7" t="n">
        <v>1489</v>
      </c>
      <c r="V193" s="7" t="n">
        <v>208</v>
      </c>
    </row>
    <row r="194" customFormat="false" ht="15" hidden="false" customHeight="false" outlineLevel="0" collapsed="false">
      <c r="A194" s="4" t="s">
        <v>933</v>
      </c>
      <c r="B194" s="4" t="str">
        <f aca="false">IF(AND(I194&gt;='Read Me &amp; Markers'!$B$18,J194&gt;='Read Me &amp; Markers'!$B$19,L194&gt;='Read Me &amp; Markers'!$B$20),"A. Proven winner",IF(AND(I194&gt;='Read Me &amp; Markers'!$B$18,J194&gt;='Read Me &amp; Markers'!$B$19,L194&gt;='Read Me &amp; Markers'!$B$21),"B. Strong performer",IF(AND(I194&gt;='Read Me &amp; Markers'!$B$22,L194&gt;='Read Me &amp; Markers'!$B$23),"C. Scale workhorse",IF(AND(I194&gt;='Read Me &amp; Markers'!$B$24,I194&lt;'Read Me &amp; Markers'!$B$18,J194&gt;='Read Me &amp; Markers'!$B$25,L194&gt;='Read Me &amp; Markers'!$B$26),"D. Promising (needs more spend)",""))))</f>
        <v/>
      </c>
      <c r="C194" s="4" t="s">
        <v>367</v>
      </c>
      <c r="D194" s="4" t="s">
        <v>528</v>
      </c>
      <c r="E194" s="4" t="s">
        <v>934</v>
      </c>
      <c r="F194" s="4" t="s">
        <v>253</v>
      </c>
      <c r="G194" s="4" t="s">
        <v>530</v>
      </c>
      <c r="H194" s="4" t="s">
        <v>935</v>
      </c>
      <c r="I194" s="5" t="n">
        <v>198.27</v>
      </c>
      <c r="J194" s="7" t="n">
        <v>0</v>
      </c>
      <c r="K194" s="5" t="n">
        <v>0</v>
      </c>
      <c r="L194" s="8" t="n">
        <v>0</v>
      </c>
      <c r="M194" s="9" t="n">
        <v>0</v>
      </c>
      <c r="N194" s="10" t="n">
        <v>0.04571843</v>
      </c>
      <c r="O194" s="5" t="n">
        <v>143.88</v>
      </c>
      <c r="P194" s="11" t="n">
        <v>1.157011</v>
      </c>
      <c r="Q194" s="7" t="n">
        <v>1378</v>
      </c>
      <c r="R194" s="7" t="n">
        <v>63</v>
      </c>
      <c r="S194" s="7" t="n">
        <v>1</v>
      </c>
      <c r="T194" s="7" t="n">
        <v>0</v>
      </c>
      <c r="U194" s="7" t="n">
        <v>1248</v>
      </c>
      <c r="V194" s="7" t="n">
        <v>256</v>
      </c>
    </row>
    <row r="195" customFormat="false" ht="15" hidden="false" customHeight="false" outlineLevel="0" collapsed="false">
      <c r="A195" s="4" t="s">
        <v>936</v>
      </c>
      <c r="B195" s="4" t="str">
        <f aca="false">IF(AND(I195&gt;='Read Me &amp; Markers'!$B$18,J195&gt;='Read Me &amp; Markers'!$B$19,L195&gt;='Read Me &amp; Markers'!$B$20),"A. Proven winner",IF(AND(I195&gt;='Read Me &amp; Markers'!$B$18,J195&gt;='Read Me &amp; Markers'!$B$19,L195&gt;='Read Me &amp; Markers'!$B$21),"B. Strong performer",IF(AND(I195&gt;='Read Me &amp; Markers'!$B$22,L195&gt;='Read Me &amp; Markers'!$B$23),"C. Scale workhorse",IF(AND(I195&gt;='Read Me &amp; Markers'!$B$24,I195&lt;'Read Me &amp; Markers'!$B$18,J195&gt;='Read Me &amp; Markers'!$B$25,L195&gt;='Read Me &amp; Markers'!$B$26),"D. Promising (needs more spend)",""))))</f>
        <v/>
      </c>
      <c r="C195" s="4" t="s">
        <v>121</v>
      </c>
      <c r="D195" s="4" t="s">
        <v>100</v>
      </c>
      <c r="E195" s="4" t="s">
        <v>937</v>
      </c>
      <c r="F195" s="4" t="s">
        <v>87</v>
      </c>
      <c r="G195" s="4" t="s">
        <v>208</v>
      </c>
      <c r="H195" s="4" t="s">
        <v>938</v>
      </c>
      <c r="I195" s="5" t="n">
        <v>197.5</v>
      </c>
      <c r="J195" s="7" t="n">
        <v>2</v>
      </c>
      <c r="K195" s="5" t="n">
        <v>79.94</v>
      </c>
      <c r="L195" s="8" t="n">
        <v>0.404759</v>
      </c>
      <c r="M195" s="9" t="n">
        <v>98.75</v>
      </c>
      <c r="N195" s="10" t="n">
        <v>0.02888801</v>
      </c>
      <c r="O195" s="5" t="n">
        <v>78.16</v>
      </c>
      <c r="P195" s="11" t="n">
        <v>1.260978</v>
      </c>
      <c r="Q195" s="7" t="n">
        <v>2527</v>
      </c>
      <c r="R195" s="7" t="n">
        <v>73</v>
      </c>
      <c r="S195" s="7" t="n">
        <v>11</v>
      </c>
      <c r="T195" s="7" t="n">
        <v>5</v>
      </c>
      <c r="U195" s="7" t="n">
        <v>2102</v>
      </c>
      <c r="V195" s="7" t="n">
        <v>145</v>
      </c>
    </row>
    <row r="196" customFormat="false" ht="15" hidden="false" customHeight="false" outlineLevel="0" collapsed="false">
      <c r="A196" s="4" t="s">
        <v>939</v>
      </c>
      <c r="B196" s="4" t="str">
        <f aca="false">IF(AND(I196&gt;='Read Me &amp; Markers'!$B$18,J196&gt;='Read Me &amp; Markers'!$B$19,L196&gt;='Read Me &amp; Markers'!$B$20),"A. Proven winner",IF(AND(I196&gt;='Read Me &amp; Markers'!$B$18,J196&gt;='Read Me &amp; Markers'!$B$19,L196&gt;='Read Me &amp; Markers'!$B$21),"B. Strong performer",IF(AND(I196&gt;='Read Me &amp; Markers'!$B$22,L196&gt;='Read Me &amp; Markers'!$B$23),"C. Scale workhorse",IF(AND(I196&gt;='Read Me &amp; Markers'!$B$24,I196&lt;'Read Me &amp; Markers'!$B$18,J196&gt;='Read Me &amp; Markers'!$B$25,L196&gt;='Read Me &amp; Markers'!$B$26),"D. Promising (needs more spend)",""))))</f>
        <v/>
      </c>
      <c r="C196" s="4" t="s">
        <v>169</v>
      </c>
      <c r="D196" s="4" t="s">
        <v>100</v>
      </c>
      <c r="E196" s="4" t="s">
        <v>940</v>
      </c>
      <c r="F196" s="4" t="s">
        <v>87</v>
      </c>
      <c r="G196" s="4" t="s">
        <v>941</v>
      </c>
      <c r="H196" s="4" t="s">
        <v>942</v>
      </c>
      <c r="I196" s="5" t="n">
        <v>196.1</v>
      </c>
      <c r="J196" s="7" t="n">
        <v>3</v>
      </c>
      <c r="K196" s="5" t="n">
        <v>245.87</v>
      </c>
      <c r="L196" s="8" t="n">
        <v>1.253799</v>
      </c>
      <c r="M196" s="9" t="n">
        <v>65.37</v>
      </c>
      <c r="N196" s="10" t="n">
        <v>0.02688787</v>
      </c>
      <c r="O196" s="5" t="n">
        <v>56.09</v>
      </c>
      <c r="P196" s="11" t="n">
        <v>1.714566</v>
      </c>
      <c r="Q196" s="7" t="n">
        <v>3496</v>
      </c>
      <c r="R196" s="7" t="n">
        <v>94</v>
      </c>
      <c r="S196" s="7" t="n">
        <v>6</v>
      </c>
      <c r="T196" s="7" t="n">
        <v>6</v>
      </c>
      <c r="U196" s="7" t="n">
        <v>941</v>
      </c>
      <c r="V196" s="7" t="n">
        <v>169</v>
      </c>
    </row>
    <row r="197" customFormat="false" ht="15" hidden="false" customHeight="false" outlineLevel="0" collapsed="false">
      <c r="A197" s="4" t="s">
        <v>943</v>
      </c>
      <c r="B197" s="4" t="str">
        <f aca="false">IF(AND(I197&gt;='Read Me &amp; Markers'!$B$18,J197&gt;='Read Me &amp; Markers'!$B$19,L197&gt;='Read Me &amp; Markers'!$B$20),"A. Proven winner",IF(AND(I197&gt;='Read Me &amp; Markers'!$B$18,J197&gt;='Read Me &amp; Markers'!$B$19,L197&gt;='Read Me &amp; Markers'!$B$21),"B. Strong performer",IF(AND(I197&gt;='Read Me &amp; Markers'!$B$22,L197&gt;='Read Me &amp; Markers'!$B$23),"C. Scale workhorse",IF(AND(I197&gt;='Read Me &amp; Markers'!$B$24,I197&lt;'Read Me &amp; Markers'!$B$18,J197&gt;='Read Me &amp; Markers'!$B$25,L197&gt;='Read Me &amp; Markers'!$B$26),"D. Promising (needs more spend)",""))))</f>
        <v/>
      </c>
      <c r="C197" s="4" t="s">
        <v>169</v>
      </c>
      <c r="D197" s="4" t="s">
        <v>100</v>
      </c>
      <c r="E197" s="4" t="s">
        <v>944</v>
      </c>
      <c r="F197" s="4" t="s">
        <v>87</v>
      </c>
      <c r="G197" s="4" t="s">
        <v>132</v>
      </c>
      <c r="H197" s="4" t="s">
        <v>945</v>
      </c>
      <c r="I197" s="5" t="n">
        <v>195.19</v>
      </c>
      <c r="J197" s="7" t="n">
        <v>1</v>
      </c>
      <c r="K197" s="5" t="n">
        <v>45.95</v>
      </c>
      <c r="L197" s="8" t="n">
        <v>0.235412</v>
      </c>
      <c r="M197" s="9" t="n">
        <v>195.19</v>
      </c>
      <c r="N197" s="10" t="n">
        <v>0.0178117</v>
      </c>
      <c r="O197" s="5" t="n">
        <v>55.19</v>
      </c>
      <c r="P197" s="11" t="n">
        <v>1.597561</v>
      </c>
      <c r="Q197" s="7" t="n">
        <v>3537</v>
      </c>
      <c r="R197" s="7" t="n">
        <v>63</v>
      </c>
      <c r="S197" s="7" t="n">
        <v>6</v>
      </c>
      <c r="T197" s="7" t="n">
        <v>4</v>
      </c>
      <c r="U197" s="7" t="n">
        <v>2762</v>
      </c>
      <c r="V197" s="7" t="n">
        <v>192</v>
      </c>
    </row>
    <row r="198" customFormat="false" ht="15" hidden="false" customHeight="false" outlineLevel="0" collapsed="false">
      <c r="A198" s="4" t="s">
        <v>946</v>
      </c>
      <c r="B198" s="4" t="str">
        <f aca="false">IF(AND(I198&gt;='Read Me &amp; Markers'!$B$18,J198&gt;='Read Me &amp; Markers'!$B$19,L198&gt;='Read Me &amp; Markers'!$B$20),"A. Proven winner",IF(AND(I198&gt;='Read Me &amp; Markers'!$B$18,J198&gt;='Read Me &amp; Markers'!$B$19,L198&gt;='Read Me &amp; Markers'!$B$21),"B. Strong performer",IF(AND(I198&gt;='Read Me &amp; Markers'!$B$22,L198&gt;='Read Me &amp; Markers'!$B$23),"C. Scale workhorse",IF(AND(I198&gt;='Read Me &amp; Markers'!$B$24,I198&lt;'Read Me &amp; Markers'!$B$18,J198&gt;='Read Me &amp; Markers'!$B$25,L198&gt;='Read Me &amp; Markers'!$B$26),"D. Promising (needs more spend)",""))))</f>
        <v/>
      </c>
      <c r="C198" s="4" t="s">
        <v>98</v>
      </c>
      <c r="D198" s="4" t="s">
        <v>100</v>
      </c>
      <c r="E198" s="4" t="s">
        <v>947</v>
      </c>
      <c r="F198" s="4" t="s">
        <v>87</v>
      </c>
      <c r="G198" s="4" t="s">
        <v>142</v>
      </c>
      <c r="H198" s="4" t="s">
        <v>948</v>
      </c>
      <c r="I198" s="5" t="n">
        <v>194.58</v>
      </c>
      <c r="J198" s="7" t="n">
        <v>2</v>
      </c>
      <c r="K198" s="5" t="n">
        <v>125.92</v>
      </c>
      <c r="L198" s="8" t="n">
        <v>0.647137</v>
      </c>
      <c r="M198" s="9" t="n">
        <v>97.29</v>
      </c>
      <c r="N198" s="10" t="n">
        <v>0.03033885</v>
      </c>
      <c r="O198" s="5" t="n">
        <v>76.67</v>
      </c>
      <c r="P198" s="11" t="n">
        <v>1.613477</v>
      </c>
      <c r="Q198" s="7" t="n">
        <v>2538</v>
      </c>
      <c r="R198" s="7" t="n">
        <v>77</v>
      </c>
      <c r="S198" s="7" t="n">
        <v>12</v>
      </c>
      <c r="T198" s="7" t="n">
        <v>12</v>
      </c>
      <c r="U198" s="7" t="n">
        <v>1934</v>
      </c>
      <c r="V198" s="7" t="n">
        <v>245</v>
      </c>
    </row>
    <row r="199" customFormat="false" ht="15" hidden="false" customHeight="false" outlineLevel="0" collapsed="false">
      <c r="A199" s="4" t="s">
        <v>949</v>
      </c>
      <c r="B199" s="4" t="str">
        <f aca="false">IF(AND(I199&gt;='Read Me &amp; Markers'!$B$18,J199&gt;='Read Me &amp; Markers'!$B$19,L199&gt;='Read Me &amp; Markers'!$B$20),"A. Proven winner",IF(AND(I199&gt;='Read Me &amp; Markers'!$B$18,J199&gt;='Read Me &amp; Markers'!$B$19,L199&gt;='Read Me &amp; Markers'!$B$21),"B. Strong performer",IF(AND(I199&gt;='Read Me &amp; Markers'!$B$22,L199&gt;='Read Me &amp; Markers'!$B$23),"C. Scale workhorse",IF(AND(I199&gt;='Read Me &amp; Markers'!$B$24,I199&lt;'Read Me &amp; Markers'!$B$18,J199&gt;='Read Me &amp; Markers'!$B$25,L199&gt;='Read Me &amp; Markers'!$B$26),"D. Promising (needs more spend)",""))))</f>
        <v/>
      </c>
      <c r="C199" s="4" t="s">
        <v>226</v>
      </c>
      <c r="D199" s="4" t="s">
        <v>228</v>
      </c>
      <c r="E199" s="4" t="s">
        <v>950</v>
      </c>
      <c r="F199" s="4" t="s">
        <v>230</v>
      </c>
      <c r="G199" s="4" t="s">
        <v>951</v>
      </c>
      <c r="H199" s="4" t="s">
        <v>952</v>
      </c>
      <c r="I199" s="5" t="n">
        <v>191.61</v>
      </c>
      <c r="J199" s="7" t="n">
        <v>3</v>
      </c>
      <c r="K199" s="5" t="n">
        <v>109.92</v>
      </c>
      <c r="L199" s="8" t="n">
        <v>0.573665</v>
      </c>
      <c r="M199" s="9" t="n">
        <v>63.87</v>
      </c>
      <c r="N199" s="10" t="n">
        <v>0.07018927</v>
      </c>
      <c r="O199" s="5" t="n">
        <v>151.11</v>
      </c>
      <c r="P199" s="11" t="n">
        <v>1.398015</v>
      </c>
      <c r="Q199" s="7" t="n">
        <v>1268</v>
      </c>
      <c r="R199" s="7" t="n">
        <v>89</v>
      </c>
      <c r="S199" s="7" t="n">
        <v>9</v>
      </c>
      <c r="T199" s="7" t="n">
        <v>12</v>
      </c>
      <c r="U199" s="7" t="n">
        <v>1023</v>
      </c>
      <c r="V199" s="7" t="n">
        <v>176</v>
      </c>
    </row>
    <row r="200" customFormat="false" ht="15" hidden="false" customHeight="false" outlineLevel="0" collapsed="false">
      <c r="A200" s="4" t="s">
        <v>953</v>
      </c>
      <c r="B200" s="4" t="str">
        <f aca="false">IF(AND(I200&gt;='Read Me &amp; Markers'!$B$18,J200&gt;='Read Me &amp; Markers'!$B$19,L200&gt;='Read Me &amp; Markers'!$B$20),"A. Proven winner",IF(AND(I200&gt;='Read Me &amp; Markers'!$B$18,J200&gt;='Read Me &amp; Markers'!$B$19,L200&gt;='Read Me &amp; Markers'!$B$21),"B. Strong performer",IF(AND(I200&gt;='Read Me &amp; Markers'!$B$22,L200&gt;='Read Me &amp; Markers'!$B$23),"C. Scale workhorse",IF(AND(I200&gt;='Read Me &amp; Markers'!$B$24,I200&lt;'Read Me &amp; Markers'!$B$18,J200&gt;='Read Me &amp; Markers'!$B$25,L200&gt;='Read Me &amp; Markers'!$B$26),"D. Promising (needs more spend)",""))))</f>
        <v/>
      </c>
      <c r="C200" s="4" t="s">
        <v>121</v>
      </c>
      <c r="D200" s="4" t="s">
        <v>100</v>
      </c>
      <c r="E200" s="4" t="s">
        <v>954</v>
      </c>
      <c r="F200" s="4" t="s">
        <v>87</v>
      </c>
      <c r="G200" s="4" t="s">
        <v>132</v>
      </c>
      <c r="H200" s="4" t="s">
        <v>955</v>
      </c>
      <c r="I200" s="5" t="n">
        <v>190.28</v>
      </c>
      <c r="J200" s="7" t="n">
        <v>3</v>
      </c>
      <c r="K200" s="5" t="n">
        <v>127.86</v>
      </c>
      <c r="L200" s="8" t="n">
        <v>0.671957</v>
      </c>
      <c r="M200" s="9" t="n">
        <v>63.43</v>
      </c>
      <c r="N200" s="10" t="n">
        <v>0.06419458</v>
      </c>
      <c r="O200" s="5" t="n">
        <v>75.87</v>
      </c>
      <c r="P200" s="11" t="n">
        <v>1.145205</v>
      </c>
      <c r="Q200" s="7" t="n">
        <v>2508</v>
      </c>
      <c r="R200" s="7" t="n">
        <v>161</v>
      </c>
      <c r="S200" s="7" t="n">
        <v>18</v>
      </c>
      <c r="T200" s="7" t="n">
        <v>15</v>
      </c>
      <c r="U200" s="7" t="n">
        <v>2404</v>
      </c>
      <c r="V200" s="7" t="n">
        <v>691</v>
      </c>
    </row>
    <row r="201" customFormat="false" ht="15" hidden="false" customHeight="false" outlineLevel="0" collapsed="false">
      <c r="A201" s="4" t="s">
        <v>956</v>
      </c>
      <c r="B201" s="4" t="str">
        <f aca="false">IF(AND(I201&gt;='Read Me &amp; Markers'!$B$18,J201&gt;='Read Me &amp; Markers'!$B$19,L201&gt;='Read Me &amp; Markers'!$B$20),"A. Proven winner",IF(AND(I201&gt;='Read Me &amp; Markers'!$B$18,J201&gt;='Read Me &amp; Markers'!$B$19,L201&gt;='Read Me &amp; Markers'!$B$21),"B. Strong performer",IF(AND(I201&gt;='Read Me &amp; Markers'!$B$22,L201&gt;='Read Me &amp; Markers'!$B$23),"C. Scale workhorse",IF(AND(I201&gt;='Read Me &amp; Markers'!$B$24,I201&lt;'Read Me &amp; Markers'!$B$18,J201&gt;='Read Me &amp; Markers'!$B$25,L201&gt;='Read Me &amp; Markers'!$B$26),"D. Promising (needs more spend)",""))))</f>
        <v/>
      </c>
      <c r="C201" s="4" t="s">
        <v>957</v>
      </c>
      <c r="D201" s="4" t="s">
        <v>109</v>
      </c>
      <c r="E201" s="4" t="s">
        <v>469</v>
      </c>
      <c r="F201" s="4" t="s">
        <v>111</v>
      </c>
      <c r="G201" s="4" t="s">
        <v>470</v>
      </c>
      <c r="H201" s="4" t="s">
        <v>958</v>
      </c>
      <c r="I201" s="5" t="n">
        <v>190.25</v>
      </c>
      <c r="J201" s="7" t="n">
        <v>6</v>
      </c>
      <c r="K201" s="5" t="n">
        <v>451.8</v>
      </c>
      <c r="L201" s="8" t="n">
        <v>2.37477</v>
      </c>
      <c r="M201" s="9" t="n">
        <v>31.71</v>
      </c>
      <c r="N201" s="10" t="n">
        <v>0.03121784</v>
      </c>
      <c r="O201" s="5" t="n">
        <v>65.27</v>
      </c>
      <c r="P201" s="11" t="n">
        <v>1.350162</v>
      </c>
      <c r="Q201" s="7" t="n">
        <v>2915</v>
      </c>
      <c r="R201" s="7" t="n">
        <v>91</v>
      </c>
      <c r="S201" s="7" t="n">
        <v>1</v>
      </c>
      <c r="T201" s="7" t="n">
        <v>7</v>
      </c>
      <c r="U201" s="7" t="n">
        <v>0</v>
      </c>
      <c r="V201" s="7" t="n">
        <v>0</v>
      </c>
    </row>
    <row r="202" customFormat="false" ht="15" hidden="false" customHeight="false" outlineLevel="0" collapsed="false">
      <c r="A202" s="4" t="s">
        <v>959</v>
      </c>
      <c r="B202" s="4" t="str">
        <f aca="false">IF(AND(I202&gt;='Read Me &amp; Markers'!$B$18,J202&gt;='Read Me &amp; Markers'!$B$19,L202&gt;='Read Me &amp; Markers'!$B$20),"A. Proven winner",IF(AND(I202&gt;='Read Me &amp; Markers'!$B$18,J202&gt;='Read Me &amp; Markers'!$B$19,L202&gt;='Read Me &amp; Markers'!$B$21),"B. Strong performer",IF(AND(I202&gt;='Read Me &amp; Markers'!$B$22,L202&gt;='Read Me &amp; Markers'!$B$23),"C. Scale workhorse",IF(AND(I202&gt;='Read Me &amp; Markers'!$B$24,I202&lt;'Read Me &amp; Markers'!$B$18,J202&gt;='Read Me &amp; Markers'!$B$25,L202&gt;='Read Me &amp; Markers'!$B$26),"D. Promising (needs more spend)",""))))</f>
        <v/>
      </c>
      <c r="C202" s="4" t="s">
        <v>960</v>
      </c>
      <c r="D202" s="4" t="s">
        <v>109</v>
      </c>
      <c r="E202" s="4" t="s">
        <v>435</v>
      </c>
      <c r="F202" s="4" t="s">
        <v>87</v>
      </c>
      <c r="G202" s="4" t="s">
        <v>436</v>
      </c>
      <c r="H202" s="4" t="s">
        <v>961</v>
      </c>
      <c r="I202" s="5" t="n">
        <v>189.72</v>
      </c>
      <c r="J202" s="7" t="n">
        <v>4</v>
      </c>
      <c r="K202" s="5" t="n">
        <v>197.84</v>
      </c>
      <c r="L202" s="8" t="n">
        <v>1.0428</v>
      </c>
      <c r="M202" s="9" t="n">
        <v>47.43</v>
      </c>
      <c r="N202" s="10" t="n">
        <v>0.02474987</v>
      </c>
      <c r="O202" s="5" t="n">
        <v>99.91</v>
      </c>
      <c r="P202" s="11" t="n">
        <v>1.198864</v>
      </c>
      <c r="Q202" s="7" t="n">
        <v>1899</v>
      </c>
      <c r="R202" s="7" t="n">
        <v>47</v>
      </c>
      <c r="S202" s="7" t="n">
        <v>3</v>
      </c>
      <c r="T202" s="7" t="n">
        <v>11</v>
      </c>
      <c r="U202" s="7" t="n">
        <v>1826</v>
      </c>
      <c r="V202" s="7" t="n">
        <v>442</v>
      </c>
    </row>
    <row r="203" customFormat="false" ht="15" hidden="false" customHeight="false" outlineLevel="0" collapsed="false">
      <c r="A203" s="4" t="s">
        <v>962</v>
      </c>
      <c r="B203" s="4" t="str">
        <f aca="false">IF(AND(I203&gt;='Read Me &amp; Markers'!$B$18,J203&gt;='Read Me &amp; Markers'!$B$19,L203&gt;='Read Me &amp; Markers'!$B$20),"A. Proven winner",IF(AND(I203&gt;='Read Me &amp; Markers'!$B$18,J203&gt;='Read Me &amp; Markers'!$B$19,L203&gt;='Read Me &amp; Markers'!$B$21),"B. Strong performer",IF(AND(I203&gt;='Read Me &amp; Markers'!$B$22,L203&gt;='Read Me &amp; Markers'!$B$23),"C. Scale workhorse",IF(AND(I203&gt;='Read Me &amp; Markers'!$B$24,I203&lt;'Read Me &amp; Markers'!$B$18,J203&gt;='Read Me &amp; Markers'!$B$25,L203&gt;='Read Me &amp; Markers'!$B$26),"D. Promising (needs more spend)",""))))</f>
        <v/>
      </c>
      <c r="C203" s="4" t="s">
        <v>963</v>
      </c>
      <c r="D203" s="4" t="s">
        <v>228</v>
      </c>
      <c r="E203" s="4" t="s">
        <v>964</v>
      </c>
      <c r="F203" s="4" t="s">
        <v>230</v>
      </c>
      <c r="G203" s="4" t="s">
        <v>508</v>
      </c>
      <c r="H203" s="4" t="s">
        <v>965</v>
      </c>
      <c r="I203" s="5" t="n">
        <v>188.57</v>
      </c>
      <c r="J203" s="7" t="n">
        <v>1</v>
      </c>
      <c r="K203" s="5" t="n">
        <v>69.95</v>
      </c>
      <c r="L203" s="8" t="n">
        <v>0.37095</v>
      </c>
      <c r="M203" s="9" t="n">
        <v>188.57</v>
      </c>
      <c r="N203" s="10" t="n">
        <v>0.03005008</v>
      </c>
      <c r="O203" s="5" t="n">
        <v>52.47</v>
      </c>
      <c r="P203" s="11" t="n">
        <v>1.616007</v>
      </c>
      <c r="Q203" s="7" t="n">
        <v>3594</v>
      </c>
      <c r="R203" s="7" t="n">
        <v>108</v>
      </c>
      <c r="S203" s="7" t="n">
        <v>3</v>
      </c>
      <c r="T203" s="7" t="n">
        <v>9</v>
      </c>
      <c r="U203" s="7" t="n">
        <v>0</v>
      </c>
      <c r="V203" s="7" t="n">
        <v>0</v>
      </c>
    </row>
    <row r="204" customFormat="false" ht="15" hidden="false" customHeight="false" outlineLevel="0" collapsed="false">
      <c r="A204" s="4" t="s">
        <v>966</v>
      </c>
      <c r="B204" s="4" t="str">
        <f aca="false">IF(AND(I204&gt;='Read Me &amp; Markers'!$B$18,J204&gt;='Read Me &amp; Markers'!$B$19,L204&gt;='Read Me &amp; Markers'!$B$20),"A. Proven winner",IF(AND(I204&gt;='Read Me &amp; Markers'!$B$18,J204&gt;='Read Me &amp; Markers'!$B$19,L204&gt;='Read Me &amp; Markers'!$B$21),"B. Strong performer",IF(AND(I204&gt;='Read Me &amp; Markers'!$B$22,L204&gt;='Read Me &amp; Markers'!$B$23),"C. Scale workhorse",IF(AND(I204&gt;='Read Me &amp; Markers'!$B$24,I204&lt;'Read Me &amp; Markers'!$B$18,J204&gt;='Read Me &amp; Markers'!$B$25,L204&gt;='Read Me &amp; Markers'!$B$26),"D. Promising (needs more spend)",""))))</f>
        <v/>
      </c>
      <c r="C204" s="4" t="s">
        <v>121</v>
      </c>
      <c r="D204" s="4" t="s">
        <v>100</v>
      </c>
      <c r="E204" s="4" t="s">
        <v>611</v>
      </c>
      <c r="F204" s="4" t="s">
        <v>87</v>
      </c>
      <c r="G204" s="4" t="s">
        <v>188</v>
      </c>
      <c r="H204" s="4" t="s">
        <v>967</v>
      </c>
      <c r="I204" s="5" t="n">
        <v>187.37</v>
      </c>
      <c r="J204" s="7" t="n">
        <v>2</v>
      </c>
      <c r="K204" s="5" t="n">
        <v>179.92</v>
      </c>
      <c r="L204" s="8" t="n">
        <v>0.960239</v>
      </c>
      <c r="M204" s="9" t="n">
        <v>93.69</v>
      </c>
      <c r="N204" s="10" t="n">
        <v>0.02631579</v>
      </c>
      <c r="O204" s="5" t="n">
        <v>61.63</v>
      </c>
      <c r="P204" s="11" t="n">
        <v>1.177838</v>
      </c>
      <c r="Q204" s="7" t="n">
        <v>3040</v>
      </c>
      <c r="R204" s="7" t="n">
        <v>80</v>
      </c>
      <c r="S204" s="7" t="n">
        <v>15</v>
      </c>
      <c r="T204" s="7" t="n">
        <v>10</v>
      </c>
      <c r="U204" s="7" t="n">
        <v>2437</v>
      </c>
      <c r="V204" s="7" t="n">
        <v>95</v>
      </c>
    </row>
    <row r="205" customFormat="false" ht="15" hidden="false" customHeight="false" outlineLevel="0" collapsed="false">
      <c r="A205" s="4" t="s">
        <v>968</v>
      </c>
      <c r="B205" s="4" t="str">
        <f aca="false">IF(AND(I205&gt;='Read Me &amp; Markers'!$B$18,J205&gt;='Read Me &amp; Markers'!$B$19,L205&gt;='Read Me &amp; Markers'!$B$20),"A. Proven winner",IF(AND(I205&gt;='Read Me &amp; Markers'!$B$18,J205&gt;='Read Me &amp; Markers'!$B$19,L205&gt;='Read Me &amp; Markers'!$B$21),"B. Strong performer",IF(AND(I205&gt;='Read Me &amp; Markers'!$B$22,L205&gt;='Read Me &amp; Markers'!$B$23),"C. Scale workhorse",IF(AND(I205&gt;='Read Me &amp; Markers'!$B$24,I205&lt;'Read Me &amp; Markers'!$B$18,J205&gt;='Read Me &amp; Markers'!$B$25,L205&gt;='Read Me &amp; Markers'!$B$26),"D. Promising (needs more spend)",""))))</f>
        <v/>
      </c>
      <c r="C205" s="4" t="s">
        <v>969</v>
      </c>
      <c r="D205" s="4" t="s">
        <v>109</v>
      </c>
      <c r="E205" s="4" t="s">
        <v>429</v>
      </c>
      <c r="F205" s="4" t="s">
        <v>172</v>
      </c>
      <c r="G205" s="4" t="s">
        <v>431</v>
      </c>
      <c r="H205" s="4" t="s">
        <v>970</v>
      </c>
      <c r="I205" s="5" t="n">
        <v>185.61</v>
      </c>
      <c r="J205" s="7" t="n">
        <v>0</v>
      </c>
      <c r="K205" s="5" t="n">
        <v>0</v>
      </c>
      <c r="L205" s="8" t="n">
        <v>0</v>
      </c>
      <c r="M205" s="9" t="n">
        <v>0</v>
      </c>
      <c r="N205" s="10" t="n">
        <v>0.04857143</v>
      </c>
      <c r="O205" s="5" t="n">
        <v>132.58</v>
      </c>
      <c r="P205" s="11" t="n">
        <v>1.210026</v>
      </c>
      <c r="Q205" s="7" t="n">
        <v>1400</v>
      </c>
      <c r="R205" s="7" t="n">
        <v>68</v>
      </c>
      <c r="S205" s="7" t="n">
        <v>2</v>
      </c>
      <c r="T205" s="7" t="n">
        <v>5</v>
      </c>
      <c r="U205" s="7" t="n">
        <v>1353</v>
      </c>
      <c r="V205" s="7" t="n">
        <v>349</v>
      </c>
    </row>
    <row r="206" customFormat="false" ht="15" hidden="false" customHeight="false" outlineLevel="0" collapsed="false">
      <c r="A206" s="4" t="s">
        <v>971</v>
      </c>
      <c r="B206" s="4" t="str">
        <f aca="false">IF(AND(I206&gt;='Read Me &amp; Markers'!$B$18,J206&gt;='Read Me &amp; Markers'!$B$19,L206&gt;='Read Me &amp; Markers'!$B$20),"A. Proven winner",IF(AND(I206&gt;='Read Me &amp; Markers'!$B$18,J206&gt;='Read Me &amp; Markers'!$B$19,L206&gt;='Read Me &amp; Markers'!$B$21),"B. Strong performer",IF(AND(I206&gt;='Read Me &amp; Markers'!$B$22,L206&gt;='Read Me &amp; Markers'!$B$23),"C. Scale workhorse",IF(AND(I206&gt;='Read Me &amp; Markers'!$B$24,I206&lt;'Read Me &amp; Markers'!$B$18,J206&gt;='Read Me &amp; Markers'!$B$25,L206&gt;='Read Me &amp; Markers'!$B$26),"D. Promising (needs more spend)",""))))</f>
        <v/>
      </c>
      <c r="C206" s="4" t="s">
        <v>972</v>
      </c>
      <c r="D206" s="4" t="s">
        <v>109</v>
      </c>
      <c r="E206" s="4" t="s">
        <v>747</v>
      </c>
      <c r="F206" s="4" t="s">
        <v>87</v>
      </c>
      <c r="G206" s="4" t="s">
        <v>583</v>
      </c>
      <c r="H206" s="4" t="s">
        <v>973</v>
      </c>
      <c r="I206" s="5" t="n">
        <v>185.53</v>
      </c>
      <c r="J206" s="7" t="n">
        <v>3</v>
      </c>
      <c r="K206" s="5" t="n">
        <v>219.92</v>
      </c>
      <c r="L206" s="8" t="n">
        <v>1.185361</v>
      </c>
      <c r="M206" s="9" t="n">
        <v>61.84</v>
      </c>
      <c r="N206" s="10" t="n">
        <v>0.0336441</v>
      </c>
      <c r="O206" s="5" t="n">
        <v>75.2</v>
      </c>
      <c r="P206" s="11" t="n">
        <v>1.337127</v>
      </c>
      <c r="Q206" s="7" t="n">
        <v>2467</v>
      </c>
      <c r="R206" s="7" t="n">
        <v>83</v>
      </c>
      <c r="S206" s="7" t="n">
        <v>9</v>
      </c>
      <c r="T206" s="7" t="n">
        <v>5</v>
      </c>
      <c r="U206" s="7" t="n">
        <v>0</v>
      </c>
      <c r="V206" s="7" t="n">
        <v>0</v>
      </c>
    </row>
    <row r="207" customFormat="false" ht="15" hidden="false" customHeight="false" outlineLevel="0" collapsed="false">
      <c r="A207" s="4" t="s">
        <v>974</v>
      </c>
      <c r="B207" s="4" t="str">
        <f aca="false">IF(AND(I207&gt;='Read Me &amp; Markers'!$B$18,J207&gt;='Read Me &amp; Markers'!$B$19,L207&gt;='Read Me &amp; Markers'!$B$20),"A. Proven winner",IF(AND(I207&gt;='Read Me &amp; Markers'!$B$18,J207&gt;='Read Me &amp; Markers'!$B$19,L207&gt;='Read Me &amp; Markers'!$B$21),"B. Strong performer",IF(AND(I207&gt;='Read Me &amp; Markers'!$B$22,L207&gt;='Read Me &amp; Markers'!$B$23),"C. Scale workhorse",IF(AND(I207&gt;='Read Me &amp; Markers'!$B$24,I207&lt;'Read Me &amp; Markers'!$B$18,J207&gt;='Read Me &amp; Markers'!$B$25,L207&gt;='Read Me &amp; Markers'!$B$26),"D. Promising (needs more spend)",""))))</f>
        <v/>
      </c>
      <c r="C207" s="4" t="s">
        <v>975</v>
      </c>
      <c r="D207" s="4" t="s">
        <v>109</v>
      </c>
      <c r="E207" s="4" t="s">
        <v>429</v>
      </c>
      <c r="F207" s="4" t="s">
        <v>87</v>
      </c>
      <c r="G207" s="4" t="s">
        <v>431</v>
      </c>
      <c r="H207" s="4" t="s">
        <v>976</v>
      </c>
      <c r="I207" s="5" t="n">
        <v>185.11</v>
      </c>
      <c r="J207" s="7" t="n">
        <v>0</v>
      </c>
      <c r="K207" s="5" t="n">
        <v>0</v>
      </c>
      <c r="L207" s="8" t="n">
        <v>0</v>
      </c>
      <c r="M207" s="9" t="n">
        <v>0</v>
      </c>
      <c r="N207" s="10" t="n">
        <v>0.00825715</v>
      </c>
      <c r="O207" s="5" t="n">
        <v>54.59</v>
      </c>
      <c r="P207" s="11" t="n">
        <v>1.778186</v>
      </c>
      <c r="Q207" s="7" t="n">
        <v>3391</v>
      </c>
      <c r="R207" s="7" t="n">
        <v>28</v>
      </c>
      <c r="S207" s="7" t="n">
        <v>1</v>
      </c>
      <c r="T207" s="7" t="n">
        <v>2</v>
      </c>
      <c r="U207" s="7" t="n">
        <v>54</v>
      </c>
      <c r="V207" s="7" t="n">
        <v>1</v>
      </c>
    </row>
    <row r="208" customFormat="false" ht="15" hidden="false" customHeight="false" outlineLevel="0" collapsed="false">
      <c r="A208" s="4" t="s">
        <v>977</v>
      </c>
      <c r="B208" s="4" t="str">
        <f aca="false">IF(AND(I208&gt;='Read Me &amp; Markers'!$B$18,J208&gt;='Read Me &amp; Markers'!$B$19,L208&gt;='Read Me &amp; Markers'!$B$20),"A. Proven winner",IF(AND(I208&gt;='Read Me &amp; Markers'!$B$18,J208&gt;='Read Me &amp; Markers'!$B$19,L208&gt;='Read Me &amp; Markers'!$B$21),"B. Strong performer",IF(AND(I208&gt;='Read Me &amp; Markers'!$B$22,L208&gt;='Read Me &amp; Markers'!$B$23),"C. Scale workhorse",IF(AND(I208&gt;='Read Me &amp; Markers'!$B$24,I208&lt;'Read Me &amp; Markers'!$B$18,J208&gt;='Read Me &amp; Markers'!$B$25,L208&gt;='Read Me &amp; Markers'!$B$26),"D. Promising (needs more spend)",""))))</f>
        <v/>
      </c>
      <c r="C208" s="4" t="s">
        <v>978</v>
      </c>
      <c r="D208" s="4" t="s">
        <v>109</v>
      </c>
      <c r="E208" s="4" t="s">
        <v>979</v>
      </c>
      <c r="F208" s="4" t="s">
        <v>87</v>
      </c>
      <c r="G208" s="4" t="s">
        <v>659</v>
      </c>
      <c r="H208" s="4" t="s">
        <v>980</v>
      </c>
      <c r="I208" s="5" t="n">
        <v>184.19</v>
      </c>
      <c r="J208" s="7" t="n">
        <v>3</v>
      </c>
      <c r="K208" s="5" t="n">
        <v>225.9</v>
      </c>
      <c r="L208" s="8" t="n">
        <v>1.226451</v>
      </c>
      <c r="M208" s="9" t="n">
        <v>61.4</v>
      </c>
      <c r="N208" s="10" t="n">
        <v>0.01665103</v>
      </c>
      <c r="O208" s="5" t="n">
        <v>43.2</v>
      </c>
      <c r="P208" s="11" t="n">
        <v>1.386667</v>
      </c>
      <c r="Q208" s="7" t="n">
        <v>4264</v>
      </c>
      <c r="R208" s="7" t="n">
        <v>71</v>
      </c>
      <c r="S208" s="7" t="n">
        <v>3</v>
      </c>
      <c r="T208" s="7" t="n">
        <v>8</v>
      </c>
      <c r="U208" s="7" t="n">
        <v>0</v>
      </c>
      <c r="V208" s="7" t="n">
        <v>0</v>
      </c>
    </row>
    <row r="209" customFormat="false" ht="15" hidden="false" customHeight="false" outlineLevel="0" collapsed="false">
      <c r="A209" s="4" t="s">
        <v>981</v>
      </c>
      <c r="B209" s="4" t="str">
        <f aca="false">IF(AND(I209&gt;='Read Me &amp; Markers'!$B$18,J209&gt;='Read Me &amp; Markers'!$B$19,L209&gt;='Read Me &amp; Markers'!$B$20),"A. Proven winner",IF(AND(I209&gt;='Read Me &amp; Markers'!$B$18,J209&gt;='Read Me &amp; Markers'!$B$19,L209&gt;='Read Me &amp; Markers'!$B$21),"B. Strong performer",IF(AND(I209&gt;='Read Me &amp; Markers'!$B$22,L209&gt;='Read Me &amp; Markers'!$B$23),"C. Scale workhorse",IF(AND(I209&gt;='Read Me &amp; Markers'!$B$24,I209&lt;'Read Me &amp; Markers'!$B$18,J209&gt;='Read Me &amp; Markers'!$B$25,L209&gt;='Read Me &amp; Markers'!$B$26),"D. Promising (needs more spend)",""))))</f>
        <v/>
      </c>
      <c r="C209" s="4" t="s">
        <v>982</v>
      </c>
      <c r="D209" s="4" t="s">
        <v>100</v>
      </c>
      <c r="E209" s="4" t="s">
        <v>983</v>
      </c>
      <c r="F209" s="4" t="s">
        <v>87</v>
      </c>
      <c r="G209" s="4" t="s">
        <v>984</v>
      </c>
      <c r="H209" s="4" t="s">
        <v>985</v>
      </c>
      <c r="I209" s="5" t="n">
        <v>183.76</v>
      </c>
      <c r="J209" s="7" t="n">
        <v>1</v>
      </c>
      <c r="K209" s="5" t="n">
        <v>84.77</v>
      </c>
      <c r="L209" s="8" t="n">
        <v>0.461308</v>
      </c>
      <c r="M209" s="9" t="n">
        <v>183.76</v>
      </c>
      <c r="N209" s="10" t="n">
        <v>0.01332346</v>
      </c>
      <c r="O209" s="5" t="n">
        <v>68.01</v>
      </c>
      <c r="P209" s="11" t="n">
        <v>1.298414</v>
      </c>
      <c r="Q209" s="7" t="n">
        <v>2702</v>
      </c>
      <c r="R209" s="7" t="n">
        <v>36</v>
      </c>
      <c r="S209" s="7" t="n">
        <v>6</v>
      </c>
      <c r="T209" s="7" t="n">
        <v>5</v>
      </c>
      <c r="U209" s="7" t="n">
        <v>0</v>
      </c>
      <c r="V209" s="7" t="n">
        <v>0</v>
      </c>
    </row>
    <row r="210" customFormat="false" ht="15" hidden="false" customHeight="false" outlineLevel="0" collapsed="false">
      <c r="A210" s="4" t="s">
        <v>986</v>
      </c>
      <c r="B210" s="4" t="str">
        <f aca="false">IF(AND(I210&gt;='Read Me &amp; Markers'!$B$18,J210&gt;='Read Me &amp; Markers'!$B$19,L210&gt;='Read Me &amp; Markers'!$B$20),"A. Proven winner",IF(AND(I210&gt;='Read Me &amp; Markers'!$B$18,J210&gt;='Read Me &amp; Markers'!$B$19,L210&gt;='Read Me &amp; Markers'!$B$21),"B. Strong performer",IF(AND(I210&gt;='Read Me &amp; Markers'!$B$22,L210&gt;='Read Me &amp; Markers'!$B$23),"C. Scale workhorse",IF(AND(I210&gt;='Read Me &amp; Markers'!$B$24,I210&lt;'Read Me &amp; Markers'!$B$18,J210&gt;='Read Me &amp; Markers'!$B$25,L210&gt;='Read Me &amp; Markers'!$B$26),"D. Promising (needs more spend)",""))))</f>
        <v/>
      </c>
      <c r="C210" s="4" t="s">
        <v>83</v>
      </c>
      <c r="D210" s="4" t="s">
        <v>228</v>
      </c>
      <c r="E210" s="4" t="s">
        <v>987</v>
      </c>
      <c r="F210" s="4" t="s">
        <v>230</v>
      </c>
      <c r="G210" s="4" t="s">
        <v>262</v>
      </c>
      <c r="H210" s="4" t="s">
        <v>988</v>
      </c>
      <c r="I210" s="5" t="n">
        <v>183.6</v>
      </c>
      <c r="J210" s="7" t="n">
        <v>2</v>
      </c>
      <c r="K210" s="5" t="n">
        <v>130.72</v>
      </c>
      <c r="L210" s="8" t="n">
        <v>0.711983</v>
      </c>
      <c r="M210" s="9" t="n">
        <v>91.8</v>
      </c>
      <c r="N210" s="10" t="n">
        <v>0.04756815</v>
      </c>
      <c r="O210" s="5" t="n">
        <v>98.13</v>
      </c>
      <c r="P210" s="11" t="n">
        <v>1.112366</v>
      </c>
      <c r="Q210" s="7" t="n">
        <v>1871</v>
      </c>
      <c r="R210" s="7" t="n">
        <v>89</v>
      </c>
      <c r="S210" s="7" t="n">
        <v>2</v>
      </c>
      <c r="T210" s="7" t="n">
        <v>7</v>
      </c>
      <c r="U210" s="7" t="n">
        <v>1789</v>
      </c>
      <c r="V210" s="7" t="n">
        <v>416</v>
      </c>
    </row>
    <row r="211" customFormat="false" ht="15" hidden="false" customHeight="false" outlineLevel="0" collapsed="false">
      <c r="A211" s="4" t="s">
        <v>989</v>
      </c>
      <c r="B211" s="4" t="str">
        <f aca="false">IF(AND(I211&gt;='Read Me &amp; Markers'!$B$18,J211&gt;='Read Me &amp; Markers'!$B$19,L211&gt;='Read Me &amp; Markers'!$B$20),"A. Proven winner",IF(AND(I211&gt;='Read Me &amp; Markers'!$B$18,J211&gt;='Read Me &amp; Markers'!$B$19,L211&gt;='Read Me &amp; Markers'!$B$21),"B. Strong performer",IF(AND(I211&gt;='Read Me &amp; Markers'!$B$22,L211&gt;='Read Me &amp; Markers'!$B$23),"C. Scale workhorse",IF(AND(I211&gt;='Read Me &amp; Markers'!$B$24,I211&lt;'Read Me &amp; Markers'!$B$18,J211&gt;='Read Me &amp; Markers'!$B$25,L211&gt;='Read Me &amp; Markers'!$B$26),"D. Promising (needs more spend)",""))))</f>
        <v/>
      </c>
      <c r="C211" s="4" t="s">
        <v>226</v>
      </c>
      <c r="D211" s="4" t="s">
        <v>228</v>
      </c>
      <c r="E211" s="4" t="s">
        <v>990</v>
      </c>
      <c r="F211" s="4" t="s">
        <v>230</v>
      </c>
      <c r="G211" s="4" t="s">
        <v>262</v>
      </c>
      <c r="H211" s="4" t="s">
        <v>991</v>
      </c>
      <c r="I211" s="5" t="n">
        <v>183.45</v>
      </c>
      <c r="J211" s="7" t="n">
        <v>2</v>
      </c>
      <c r="K211" s="5" t="n">
        <v>124.74</v>
      </c>
      <c r="L211" s="8" t="n">
        <v>0.679967</v>
      </c>
      <c r="M211" s="9" t="n">
        <v>91.73</v>
      </c>
      <c r="N211" s="10" t="n">
        <v>0.04631295</v>
      </c>
      <c r="O211" s="5" t="n">
        <v>82.49</v>
      </c>
      <c r="P211" s="11" t="n">
        <v>1.489618</v>
      </c>
      <c r="Q211" s="7" t="n">
        <v>2224</v>
      </c>
      <c r="R211" s="7" t="n">
        <v>103</v>
      </c>
      <c r="S211" s="7" t="n">
        <v>6</v>
      </c>
      <c r="T211" s="7" t="n">
        <v>7</v>
      </c>
      <c r="U211" s="7" t="n">
        <v>1959</v>
      </c>
      <c r="V211" s="7" t="n">
        <v>133</v>
      </c>
    </row>
    <row r="212" customFormat="false" ht="15" hidden="false" customHeight="false" outlineLevel="0" collapsed="false">
      <c r="A212" s="4" t="s">
        <v>992</v>
      </c>
      <c r="B212" s="4" t="str">
        <f aca="false">IF(AND(I212&gt;='Read Me &amp; Markers'!$B$18,J212&gt;='Read Me &amp; Markers'!$B$19,L212&gt;='Read Me &amp; Markers'!$B$20),"A. Proven winner",IF(AND(I212&gt;='Read Me &amp; Markers'!$B$18,J212&gt;='Read Me &amp; Markers'!$B$19,L212&gt;='Read Me &amp; Markers'!$B$21),"B. Strong performer",IF(AND(I212&gt;='Read Me &amp; Markers'!$B$22,L212&gt;='Read Me &amp; Markers'!$B$23),"C. Scale workhorse",IF(AND(I212&gt;='Read Me &amp; Markers'!$B$24,I212&lt;'Read Me &amp; Markers'!$B$18,J212&gt;='Read Me &amp; Markers'!$B$25,L212&gt;='Read Me &amp; Markers'!$B$26),"D. Promising (needs more spend)",""))))</f>
        <v/>
      </c>
      <c r="C212" s="4" t="s">
        <v>993</v>
      </c>
      <c r="D212" s="4" t="s">
        <v>109</v>
      </c>
      <c r="E212" s="4" t="s">
        <v>994</v>
      </c>
      <c r="F212" s="4" t="s">
        <v>87</v>
      </c>
      <c r="G212" s="4" t="s">
        <v>378</v>
      </c>
      <c r="H212" s="4" t="s">
        <v>995</v>
      </c>
      <c r="I212" s="5" t="n">
        <v>183.39</v>
      </c>
      <c r="J212" s="7" t="n">
        <v>3</v>
      </c>
      <c r="K212" s="5" t="n">
        <v>170.69</v>
      </c>
      <c r="L212" s="8" t="n">
        <v>0.930749</v>
      </c>
      <c r="M212" s="9" t="n">
        <v>61.13</v>
      </c>
      <c r="N212" s="10" t="n">
        <v>0.0240678</v>
      </c>
      <c r="O212" s="5" t="n">
        <v>62.17</v>
      </c>
      <c r="P212" s="11" t="n">
        <v>1.512821</v>
      </c>
      <c r="Q212" s="7" t="n">
        <v>2950</v>
      </c>
      <c r="R212" s="7" t="n">
        <v>71</v>
      </c>
      <c r="S212" s="7" t="n">
        <v>3</v>
      </c>
      <c r="T212" s="7" t="n">
        <v>10</v>
      </c>
      <c r="U212" s="7" t="n">
        <v>0</v>
      </c>
      <c r="V212" s="7" t="n">
        <v>0</v>
      </c>
    </row>
    <row r="213" customFormat="false" ht="15" hidden="false" customHeight="false" outlineLevel="0" collapsed="false">
      <c r="A213" s="4" t="s">
        <v>996</v>
      </c>
      <c r="B213" s="4" t="str">
        <f aca="false">IF(AND(I213&gt;='Read Me &amp; Markers'!$B$18,J213&gt;='Read Me &amp; Markers'!$B$19,L213&gt;='Read Me &amp; Markers'!$B$20),"A. Proven winner",IF(AND(I213&gt;='Read Me &amp; Markers'!$B$18,J213&gt;='Read Me &amp; Markers'!$B$19,L213&gt;='Read Me &amp; Markers'!$B$21),"B. Strong performer",IF(AND(I213&gt;='Read Me &amp; Markers'!$B$22,L213&gt;='Read Me &amp; Markers'!$B$23),"C. Scale workhorse",IF(AND(I213&gt;='Read Me &amp; Markers'!$B$24,I213&lt;'Read Me &amp; Markers'!$B$18,J213&gt;='Read Me &amp; Markers'!$B$25,L213&gt;='Read Me &amp; Markers'!$B$26),"D. Promising (needs more spend)",""))))</f>
        <v/>
      </c>
      <c r="C213" s="4" t="s">
        <v>121</v>
      </c>
      <c r="D213" s="4" t="s">
        <v>528</v>
      </c>
      <c r="E213" s="4" t="s">
        <v>997</v>
      </c>
      <c r="F213" s="4" t="s">
        <v>230</v>
      </c>
      <c r="G213" s="4" t="s">
        <v>530</v>
      </c>
      <c r="H213" s="4" t="s">
        <v>998</v>
      </c>
      <c r="I213" s="5" t="n">
        <v>177.91</v>
      </c>
      <c r="J213" s="7" t="n">
        <v>2</v>
      </c>
      <c r="K213" s="5" t="n">
        <v>179.93</v>
      </c>
      <c r="L213" s="8" t="n">
        <v>1.011354</v>
      </c>
      <c r="M213" s="9" t="n">
        <v>88.96</v>
      </c>
      <c r="N213" s="10" t="n">
        <v>0.0919708</v>
      </c>
      <c r="O213" s="5" t="n">
        <v>129.86</v>
      </c>
      <c r="P213" s="11" t="n">
        <v>1.152229</v>
      </c>
      <c r="Q213" s="7" t="n">
        <v>1370</v>
      </c>
      <c r="R213" s="7" t="n">
        <v>126</v>
      </c>
      <c r="S213" s="7" t="n">
        <v>7</v>
      </c>
      <c r="T213" s="7" t="n">
        <v>4</v>
      </c>
      <c r="U213" s="7" t="n">
        <v>1303</v>
      </c>
      <c r="V213" s="7" t="n">
        <v>171</v>
      </c>
    </row>
    <row r="214" customFormat="false" ht="15" hidden="false" customHeight="false" outlineLevel="0" collapsed="false">
      <c r="A214" s="4" t="s">
        <v>999</v>
      </c>
      <c r="B214" s="4" t="str">
        <f aca="false">IF(AND(I214&gt;='Read Me &amp; Markers'!$B$18,J214&gt;='Read Me &amp; Markers'!$B$19,L214&gt;='Read Me &amp; Markers'!$B$20),"A. Proven winner",IF(AND(I214&gt;='Read Me &amp; Markers'!$B$18,J214&gt;='Read Me &amp; Markers'!$B$19,L214&gt;='Read Me &amp; Markers'!$B$21),"B. Strong performer",IF(AND(I214&gt;='Read Me &amp; Markers'!$B$22,L214&gt;='Read Me &amp; Markers'!$B$23),"C. Scale workhorse",IF(AND(I214&gt;='Read Me &amp; Markers'!$B$24,I214&lt;'Read Me &amp; Markers'!$B$18,J214&gt;='Read Me &amp; Markers'!$B$25,L214&gt;='Read Me &amp; Markers'!$B$26),"D. Promising (needs more spend)",""))))</f>
        <v/>
      </c>
      <c r="C214" s="4" t="s">
        <v>98</v>
      </c>
      <c r="D214" s="4" t="s">
        <v>100</v>
      </c>
      <c r="E214" s="4" t="s">
        <v>1000</v>
      </c>
      <c r="F214" s="4" t="s">
        <v>87</v>
      </c>
      <c r="G214" s="4" t="s">
        <v>941</v>
      </c>
      <c r="H214" s="4" t="s">
        <v>1001</v>
      </c>
      <c r="I214" s="5" t="n">
        <v>176.58</v>
      </c>
      <c r="J214" s="7" t="n">
        <v>4</v>
      </c>
      <c r="K214" s="5" t="n">
        <v>315.42</v>
      </c>
      <c r="L214" s="8" t="n">
        <v>1.786273</v>
      </c>
      <c r="M214" s="9" t="n">
        <v>44.15</v>
      </c>
      <c r="N214" s="10" t="n">
        <v>0.02503954</v>
      </c>
      <c r="O214" s="5" t="n">
        <v>46.54</v>
      </c>
      <c r="P214" s="11" t="n">
        <v>1.515781</v>
      </c>
      <c r="Q214" s="7" t="n">
        <v>3794</v>
      </c>
      <c r="R214" s="7" t="n">
        <v>95</v>
      </c>
      <c r="S214" s="7" t="n">
        <v>10</v>
      </c>
      <c r="T214" s="7" t="n">
        <v>5</v>
      </c>
      <c r="U214" s="7" t="n">
        <v>2938</v>
      </c>
      <c r="V214" s="7" t="n">
        <v>222</v>
      </c>
    </row>
    <row r="215" customFormat="false" ht="15" hidden="false" customHeight="false" outlineLevel="0" collapsed="false">
      <c r="A215" s="4" t="s">
        <v>1002</v>
      </c>
      <c r="B215" s="4" t="str">
        <f aca="false">IF(AND(I215&gt;='Read Me &amp; Markers'!$B$18,J215&gt;='Read Me &amp; Markers'!$B$19,L215&gt;='Read Me &amp; Markers'!$B$20),"A. Proven winner",IF(AND(I215&gt;='Read Me &amp; Markers'!$B$18,J215&gt;='Read Me &amp; Markers'!$B$19,L215&gt;='Read Me &amp; Markers'!$B$21),"B. Strong performer",IF(AND(I215&gt;='Read Me &amp; Markers'!$B$22,L215&gt;='Read Me &amp; Markers'!$B$23),"C. Scale workhorse",IF(AND(I215&gt;='Read Me &amp; Markers'!$B$24,I215&lt;'Read Me &amp; Markers'!$B$18,J215&gt;='Read Me &amp; Markers'!$B$25,L215&gt;='Read Me &amp; Markers'!$B$26),"D. Promising (needs more spend)",""))))</f>
        <v/>
      </c>
      <c r="C215" s="4" t="s">
        <v>1003</v>
      </c>
      <c r="D215" s="4" t="s">
        <v>528</v>
      </c>
      <c r="E215" s="4" t="s">
        <v>1004</v>
      </c>
      <c r="F215" s="4" t="s">
        <v>87</v>
      </c>
      <c r="G215" s="4" t="s">
        <v>530</v>
      </c>
      <c r="H215" s="4" t="s">
        <v>1005</v>
      </c>
      <c r="I215" s="5" t="n">
        <v>175.88</v>
      </c>
      <c r="J215" s="7" t="n">
        <v>0</v>
      </c>
      <c r="K215" s="5" t="n">
        <v>0</v>
      </c>
      <c r="L215" s="8" t="n">
        <v>0</v>
      </c>
      <c r="M215" s="9" t="n">
        <v>0</v>
      </c>
      <c r="N215" s="10" t="n">
        <v>0.02995507</v>
      </c>
      <c r="O215" s="5" t="n">
        <v>87.81</v>
      </c>
      <c r="P215" s="11" t="n">
        <v>1.147194</v>
      </c>
      <c r="Q215" s="7" t="n">
        <v>2003</v>
      </c>
      <c r="R215" s="7" t="n">
        <v>60</v>
      </c>
      <c r="S215" s="7" t="n">
        <v>6</v>
      </c>
      <c r="T215" s="7" t="n">
        <v>5</v>
      </c>
      <c r="U215" s="7" t="n">
        <v>1859</v>
      </c>
      <c r="V215" s="7" t="n">
        <v>121</v>
      </c>
    </row>
    <row r="216" customFormat="false" ht="15" hidden="false" customHeight="false" outlineLevel="0" collapsed="false">
      <c r="A216" s="4" t="s">
        <v>1006</v>
      </c>
      <c r="B216" s="4" t="str">
        <f aca="false">IF(AND(I216&gt;='Read Me &amp; Markers'!$B$18,J216&gt;='Read Me &amp; Markers'!$B$19,L216&gt;='Read Me &amp; Markers'!$B$20),"A. Proven winner",IF(AND(I216&gt;='Read Me &amp; Markers'!$B$18,J216&gt;='Read Me &amp; Markers'!$B$19,L216&gt;='Read Me &amp; Markers'!$B$21),"B. Strong performer",IF(AND(I216&gt;='Read Me &amp; Markers'!$B$22,L216&gt;='Read Me &amp; Markers'!$B$23),"C. Scale workhorse",IF(AND(I216&gt;='Read Me &amp; Markers'!$B$24,I216&lt;'Read Me &amp; Markers'!$B$18,J216&gt;='Read Me &amp; Markers'!$B$25,L216&gt;='Read Me &amp; Markers'!$B$26),"D. Promising (needs more spend)",""))))</f>
        <v/>
      </c>
      <c r="C216" s="4" t="s">
        <v>129</v>
      </c>
      <c r="D216" s="4" t="s">
        <v>100</v>
      </c>
      <c r="E216" s="4" t="s">
        <v>341</v>
      </c>
      <c r="F216" s="4" t="s">
        <v>87</v>
      </c>
      <c r="G216" s="4" t="s">
        <v>342</v>
      </c>
      <c r="H216" s="4" t="s">
        <v>1007</v>
      </c>
      <c r="I216" s="5" t="n">
        <v>175.71</v>
      </c>
      <c r="J216" s="7" t="n">
        <v>2</v>
      </c>
      <c r="K216" s="5" t="n">
        <v>108.33</v>
      </c>
      <c r="L216" s="8" t="n">
        <v>0.616527</v>
      </c>
      <c r="M216" s="9" t="n">
        <v>87.86</v>
      </c>
      <c r="N216" s="10" t="n">
        <v>0.04845815</v>
      </c>
      <c r="O216" s="5" t="n">
        <v>129.01</v>
      </c>
      <c r="P216" s="11" t="n">
        <v>1.138796</v>
      </c>
      <c r="Q216" s="7" t="n">
        <v>1362</v>
      </c>
      <c r="R216" s="7" t="n">
        <v>66</v>
      </c>
      <c r="S216" s="7" t="n">
        <v>13</v>
      </c>
      <c r="T216" s="7" t="n">
        <v>12</v>
      </c>
      <c r="U216" s="7" t="n">
        <v>1220</v>
      </c>
      <c r="V216" s="7" t="n">
        <v>286</v>
      </c>
    </row>
    <row r="217" customFormat="false" ht="15" hidden="false" customHeight="false" outlineLevel="0" collapsed="false">
      <c r="A217" s="4" t="s">
        <v>1008</v>
      </c>
      <c r="B217" s="4" t="str">
        <f aca="false">IF(AND(I217&gt;='Read Me &amp; Markers'!$B$18,J217&gt;='Read Me &amp; Markers'!$B$19,L217&gt;='Read Me &amp; Markers'!$B$20),"A. Proven winner",IF(AND(I217&gt;='Read Me &amp; Markers'!$B$18,J217&gt;='Read Me &amp; Markers'!$B$19,L217&gt;='Read Me &amp; Markers'!$B$21),"B. Strong performer",IF(AND(I217&gt;='Read Me &amp; Markers'!$B$22,L217&gt;='Read Me &amp; Markers'!$B$23),"C. Scale workhorse",IF(AND(I217&gt;='Read Me &amp; Markers'!$B$24,I217&lt;'Read Me &amp; Markers'!$B$18,J217&gt;='Read Me &amp; Markers'!$B$25,L217&gt;='Read Me &amp; Markers'!$B$26),"D. Promising (needs more spend)",""))))</f>
        <v/>
      </c>
      <c r="C217" s="4" t="s">
        <v>271</v>
      </c>
      <c r="D217" s="4" t="s">
        <v>228</v>
      </c>
      <c r="E217" s="4" t="s">
        <v>1009</v>
      </c>
      <c r="F217" s="4" t="s">
        <v>230</v>
      </c>
      <c r="G217" s="4" t="s">
        <v>262</v>
      </c>
      <c r="H217" s="4" t="s">
        <v>1010</v>
      </c>
      <c r="I217" s="5" t="n">
        <v>175.1</v>
      </c>
      <c r="J217" s="7" t="n">
        <v>1</v>
      </c>
      <c r="K217" s="5" t="n">
        <v>45.95</v>
      </c>
      <c r="L217" s="8" t="n">
        <v>0.262421</v>
      </c>
      <c r="M217" s="9" t="n">
        <v>175.1</v>
      </c>
      <c r="N217" s="10" t="n">
        <v>0.02015113</v>
      </c>
      <c r="O217" s="5" t="n">
        <v>88.21</v>
      </c>
      <c r="P217" s="11" t="n">
        <v>1.216299</v>
      </c>
      <c r="Q217" s="7" t="n">
        <v>1985</v>
      </c>
      <c r="R217" s="7" t="n">
        <v>40</v>
      </c>
      <c r="S217" s="7" t="n">
        <v>14</v>
      </c>
      <c r="T217" s="7" t="n">
        <v>9</v>
      </c>
      <c r="U217" s="7" t="n">
        <v>1859</v>
      </c>
      <c r="V217" s="7" t="n">
        <v>78</v>
      </c>
    </row>
    <row r="218" customFormat="false" ht="15" hidden="false" customHeight="false" outlineLevel="0" collapsed="false">
      <c r="A218" s="4" t="s">
        <v>1011</v>
      </c>
      <c r="B218" s="4" t="str">
        <f aca="false">IF(AND(I218&gt;='Read Me &amp; Markers'!$B$18,J218&gt;='Read Me &amp; Markers'!$B$19,L218&gt;='Read Me &amp; Markers'!$B$20),"A. Proven winner",IF(AND(I218&gt;='Read Me &amp; Markers'!$B$18,J218&gt;='Read Me &amp; Markers'!$B$19,L218&gt;='Read Me &amp; Markers'!$B$21),"B. Strong performer",IF(AND(I218&gt;='Read Me &amp; Markers'!$B$22,L218&gt;='Read Me &amp; Markers'!$B$23),"C. Scale workhorse",IF(AND(I218&gt;='Read Me &amp; Markers'!$B$24,I218&lt;'Read Me &amp; Markers'!$B$18,J218&gt;='Read Me &amp; Markers'!$B$25,L218&gt;='Read Me &amp; Markers'!$B$26),"D. Promising (needs more spend)",""))))</f>
        <v/>
      </c>
      <c r="C218" s="4" t="s">
        <v>1012</v>
      </c>
      <c r="D218" s="4" t="s">
        <v>109</v>
      </c>
      <c r="E218" s="4" t="s">
        <v>587</v>
      </c>
      <c r="F218" s="4" t="s">
        <v>87</v>
      </c>
      <c r="G218" s="4" t="s">
        <v>588</v>
      </c>
      <c r="H218" s="4" t="s">
        <v>1013</v>
      </c>
      <c r="I218" s="5" t="n">
        <v>173.9</v>
      </c>
      <c r="J218" s="7" t="n">
        <v>1</v>
      </c>
      <c r="K218" s="5" t="n">
        <v>45.95</v>
      </c>
      <c r="L218" s="8" t="n">
        <v>0.264232</v>
      </c>
      <c r="M218" s="9" t="n">
        <v>173.9</v>
      </c>
      <c r="N218" s="10" t="n">
        <v>0.03293413</v>
      </c>
      <c r="O218" s="5" t="n">
        <v>104.13</v>
      </c>
      <c r="P218" s="11" t="n">
        <v>1.365495</v>
      </c>
      <c r="Q218" s="7" t="n">
        <v>1670</v>
      </c>
      <c r="R218" s="7" t="n">
        <v>55</v>
      </c>
      <c r="S218" s="7" t="n">
        <v>4</v>
      </c>
      <c r="T218" s="7" t="n">
        <v>4</v>
      </c>
      <c r="U218" s="7" t="n">
        <v>1193</v>
      </c>
      <c r="V218" s="7" t="n">
        <v>192</v>
      </c>
    </row>
    <row r="219" customFormat="false" ht="15" hidden="false" customHeight="false" outlineLevel="0" collapsed="false">
      <c r="A219" s="4" t="s">
        <v>1014</v>
      </c>
      <c r="B219" s="4" t="str">
        <f aca="false">IF(AND(I219&gt;='Read Me &amp; Markers'!$B$18,J219&gt;='Read Me &amp; Markers'!$B$19,L219&gt;='Read Me &amp; Markers'!$B$20),"A. Proven winner",IF(AND(I219&gt;='Read Me &amp; Markers'!$B$18,J219&gt;='Read Me &amp; Markers'!$B$19,L219&gt;='Read Me &amp; Markers'!$B$21),"B. Strong performer",IF(AND(I219&gt;='Read Me &amp; Markers'!$B$22,L219&gt;='Read Me &amp; Markers'!$B$23),"C. Scale workhorse",IF(AND(I219&gt;='Read Me &amp; Markers'!$B$24,I219&lt;'Read Me &amp; Markers'!$B$18,J219&gt;='Read Me &amp; Markers'!$B$25,L219&gt;='Read Me &amp; Markers'!$B$26),"D. Promising (needs more spend)",""))))</f>
        <v/>
      </c>
      <c r="C219" s="4" t="s">
        <v>121</v>
      </c>
      <c r="D219" s="4" t="s">
        <v>100</v>
      </c>
      <c r="E219" s="4" t="s">
        <v>1015</v>
      </c>
      <c r="F219" s="4" t="s">
        <v>87</v>
      </c>
      <c r="G219" s="4" t="s">
        <v>650</v>
      </c>
      <c r="H219" s="4" t="s">
        <v>1016</v>
      </c>
      <c r="I219" s="5" t="n">
        <v>173.22</v>
      </c>
      <c r="J219" s="7" t="n">
        <v>3</v>
      </c>
      <c r="K219" s="5" t="n">
        <v>117.87</v>
      </c>
      <c r="L219" s="8" t="n">
        <v>0.680464</v>
      </c>
      <c r="M219" s="9" t="n">
        <v>57.74</v>
      </c>
      <c r="N219" s="10" t="n">
        <v>0.03042806</v>
      </c>
      <c r="O219" s="5" t="n">
        <v>89.33</v>
      </c>
      <c r="P219" s="11" t="n">
        <v>1.435233</v>
      </c>
      <c r="Q219" s="7" t="n">
        <v>1939</v>
      </c>
      <c r="R219" s="7" t="n">
        <v>59</v>
      </c>
      <c r="S219" s="7" t="n">
        <v>13</v>
      </c>
      <c r="T219" s="7" t="n">
        <v>9</v>
      </c>
      <c r="U219" s="7" t="n">
        <v>1746</v>
      </c>
      <c r="V219" s="7" t="n">
        <v>114</v>
      </c>
    </row>
    <row r="220" customFormat="false" ht="15" hidden="false" customHeight="false" outlineLevel="0" collapsed="false">
      <c r="A220" s="4" t="s">
        <v>1017</v>
      </c>
      <c r="B220" s="4" t="str">
        <f aca="false">IF(AND(I220&gt;='Read Me &amp; Markers'!$B$18,J220&gt;='Read Me &amp; Markers'!$B$19,L220&gt;='Read Me &amp; Markers'!$B$20),"A. Proven winner",IF(AND(I220&gt;='Read Me &amp; Markers'!$B$18,J220&gt;='Read Me &amp; Markers'!$B$19,L220&gt;='Read Me &amp; Markers'!$B$21),"B. Strong performer",IF(AND(I220&gt;='Read Me &amp; Markers'!$B$22,L220&gt;='Read Me &amp; Markers'!$B$23),"C. Scale workhorse",IF(AND(I220&gt;='Read Me &amp; Markers'!$B$24,I220&lt;'Read Me &amp; Markers'!$B$18,J220&gt;='Read Me &amp; Markers'!$B$25,L220&gt;='Read Me &amp; Markers'!$B$26),"D. Promising (needs more spend)",""))))</f>
        <v/>
      </c>
      <c r="C220" s="4" t="s">
        <v>1018</v>
      </c>
      <c r="D220" s="4" t="s">
        <v>109</v>
      </c>
      <c r="E220" s="4" t="s">
        <v>435</v>
      </c>
      <c r="F220" s="4" t="s">
        <v>111</v>
      </c>
      <c r="G220" s="4" t="s">
        <v>500</v>
      </c>
      <c r="H220" s="4" t="s">
        <v>1019</v>
      </c>
      <c r="I220" s="5" t="n">
        <v>173.21</v>
      </c>
      <c r="J220" s="7" t="n">
        <v>4</v>
      </c>
      <c r="K220" s="5" t="n">
        <v>220.22</v>
      </c>
      <c r="L220" s="8" t="n">
        <v>1.271405</v>
      </c>
      <c r="M220" s="9" t="n">
        <v>43.3</v>
      </c>
      <c r="N220" s="10" t="n">
        <v>0.0127295</v>
      </c>
      <c r="O220" s="5" t="n">
        <v>42.4</v>
      </c>
      <c r="P220" s="11" t="n">
        <v>1.774544</v>
      </c>
      <c r="Q220" s="7" t="n">
        <v>4085</v>
      </c>
      <c r="R220" s="7" t="n">
        <v>52</v>
      </c>
      <c r="S220" s="7" t="n">
        <v>3</v>
      </c>
      <c r="T220" s="7" t="n">
        <v>7</v>
      </c>
      <c r="U220" s="7" t="n">
        <v>0</v>
      </c>
      <c r="V220" s="7" t="n">
        <v>0</v>
      </c>
    </row>
    <row r="221" customFormat="false" ht="15" hidden="false" customHeight="false" outlineLevel="0" collapsed="false">
      <c r="A221" s="4" t="s">
        <v>1020</v>
      </c>
      <c r="B221" s="4" t="str">
        <f aca="false">IF(AND(I221&gt;='Read Me &amp; Markers'!$B$18,J221&gt;='Read Me &amp; Markers'!$B$19,L221&gt;='Read Me &amp; Markers'!$B$20),"A. Proven winner",IF(AND(I221&gt;='Read Me &amp; Markers'!$B$18,J221&gt;='Read Me &amp; Markers'!$B$19,L221&gt;='Read Me &amp; Markers'!$B$21),"B. Strong performer",IF(AND(I221&gt;='Read Me &amp; Markers'!$B$22,L221&gt;='Read Me &amp; Markers'!$B$23),"C. Scale workhorse",IF(AND(I221&gt;='Read Me &amp; Markers'!$B$24,I221&lt;'Read Me &amp; Markers'!$B$18,J221&gt;='Read Me &amp; Markers'!$B$25,L221&gt;='Read Me &amp; Markers'!$B$26),"D. Promising (needs more spend)",""))))</f>
        <v/>
      </c>
      <c r="C221" s="4" t="s">
        <v>169</v>
      </c>
      <c r="D221" s="4" t="s">
        <v>100</v>
      </c>
      <c r="E221" s="4" t="s">
        <v>1021</v>
      </c>
      <c r="F221" s="4" t="s">
        <v>87</v>
      </c>
      <c r="G221" s="4" t="s">
        <v>279</v>
      </c>
      <c r="H221" s="4" t="s">
        <v>1022</v>
      </c>
      <c r="I221" s="5" t="n">
        <v>172.48</v>
      </c>
      <c r="J221" s="7" t="n">
        <v>3</v>
      </c>
      <c r="K221" s="5" t="n">
        <v>166.89</v>
      </c>
      <c r="L221" s="8" t="n">
        <v>0.96759</v>
      </c>
      <c r="M221" s="9" t="n">
        <v>57.49</v>
      </c>
      <c r="N221" s="10" t="n">
        <v>0.08284024</v>
      </c>
      <c r="O221" s="5" t="n">
        <v>102.06</v>
      </c>
      <c r="P221" s="11" t="n">
        <v>1.143437</v>
      </c>
      <c r="Q221" s="7" t="n">
        <v>1690</v>
      </c>
      <c r="R221" s="7" t="n">
        <v>140</v>
      </c>
      <c r="S221" s="7" t="n">
        <v>16</v>
      </c>
      <c r="T221" s="7" t="n">
        <v>11</v>
      </c>
      <c r="U221" s="7" t="n">
        <v>1592</v>
      </c>
      <c r="V221" s="7" t="n">
        <v>367</v>
      </c>
    </row>
    <row r="222" customFormat="false" ht="15" hidden="false" customHeight="false" outlineLevel="0" collapsed="false">
      <c r="A222" s="4" t="s">
        <v>1023</v>
      </c>
      <c r="B222" s="4" t="str">
        <f aca="false">IF(AND(I222&gt;='Read Me &amp; Markers'!$B$18,J222&gt;='Read Me &amp; Markers'!$B$19,L222&gt;='Read Me &amp; Markers'!$B$20),"A. Proven winner",IF(AND(I222&gt;='Read Me &amp; Markers'!$B$18,J222&gt;='Read Me &amp; Markers'!$B$19,L222&gt;='Read Me &amp; Markers'!$B$21),"B. Strong performer",IF(AND(I222&gt;='Read Me &amp; Markers'!$B$22,L222&gt;='Read Me &amp; Markers'!$B$23),"C. Scale workhorse",IF(AND(I222&gt;='Read Me &amp; Markers'!$B$24,I222&lt;'Read Me &amp; Markers'!$B$18,J222&gt;='Read Me &amp; Markers'!$B$25,L222&gt;='Read Me &amp; Markers'!$B$26),"D. Promising (needs more spend)",""))))</f>
        <v/>
      </c>
      <c r="C222" s="4" t="s">
        <v>129</v>
      </c>
      <c r="D222" s="4" t="s">
        <v>100</v>
      </c>
      <c r="E222" s="4" t="s">
        <v>1021</v>
      </c>
      <c r="F222" s="4" t="s">
        <v>87</v>
      </c>
      <c r="G222" s="4" t="s">
        <v>279</v>
      </c>
      <c r="H222" s="4" t="s">
        <v>1024</v>
      </c>
      <c r="I222" s="5" t="n">
        <v>172.26</v>
      </c>
      <c r="J222" s="7" t="n">
        <v>3</v>
      </c>
      <c r="K222" s="5" t="n">
        <v>122.31</v>
      </c>
      <c r="L222" s="8" t="n">
        <v>0.710031</v>
      </c>
      <c r="M222" s="9" t="n">
        <v>57.42</v>
      </c>
      <c r="N222" s="10" t="n">
        <v>0.04960317</v>
      </c>
      <c r="O222" s="5" t="n">
        <v>85.45</v>
      </c>
      <c r="P222" s="11" t="n">
        <v>1.28</v>
      </c>
      <c r="Q222" s="7" t="n">
        <v>2016</v>
      </c>
      <c r="R222" s="7" t="n">
        <v>100</v>
      </c>
      <c r="S222" s="7" t="n">
        <v>14</v>
      </c>
      <c r="T222" s="7" t="n">
        <v>11</v>
      </c>
      <c r="U222" s="7" t="n">
        <v>1691</v>
      </c>
      <c r="V222" s="7" t="n">
        <v>187</v>
      </c>
    </row>
    <row r="223" customFormat="false" ht="15" hidden="false" customHeight="false" outlineLevel="0" collapsed="false">
      <c r="A223" s="4" t="s">
        <v>1025</v>
      </c>
      <c r="B223" s="4" t="str">
        <f aca="false">IF(AND(I223&gt;='Read Me &amp; Markers'!$B$18,J223&gt;='Read Me &amp; Markers'!$B$19,L223&gt;='Read Me &amp; Markers'!$B$20),"A. Proven winner",IF(AND(I223&gt;='Read Me &amp; Markers'!$B$18,J223&gt;='Read Me &amp; Markers'!$B$19,L223&gt;='Read Me &amp; Markers'!$B$21),"B. Strong performer",IF(AND(I223&gt;='Read Me &amp; Markers'!$B$22,L223&gt;='Read Me &amp; Markers'!$B$23),"C. Scale workhorse",IF(AND(I223&gt;='Read Me &amp; Markers'!$B$24,I223&lt;'Read Me &amp; Markers'!$B$18,J223&gt;='Read Me &amp; Markers'!$B$25,L223&gt;='Read Me &amp; Markers'!$B$26),"D. Promising (needs more spend)",""))))</f>
        <v/>
      </c>
      <c r="C223" s="4" t="s">
        <v>1026</v>
      </c>
      <c r="D223" s="4" t="s">
        <v>109</v>
      </c>
      <c r="E223" s="4" t="s">
        <v>715</v>
      </c>
      <c r="F223" s="4" t="s">
        <v>87</v>
      </c>
      <c r="G223" s="4" t="s">
        <v>583</v>
      </c>
      <c r="H223" s="4" t="s">
        <v>1027</v>
      </c>
      <c r="I223" s="5" t="n">
        <v>172.15</v>
      </c>
      <c r="J223" s="7" t="n">
        <v>3</v>
      </c>
      <c r="K223" s="5" t="n">
        <v>285.93</v>
      </c>
      <c r="L223" s="8" t="n">
        <v>1.660935</v>
      </c>
      <c r="M223" s="9" t="n">
        <v>57.38</v>
      </c>
      <c r="N223" s="10" t="n">
        <v>0.01796407</v>
      </c>
      <c r="O223" s="5" t="n">
        <v>60.64</v>
      </c>
      <c r="P223" s="11" t="n">
        <v>1.518182</v>
      </c>
      <c r="Q223" s="7" t="n">
        <v>2839</v>
      </c>
      <c r="R223" s="7" t="n">
        <v>51</v>
      </c>
      <c r="S223" s="7" t="n">
        <v>5</v>
      </c>
      <c r="T223" s="7" t="n">
        <v>3</v>
      </c>
      <c r="U223" s="7" t="n">
        <v>0</v>
      </c>
      <c r="V223" s="7" t="n">
        <v>0</v>
      </c>
    </row>
    <row r="224" customFormat="false" ht="15" hidden="false" customHeight="false" outlineLevel="0" collapsed="false">
      <c r="A224" s="4" t="s">
        <v>1028</v>
      </c>
      <c r="B224" s="4" t="str">
        <f aca="false">IF(AND(I224&gt;='Read Me &amp; Markers'!$B$18,J224&gt;='Read Me &amp; Markers'!$B$19,L224&gt;='Read Me &amp; Markers'!$B$20),"A. Proven winner",IF(AND(I224&gt;='Read Me &amp; Markers'!$B$18,J224&gt;='Read Me &amp; Markers'!$B$19,L224&gt;='Read Me &amp; Markers'!$B$21),"B. Strong performer",IF(AND(I224&gt;='Read Me &amp; Markers'!$B$22,L224&gt;='Read Me &amp; Markers'!$B$23),"C. Scale workhorse",IF(AND(I224&gt;='Read Me &amp; Markers'!$B$24,I224&lt;'Read Me &amp; Markers'!$B$18,J224&gt;='Read Me &amp; Markers'!$B$25,L224&gt;='Read Me &amp; Markers'!$B$26),"D. Promising (needs more spend)",""))))</f>
        <v/>
      </c>
      <c r="C224" s="4" t="s">
        <v>121</v>
      </c>
      <c r="D224" s="4" t="s">
        <v>100</v>
      </c>
      <c r="E224" s="4" t="s">
        <v>1029</v>
      </c>
      <c r="F224" s="4" t="s">
        <v>87</v>
      </c>
      <c r="G224" s="4" t="s">
        <v>623</v>
      </c>
      <c r="H224" s="4" t="s">
        <v>1030</v>
      </c>
      <c r="I224" s="5" t="n">
        <v>171.85</v>
      </c>
      <c r="J224" s="7" t="n">
        <v>4</v>
      </c>
      <c r="K224" s="5" t="n">
        <v>207.8</v>
      </c>
      <c r="L224" s="8" t="n">
        <v>1.209194</v>
      </c>
      <c r="M224" s="9" t="n">
        <v>42.96</v>
      </c>
      <c r="N224" s="10" t="n">
        <v>0.04850746</v>
      </c>
      <c r="O224" s="5" t="n">
        <v>106.87</v>
      </c>
      <c r="P224" s="11" t="n">
        <v>1.175439</v>
      </c>
      <c r="Q224" s="7" t="n">
        <v>1608</v>
      </c>
      <c r="R224" s="7" t="n">
        <v>78</v>
      </c>
      <c r="S224" s="7" t="n">
        <v>9</v>
      </c>
      <c r="T224" s="7" t="n">
        <v>9</v>
      </c>
      <c r="U224" s="7" t="n">
        <v>1484</v>
      </c>
      <c r="V224" s="7" t="n">
        <v>303</v>
      </c>
    </row>
    <row r="225" customFormat="false" ht="15" hidden="false" customHeight="false" outlineLevel="0" collapsed="false">
      <c r="A225" s="4" t="s">
        <v>1031</v>
      </c>
      <c r="B225" s="4" t="str">
        <f aca="false">IF(AND(I225&gt;='Read Me &amp; Markers'!$B$18,J225&gt;='Read Me &amp; Markers'!$B$19,L225&gt;='Read Me &amp; Markers'!$B$20),"A. Proven winner",IF(AND(I225&gt;='Read Me &amp; Markers'!$B$18,J225&gt;='Read Me &amp; Markers'!$B$19,L225&gt;='Read Me &amp; Markers'!$B$21),"B. Strong performer",IF(AND(I225&gt;='Read Me &amp; Markers'!$B$22,L225&gt;='Read Me &amp; Markers'!$B$23),"C. Scale workhorse",IF(AND(I225&gt;='Read Me &amp; Markers'!$B$24,I225&lt;'Read Me &amp; Markers'!$B$18,J225&gt;='Read Me &amp; Markers'!$B$25,L225&gt;='Read Me &amp; Markers'!$B$26),"D. Promising (needs more spend)",""))))</f>
        <v/>
      </c>
      <c r="C225" s="4" t="s">
        <v>169</v>
      </c>
      <c r="D225" s="4" t="s">
        <v>100</v>
      </c>
      <c r="E225" s="4" t="s">
        <v>1032</v>
      </c>
      <c r="F225" s="4" t="s">
        <v>87</v>
      </c>
      <c r="G225" s="4" t="s">
        <v>538</v>
      </c>
      <c r="H225" s="4" t="s">
        <v>1033</v>
      </c>
      <c r="I225" s="5" t="n">
        <v>171.38</v>
      </c>
      <c r="J225" s="7" t="n">
        <v>2</v>
      </c>
      <c r="K225" s="5" t="n">
        <v>91.88</v>
      </c>
      <c r="L225" s="8" t="n">
        <v>0.536119</v>
      </c>
      <c r="M225" s="9" t="n">
        <v>85.69</v>
      </c>
      <c r="N225" s="10" t="n">
        <v>0.0651097</v>
      </c>
      <c r="O225" s="5" t="n">
        <v>121.29</v>
      </c>
      <c r="P225" s="11" t="n">
        <v>1.048998</v>
      </c>
      <c r="Q225" s="7" t="n">
        <v>1413</v>
      </c>
      <c r="R225" s="7" t="n">
        <v>92</v>
      </c>
      <c r="S225" s="7" t="n">
        <v>11</v>
      </c>
      <c r="T225" s="7" t="n">
        <v>12</v>
      </c>
      <c r="U225" s="7" t="n">
        <v>1276</v>
      </c>
      <c r="V225" s="7" t="n">
        <v>365</v>
      </c>
    </row>
    <row r="226" customFormat="false" ht="15" hidden="false" customHeight="false" outlineLevel="0" collapsed="false">
      <c r="A226" s="4" t="s">
        <v>1034</v>
      </c>
      <c r="B226" s="4" t="str">
        <f aca="false">IF(AND(I226&gt;='Read Me &amp; Markers'!$B$18,J226&gt;='Read Me &amp; Markers'!$B$19,L226&gt;='Read Me &amp; Markers'!$B$20),"A. Proven winner",IF(AND(I226&gt;='Read Me &amp; Markers'!$B$18,J226&gt;='Read Me &amp; Markers'!$B$19,L226&gt;='Read Me &amp; Markers'!$B$21),"B. Strong performer",IF(AND(I226&gt;='Read Me &amp; Markers'!$B$22,L226&gt;='Read Me &amp; Markers'!$B$23),"C. Scale workhorse",IF(AND(I226&gt;='Read Me &amp; Markers'!$B$24,I226&lt;'Read Me &amp; Markers'!$B$18,J226&gt;='Read Me &amp; Markers'!$B$25,L226&gt;='Read Me &amp; Markers'!$B$26),"D. Promising (needs more spend)",""))))</f>
        <v/>
      </c>
      <c r="C226" s="4" t="s">
        <v>169</v>
      </c>
      <c r="D226" s="4" t="s">
        <v>206</v>
      </c>
      <c r="E226" s="4" t="s">
        <v>1035</v>
      </c>
      <c r="F226" s="4" t="s">
        <v>253</v>
      </c>
      <c r="G226" s="4" t="s">
        <v>743</v>
      </c>
      <c r="H226" s="4" t="s">
        <v>1036</v>
      </c>
      <c r="I226" s="5" t="n">
        <v>171.16</v>
      </c>
      <c r="J226" s="7" t="n">
        <v>5</v>
      </c>
      <c r="K226" s="5" t="n">
        <v>351.84</v>
      </c>
      <c r="L226" s="8" t="n">
        <v>2.05562</v>
      </c>
      <c r="M226" s="9" t="n">
        <v>34.23</v>
      </c>
      <c r="N226" s="10" t="n">
        <v>0.04678363</v>
      </c>
      <c r="O226" s="5" t="n">
        <v>111.22</v>
      </c>
      <c r="P226" s="11" t="n">
        <v>1.21564</v>
      </c>
      <c r="Q226" s="7" t="n">
        <v>1539</v>
      </c>
      <c r="R226" s="7" t="n">
        <v>72</v>
      </c>
      <c r="S226" s="7" t="n">
        <v>14</v>
      </c>
      <c r="T226" s="7" t="n">
        <v>6</v>
      </c>
      <c r="U226" s="7" t="n">
        <v>1302</v>
      </c>
      <c r="V226" s="7" t="n">
        <v>208</v>
      </c>
    </row>
    <row r="227" customFormat="false" ht="15" hidden="false" customHeight="false" outlineLevel="0" collapsed="false">
      <c r="A227" s="4" t="s">
        <v>1037</v>
      </c>
      <c r="B227" s="4" t="str">
        <f aca="false">IF(AND(I227&gt;='Read Me &amp; Markers'!$B$18,J227&gt;='Read Me &amp; Markers'!$B$19,L227&gt;='Read Me &amp; Markers'!$B$20),"A. Proven winner",IF(AND(I227&gt;='Read Me &amp; Markers'!$B$18,J227&gt;='Read Me &amp; Markers'!$B$19,L227&gt;='Read Me &amp; Markers'!$B$21),"B. Strong performer",IF(AND(I227&gt;='Read Me &amp; Markers'!$B$22,L227&gt;='Read Me &amp; Markers'!$B$23),"C. Scale workhorse",IF(AND(I227&gt;='Read Me &amp; Markers'!$B$24,I227&lt;'Read Me &amp; Markers'!$B$18,J227&gt;='Read Me &amp; Markers'!$B$25,L227&gt;='Read Me &amp; Markers'!$B$26),"D. Promising (needs more spend)",""))))</f>
        <v/>
      </c>
      <c r="C227" s="4" t="s">
        <v>1038</v>
      </c>
      <c r="D227" s="4" t="s">
        <v>109</v>
      </c>
      <c r="E227" s="4" t="s">
        <v>715</v>
      </c>
      <c r="F227" s="4" t="s">
        <v>87</v>
      </c>
      <c r="G227" s="4" t="s">
        <v>583</v>
      </c>
      <c r="H227" s="4" t="s">
        <v>1039</v>
      </c>
      <c r="I227" s="5" t="n">
        <v>170.64</v>
      </c>
      <c r="J227" s="7" t="n">
        <v>2</v>
      </c>
      <c r="K227" s="5" t="n">
        <v>119.94</v>
      </c>
      <c r="L227" s="8" t="n">
        <v>0.702883</v>
      </c>
      <c r="M227" s="9" t="n">
        <v>85.32</v>
      </c>
      <c r="N227" s="10" t="n">
        <v>0.02722881</v>
      </c>
      <c r="O227" s="5" t="n">
        <v>74.94</v>
      </c>
      <c r="P227" s="11" t="n">
        <v>1.307118</v>
      </c>
      <c r="Q227" s="7" t="n">
        <v>2277</v>
      </c>
      <c r="R227" s="7" t="n">
        <v>62</v>
      </c>
      <c r="S227" s="7" t="n">
        <v>9</v>
      </c>
      <c r="T227" s="7" t="n">
        <v>3</v>
      </c>
      <c r="U227" s="7" t="n">
        <v>0</v>
      </c>
      <c r="V227" s="7" t="n">
        <v>0</v>
      </c>
    </row>
    <row r="228" customFormat="false" ht="15" hidden="false" customHeight="false" outlineLevel="0" collapsed="false">
      <c r="A228" s="4" t="s">
        <v>1040</v>
      </c>
      <c r="B228" s="4" t="str">
        <f aca="false">IF(AND(I228&gt;='Read Me &amp; Markers'!$B$18,J228&gt;='Read Me &amp; Markers'!$B$19,L228&gt;='Read Me &amp; Markers'!$B$20),"A. Proven winner",IF(AND(I228&gt;='Read Me &amp; Markers'!$B$18,J228&gt;='Read Me &amp; Markers'!$B$19,L228&gt;='Read Me &amp; Markers'!$B$21),"B. Strong performer",IF(AND(I228&gt;='Read Me &amp; Markers'!$B$22,L228&gt;='Read Me &amp; Markers'!$B$23),"C. Scale workhorse",IF(AND(I228&gt;='Read Me &amp; Markers'!$B$24,I228&lt;'Read Me &amp; Markers'!$B$18,J228&gt;='Read Me &amp; Markers'!$B$25,L228&gt;='Read Me &amp; Markers'!$B$26),"D. Promising (needs more spend)",""))))</f>
        <v/>
      </c>
      <c r="C228" s="4" t="s">
        <v>1041</v>
      </c>
      <c r="D228" s="4" t="s">
        <v>109</v>
      </c>
      <c r="E228" s="4" t="s">
        <v>1042</v>
      </c>
      <c r="F228" s="4" t="s">
        <v>87</v>
      </c>
      <c r="G228" s="4" t="s">
        <v>317</v>
      </c>
      <c r="H228" s="4" t="s">
        <v>1043</v>
      </c>
      <c r="I228" s="5" t="n">
        <v>170.28</v>
      </c>
      <c r="J228" s="7" t="n">
        <v>2</v>
      </c>
      <c r="K228" s="5" t="n">
        <v>115.9</v>
      </c>
      <c r="L228" s="8" t="n">
        <v>0.680644</v>
      </c>
      <c r="M228" s="9" t="n">
        <v>85.14</v>
      </c>
      <c r="N228" s="10" t="n">
        <v>0.03070175</v>
      </c>
      <c r="O228" s="5" t="n">
        <v>93.36</v>
      </c>
      <c r="P228" s="11" t="n">
        <v>1.244202</v>
      </c>
      <c r="Q228" s="7" t="n">
        <v>1824</v>
      </c>
      <c r="R228" s="7" t="n">
        <v>56</v>
      </c>
      <c r="S228" s="7" t="n">
        <v>8</v>
      </c>
      <c r="T228" s="7" t="n">
        <v>11</v>
      </c>
      <c r="U228" s="7" t="n">
        <v>0</v>
      </c>
      <c r="V228" s="7" t="n">
        <v>0</v>
      </c>
    </row>
    <row r="229" customFormat="false" ht="15" hidden="false" customHeight="false" outlineLevel="0" collapsed="false">
      <c r="A229" s="4" t="s">
        <v>1044</v>
      </c>
      <c r="B229" s="4" t="str">
        <f aca="false">IF(AND(I229&gt;='Read Me &amp; Markers'!$B$18,J229&gt;='Read Me &amp; Markers'!$B$19,L229&gt;='Read Me &amp; Markers'!$B$20),"A. Proven winner",IF(AND(I229&gt;='Read Me &amp; Markers'!$B$18,J229&gt;='Read Me &amp; Markers'!$B$19,L229&gt;='Read Me &amp; Markers'!$B$21),"B. Strong performer",IF(AND(I229&gt;='Read Me &amp; Markers'!$B$22,L229&gt;='Read Me &amp; Markers'!$B$23),"C. Scale workhorse",IF(AND(I229&gt;='Read Me &amp; Markers'!$B$24,I229&lt;'Read Me &amp; Markers'!$B$18,J229&gt;='Read Me &amp; Markers'!$B$25,L229&gt;='Read Me &amp; Markers'!$B$26),"D. Promising (needs more spend)",""))))</f>
        <v/>
      </c>
      <c r="C229" s="4" t="s">
        <v>98</v>
      </c>
      <c r="D229" s="4" t="s">
        <v>100</v>
      </c>
      <c r="E229" s="4" t="s">
        <v>1045</v>
      </c>
      <c r="F229" s="4" t="s">
        <v>87</v>
      </c>
      <c r="G229" s="4" t="s">
        <v>102</v>
      </c>
      <c r="H229" s="4" t="s">
        <v>1046</v>
      </c>
      <c r="I229" s="5" t="n">
        <v>169.86</v>
      </c>
      <c r="J229" s="7" t="n">
        <v>3</v>
      </c>
      <c r="K229" s="5" t="n">
        <v>171.84</v>
      </c>
      <c r="L229" s="8" t="n">
        <v>1.011657</v>
      </c>
      <c r="M229" s="9" t="n">
        <v>56.62</v>
      </c>
      <c r="N229" s="10" t="n">
        <v>0.02830514</v>
      </c>
      <c r="O229" s="5" t="n">
        <v>58.63</v>
      </c>
      <c r="P229" s="11" t="n">
        <v>1.274527</v>
      </c>
      <c r="Q229" s="7" t="n">
        <v>2897</v>
      </c>
      <c r="R229" s="7" t="n">
        <v>82</v>
      </c>
      <c r="S229" s="7" t="n">
        <v>9</v>
      </c>
      <c r="T229" s="7" t="n">
        <v>7</v>
      </c>
      <c r="U229" s="7" t="n">
        <v>2522</v>
      </c>
      <c r="V229" s="7" t="n">
        <v>173</v>
      </c>
    </row>
    <row r="230" customFormat="false" ht="15" hidden="false" customHeight="false" outlineLevel="0" collapsed="false">
      <c r="A230" s="4" t="s">
        <v>1047</v>
      </c>
      <c r="B230" s="4" t="str">
        <f aca="false">IF(AND(I230&gt;='Read Me &amp; Markers'!$B$18,J230&gt;='Read Me &amp; Markers'!$B$19,L230&gt;='Read Me &amp; Markers'!$B$20),"A. Proven winner",IF(AND(I230&gt;='Read Me &amp; Markers'!$B$18,J230&gt;='Read Me &amp; Markers'!$B$19,L230&gt;='Read Me &amp; Markers'!$B$21),"B. Strong performer",IF(AND(I230&gt;='Read Me &amp; Markers'!$B$22,L230&gt;='Read Me &amp; Markers'!$B$23),"C. Scale workhorse",IF(AND(I230&gt;='Read Me &amp; Markers'!$B$24,I230&lt;'Read Me &amp; Markers'!$B$18,J230&gt;='Read Me &amp; Markers'!$B$25,L230&gt;='Read Me &amp; Markers'!$B$26),"D. Promising (needs more spend)",""))))</f>
        <v/>
      </c>
      <c r="C230" s="4" t="s">
        <v>1048</v>
      </c>
      <c r="D230" s="4" t="s">
        <v>1049</v>
      </c>
      <c r="E230" s="4" t="s">
        <v>1050</v>
      </c>
      <c r="F230" s="4" t="s">
        <v>253</v>
      </c>
      <c r="G230" s="4" t="s">
        <v>436</v>
      </c>
      <c r="H230" s="4" t="s">
        <v>432</v>
      </c>
      <c r="I230" s="5" t="n">
        <v>168.62</v>
      </c>
      <c r="J230" s="7" t="n">
        <v>2</v>
      </c>
      <c r="K230" s="5" t="n">
        <v>125.92</v>
      </c>
      <c r="L230" s="8" t="n">
        <v>0.746768</v>
      </c>
      <c r="M230" s="9" t="n">
        <v>84.31</v>
      </c>
      <c r="N230" s="10" t="n">
        <v>0.04576803</v>
      </c>
      <c r="O230" s="5" t="n">
        <v>105.72</v>
      </c>
      <c r="P230" s="11" t="n">
        <v>1.075523</v>
      </c>
      <c r="Q230" s="7" t="n">
        <v>1595</v>
      </c>
      <c r="R230" s="7" t="n">
        <v>73</v>
      </c>
      <c r="S230" s="7" t="n">
        <v>3</v>
      </c>
      <c r="T230" s="7" t="n">
        <v>6</v>
      </c>
      <c r="U230" s="7" t="n">
        <v>1527</v>
      </c>
      <c r="V230" s="7" t="n">
        <v>358</v>
      </c>
    </row>
    <row r="231" customFormat="false" ht="15" hidden="false" customHeight="false" outlineLevel="0" collapsed="false">
      <c r="A231" s="4" t="s">
        <v>1051</v>
      </c>
      <c r="B231" s="4" t="str">
        <f aca="false">IF(AND(I231&gt;='Read Me &amp; Markers'!$B$18,J231&gt;='Read Me &amp; Markers'!$B$19,L231&gt;='Read Me &amp; Markers'!$B$20),"A. Proven winner",IF(AND(I231&gt;='Read Me &amp; Markers'!$B$18,J231&gt;='Read Me &amp; Markers'!$B$19,L231&gt;='Read Me &amp; Markers'!$B$21),"B. Strong performer",IF(AND(I231&gt;='Read Me &amp; Markers'!$B$22,L231&gt;='Read Me &amp; Markers'!$B$23),"C. Scale workhorse",IF(AND(I231&gt;='Read Me &amp; Markers'!$B$24,I231&lt;'Read Me &amp; Markers'!$B$18,J231&gt;='Read Me &amp; Markers'!$B$25,L231&gt;='Read Me &amp; Markers'!$B$26),"D. Promising (needs more spend)",""))))</f>
        <v/>
      </c>
      <c r="C231" s="4" t="s">
        <v>169</v>
      </c>
      <c r="D231" s="4" t="s">
        <v>100</v>
      </c>
      <c r="E231" s="4" t="s">
        <v>1052</v>
      </c>
      <c r="F231" s="4" t="s">
        <v>87</v>
      </c>
      <c r="G231" s="4" t="s">
        <v>342</v>
      </c>
      <c r="H231" s="4" t="s">
        <v>1053</v>
      </c>
      <c r="I231" s="5" t="n">
        <v>164.87</v>
      </c>
      <c r="J231" s="7" t="n">
        <v>0</v>
      </c>
      <c r="K231" s="5" t="n">
        <v>0</v>
      </c>
      <c r="L231" s="8" t="n">
        <v>0</v>
      </c>
      <c r="M231" s="9" t="n">
        <v>0</v>
      </c>
      <c r="N231" s="10" t="n">
        <v>0.04403948</v>
      </c>
      <c r="O231" s="5" t="n">
        <v>125.19</v>
      </c>
      <c r="P231" s="11" t="n">
        <v>1.034564</v>
      </c>
      <c r="Q231" s="7" t="n">
        <v>1317</v>
      </c>
      <c r="R231" s="7" t="n">
        <v>58</v>
      </c>
      <c r="S231" s="7" t="n">
        <v>9</v>
      </c>
      <c r="T231" s="7" t="n">
        <v>6</v>
      </c>
      <c r="U231" s="7" t="n">
        <v>1211</v>
      </c>
      <c r="V231" s="7" t="n">
        <v>133</v>
      </c>
    </row>
    <row r="232" customFormat="false" ht="15" hidden="false" customHeight="false" outlineLevel="0" collapsed="false">
      <c r="A232" s="4" t="s">
        <v>1054</v>
      </c>
      <c r="B232" s="4" t="str">
        <f aca="false">IF(AND(I232&gt;='Read Me &amp; Markers'!$B$18,J232&gt;='Read Me &amp; Markers'!$B$19,L232&gt;='Read Me &amp; Markers'!$B$20),"A. Proven winner",IF(AND(I232&gt;='Read Me &amp; Markers'!$B$18,J232&gt;='Read Me &amp; Markers'!$B$19,L232&gt;='Read Me &amp; Markers'!$B$21),"B. Strong performer",IF(AND(I232&gt;='Read Me &amp; Markers'!$B$22,L232&gt;='Read Me &amp; Markers'!$B$23),"C. Scale workhorse",IF(AND(I232&gt;='Read Me &amp; Markers'!$B$24,I232&lt;'Read Me &amp; Markers'!$B$18,J232&gt;='Read Me &amp; Markers'!$B$25,L232&gt;='Read Me &amp; Markers'!$B$26),"D. Promising (needs more spend)",""))))</f>
        <v/>
      </c>
      <c r="C232" s="4" t="s">
        <v>169</v>
      </c>
      <c r="D232" s="4" t="s">
        <v>206</v>
      </c>
      <c r="E232" s="4" t="s">
        <v>818</v>
      </c>
      <c r="F232" s="4" t="s">
        <v>230</v>
      </c>
      <c r="G232" s="4" t="s">
        <v>254</v>
      </c>
      <c r="H232" s="4" t="s">
        <v>1055</v>
      </c>
      <c r="I232" s="5" t="n">
        <v>164.23</v>
      </c>
      <c r="J232" s="7" t="n">
        <v>5</v>
      </c>
      <c r="K232" s="5" t="n">
        <v>320.2</v>
      </c>
      <c r="L232" s="8" t="n">
        <v>1.949705</v>
      </c>
      <c r="M232" s="9" t="n">
        <v>32.85</v>
      </c>
      <c r="N232" s="10" t="n">
        <v>0.04832936</v>
      </c>
      <c r="O232" s="5" t="n">
        <v>97.99</v>
      </c>
      <c r="P232" s="11" t="n">
        <v>1.218023</v>
      </c>
      <c r="Q232" s="7" t="n">
        <v>1676</v>
      </c>
      <c r="R232" s="7" t="n">
        <v>81</v>
      </c>
      <c r="S232" s="7" t="n">
        <v>13</v>
      </c>
      <c r="T232" s="7" t="n">
        <v>8</v>
      </c>
      <c r="U232" s="7" t="n">
        <v>1522</v>
      </c>
      <c r="V232" s="7" t="n">
        <v>356</v>
      </c>
    </row>
    <row r="233" customFormat="false" ht="15" hidden="false" customHeight="false" outlineLevel="0" collapsed="false">
      <c r="A233" s="4" t="s">
        <v>1056</v>
      </c>
      <c r="B233" s="4" t="str">
        <f aca="false">IF(AND(I233&gt;='Read Me &amp; Markers'!$B$18,J233&gt;='Read Me &amp; Markers'!$B$19,L233&gt;='Read Me &amp; Markers'!$B$20),"A. Proven winner",IF(AND(I233&gt;='Read Me &amp; Markers'!$B$18,J233&gt;='Read Me &amp; Markers'!$B$19,L233&gt;='Read Me &amp; Markers'!$B$21),"B. Strong performer",IF(AND(I233&gt;='Read Me &amp; Markers'!$B$22,L233&gt;='Read Me &amp; Markers'!$B$23),"C. Scale workhorse",IF(AND(I233&gt;='Read Me &amp; Markers'!$B$24,I233&lt;'Read Me &amp; Markers'!$B$18,J233&gt;='Read Me &amp; Markers'!$B$25,L233&gt;='Read Me &amp; Markers'!$B$26),"D. Promising (needs more spend)",""))))</f>
        <v/>
      </c>
      <c r="C233" s="4" t="s">
        <v>192</v>
      </c>
      <c r="D233" s="4" t="s">
        <v>228</v>
      </c>
      <c r="E233" s="4" t="s">
        <v>1057</v>
      </c>
      <c r="F233" s="4" t="s">
        <v>230</v>
      </c>
      <c r="G233" s="4" t="s">
        <v>262</v>
      </c>
      <c r="H233" s="4" t="s">
        <v>1058</v>
      </c>
      <c r="I233" s="5" t="n">
        <v>164.1</v>
      </c>
      <c r="J233" s="7" t="n">
        <v>2</v>
      </c>
      <c r="K233" s="5" t="n">
        <v>115.93</v>
      </c>
      <c r="L233" s="8" t="n">
        <v>0.706459</v>
      </c>
      <c r="M233" s="9" t="n">
        <v>82.05</v>
      </c>
      <c r="N233" s="10" t="n">
        <v>0.04861111</v>
      </c>
      <c r="O233" s="5" t="n">
        <v>113.96</v>
      </c>
      <c r="P233" s="11" t="n">
        <v>1.294964</v>
      </c>
      <c r="Q233" s="7" t="n">
        <v>1440</v>
      </c>
      <c r="R233" s="7" t="n">
        <v>70</v>
      </c>
      <c r="S233" s="7" t="n">
        <v>3</v>
      </c>
      <c r="T233" s="7" t="n">
        <v>5</v>
      </c>
      <c r="U233" s="7" t="n">
        <v>1235</v>
      </c>
      <c r="V233" s="7" t="n">
        <v>116</v>
      </c>
    </row>
    <row r="234" customFormat="false" ht="15" hidden="false" customHeight="false" outlineLevel="0" collapsed="false">
      <c r="A234" s="4" t="s">
        <v>1059</v>
      </c>
      <c r="B234" s="4" t="str">
        <f aca="false">IF(AND(I234&gt;='Read Me &amp; Markers'!$B$18,J234&gt;='Read Me &amp; Markers'!$B$19,L234&gt;='Read Me &amp; Markers'!$B$20),"A. Proven winner",IF(AND(I234&gt;='Read Me &amp; Markers'!$B$18,J234&gt;='Read Me &amp; Markers'!$B$19,L234&gt;='Read Me &amp; Markers'!$B$21),"B. Strong performer",IF(AND(I234&gt;='Read Me &amp; Markers'!$B$22,L234&gt;='Read Me &amp; Markers'!$B$23),"C. Scale workhorse",IF(AND(I234&gt;='Read Me &amp; Markers'!$B$24,I234&lt;'Read Me &amp; Markers'!$B$18,J234&gt;='Read Me &amp; Markers'!$B$25,L234&gt;='Read Me &amp; Markers'!$B$26),"D. Promising (needs more spend)",""))))</f>
        <v/>
      </c>
      <c r="C234" s="4" t="s">
        <v>1060</v>
      </c>
      <c r="D234" s="4" t="s">
        <v>109</v>
      </c>
      <c r="E234" s="4" t="s">
        <v>1061</v>
      </c>
      <c r="F234" s="4" t="s">
        <v>87</v>
      </c>
      <c r="G234" s="4" t="s">
        <v>583</v>
      </c>
      <c r="H234" s="4" t="s">
        <v>1062</v>
      </c>
      <c r="I234" s="5" t="n">
        <v>164.09</v>
      </c>
      <c r="J234" s="7" t="n">
        <v>2</v>
      </c>
      <c r="K234" s="5" t="n">
        <v>119.94</v>
      </c>
      <c r="L234" s="8" t="n">
        <v>0.73094</v>
      </c>
      <c r="M234" s="9" t="n">
        <v>82.05</v>
      </c>
      <c r="N234" s="10" t="n">
        <v>0.04634581</v>
      </c>
      <c r="O234" s="5" t="n">
        <v>146.25</v>
      </c>
      <c r="P234" s="11" t="n">
        <v>1.522388</v>
      </c>
      <c r="Q234" s="7" t="n">
        <v>1122</v>
      </c>
      <c r="R234" s="7" t="n">
        <v>52</v>
      </c>
      <c r="S234" s="7" t="n">
        <v>3</v>
      </c>
      <c r="T234" s="7" t="n">
        <v>11</v>
      </c>
      <c r="U234" s="7" t="n">
        <v>0</v>
      </c>
      <c r="V234" s="7" t="n">
        <v>0</v>
      </c>
    </row>
    <row r="235" customFormat="false" ht="15" hidden="false" customHeight="false" outlineLevel="0" collapsed="false">
      <c r="A235" s="4" t="s">
        <v>1063</v>
      </c>
      <c r="B235" s="4" t="str">
        <f aca="false">IF(AND(I235&gt;='Read Me &amp; Markers'!$B$18,J235&gt;='Read Me &amp; Markers'!$B$19,L235&gt;='Read Me &amp; Markers'!$B$20),"A. Proven winner",IF(AND(I235&gt;='Read Me &amp; Markers'!$B$18,J235&gt;='Read Me &amp; Markers'!$B$19,L235&gt;='Read Me &amp; Markers'!$B$21),"B. Strong performer",IF(AND(I235&gt;='Read Me &amp; Markers'!$B$22,L235&gt;='Read Me &amp; Markers'!$B$23),"C. Scale workhorse",IF(AND(I235&gt;='Read Me &amp; Markers'!$B$24,I235&lt;'Read Me &amp; Markers'!$B$18,J235&gt;='Read Me &amp; Markers'!$B$25,L235&gt;='Read Me &amp; Markers'!$B$26),"D. Promising (needs more spend)",""))))</f>
        <v/>
      </c>
      <c r="C235" s="4" t="s">
        <v>169</v>
      </c>
      <c r="D235" s="4" t="s">
        <v>100</v>
      </c>
      <c r="E235" s="4" t="s">
        <v>1064</v>
      </c>
      <c r="F235" s="4" t="s">
        <v>230</v>
      </c>
      <c r="G235" s="4" t="s">
        <v>279</v>
      </c>
      <c r="H235" s="4" t="s">
        <v>1065</v>
      </c>
      <c r="I235" s="5" t="n">
        <v>163.72</v>
      </c>
      <c r="J235" s="7" t="n">
        <v>2</v>
      </c>
      <c r="K235" s="5" t="n">
        <v>125.92</v>
      </c>
      <c r="L235" s="8" t="n">
        <v>0.769118</v>
      </c>
      <c r="M235" s="9" t="n">
        <v>81.86</v>
      </c>
      <c r="N235" s="10" t="n">
        <v>0.06730008</v>
      </c>
      <c r="O235" s="5" t="n">
        <v>129.63</v>
      </c>
      <c r="P235" s="11" t="n">
        <v>1.123665</v>
      </c>
      <c r="Q235" s="7" t="n">
        <v>1263</v>
      </c>
      <c r="R235" s="7" t="n">
        <v>85</v>
      </c>
      <c r="S235" s="7" t="n">
        <v>10</v>
      </c>
      <c r="T235" s="7" t="n">
        <v>6</v>
      </c>
      <c r="U235" s="7" t="n">
        <v>1175</v>
      </c>
      <c r="V235" s="7" t="n">
        <v>386</v>
      </c>
    </row>
    <row r="236" customFormat="false" ht="15" hidden="false" customHeight="false" outlineLevel="0" collapsed="false">
      <c r="A236" s="4" t="s">
        <v>1066</v>
      </c>
      <c r="B236" s="4" t="str">
        <f aca="false">IF(AND(I236&gt;='Read Me &amp; Markers'!$B$18,J236&gt;='Read Me &amp; Markers'!$B$19,L236&gt;='Read Me &amp; Markers'!$B$20),"A. Proven winner",IF(AND(I236&gt;='Read Me &amp; Markers'!$B$18,J236&gt;='Read Me &amp; Markers'!$B$19,L236&gt;='Read Me &amp; Markers'!$B$21),"B. Strong performer",IF(AND(I236&gt;='Read Me &amp; Markers'!$B$22,L236&gt;='Read Me &amp; Markers'!$B$23),"C. Scale workhorse",IF(AND(I236&gt;='Read Me &amp; Markers'!$B$24,I236&lt;'Read Me &amp; Markers'!$B$18,J236&gt;='Read Me &amp; Markers'!$B$25,L236&gt;='Read Me &amp; Markers'!$B$26),"D. Promising (needs more spend)",""))))</f>
        <v/>
      </c>
      <c r="C236" s="4" t="s">
        <v>1067</v>
      </c>
      <c r="D236" s="4" t="s">
        <v>109</v>
      </c>
      <c r="E236" s="4" t="s">
        <v>1068</v>
      </c>
      <c r="F236" s="4" t="s">
        <v>87</v>
      </c>
      <c r="G236" s="4" t="s">
        <v>378</v>
      </c>
      <c r="H236" s="4" t="s">
        <v>1069</v>
      </c>
      <c r="I236" s="5" t="n">
        <v>163.1</v>
      </c>
      <c r="J236" s="7" t="n">
        <v>3</v>
      </c>
      <c r="K236" s="5" t="n">
        <v>127.86</v>
      </c>
      <c r="L236" s="8" t="n">
        <v>0.783936</v>
      </c>
      <c r="M236" s="9" t="n">
        <v>54.37</v>
      </c>
      <c r="N236" s="10" t="n">
        <v>0.06457926</v>
      </c>
      <c r="O236" s="5" t="n">
        <v>159.59</v>
      </c>
      <c r="P236" s="11" t="n">
        <v>1.208038</v>
      </c>
      <c r="Q236" s="7" t="n">
        <v>1022</v>
      </c>
      <c r="R236" s="7" t="n">
        <v>66</v>
      </c>
      <c r="S236" s="7" t="n">
        <v>2</v>
      </c>
      <c r="T236" s="7" t="n">
        <v>7</v>
      </c>
      <c r="U236" s="7" t="n">
        <v>818</v>
      </c>
      <c r="V236" s="7" t="n">
        <v>201</v>
      </c>
    </row>
    <row r="237" customFormat="false" ht="15" hidden="false" customHeight="false" outlineLevel="0" collapsed="false">
      <c r="A237" s="4" t="s">
        <v>1070</v>
      </c>
      <c r="B237" s="4" t="str">
        <f aca="false">IF(AND(I237&gt;='Read Me &amp; Markers'!$B$18,J237&gt;='Read Me &amp; Markers'!$B$19,L237&gt;='Read Me &amp; Markers'!$B$20),"A. Proven winner",IF(AND(I237&gt;='Read Me &amp; Markers'!$B$18,J237&gt;='Read Me &amp; Markers'!$B$19,L237&gt;='Read Me &amp; Markers'!$B$21),"B. Strong performer",IF(AND(I237&gt;='Read Me &amp; Markers'!$B$22,L237&gt;='Read Me &amp; Markers'!$B$23),"C. Scale workhorse",IF(AND(I237&gt;='Read Me &amp; Markers'!$B$24,I237&lt;'Read Me &amp; Markers'!$B$18,J237&gt;='Read Me &amp; Markers'!$B$25,L237&gt;='Read Me &amp; Markers'!$B$26),"D. Promising (needs more spend)",""))))</f>
        <v/>
      </c>
      <c r="C237" s="4" t="s">
        <v>527</v>
      </c>
      <c r="D237" s="4" t="s">
        <v>528</v>
      </c>
      <c r="E237" s="4" t="s">
        <v>1071</v>
      </c>
      <c r="F237" s="4" t="s">
        <v>230</v>
      </c>
      <c r="G237" s="4" t="s">
        <v>530</v>
      </c>
      <c r="H237" s="4" t="s">
        <v>1072</v>
      </c>
      <c r="I237" s="5" t="n">
        <v>163.01</v>
      </c>
      <c r="J237" s="7" t="n">
        <v>2</v>
      </c>
      <c r="K237" s="5" t="n">
        <v>79.96</v>
      </c>
      <c r="L237" s="8" t="n">
        <v>0.490522</v>
      </c>
      <c r="M237" s="9" t="n">
        <v>81.51</v>
      </c>
      <c r="N237" s="10" t="n">
        <v>0.03015351</v>
      </c>
      <c r="O237" s="5" t="n">
        <v>89.37</v>
      </c>
      <c r="P237" s="11" t="n">
        <v>1.207947</v>
      </c>
      <c r="Q237" s="7" t="n">
        <v>1824</v>
      </c>
      <c r="R237" s="7" t="n">
        <v>55</v>
      </c>
      <c r="S237" s="7" t="n">
        <v>5</v>
      </c>
      <c r="T237" s="7" t="n">
        <v>5</v>
      </c>
      <c r="U237" s="7" t="n">
        <v>1612</v>
      </c>
      <c r="V237" s="7" t="n">
        <v>127</v>
      </c>
    </row>
    <row r="238" customFormat="false" ht="15" hidden="false" customHeight="false" outlineLevel="0" collapsed="false">
      <c r="A238" s="4" t="s">
        <v>1073</v>
      </c>
      <c r="B238" s="4" t="str">
        <f aca="false">IF(AND(I238&gt;='Read Me &amp; Markers'!$B$18,J238&gt;='Read Me &amp; Markers'!$B$19,L238&gt;='Read Me &amp; Markers'!$B$20),"A. Proven winner",IF(AND(I238&gt;='Read Me &amp; Markers'!$B$18,J238&gt;='Read Me &amp; Markers'!$B$19,L238&gt;='Read Me &amp; Markers'!$B$21),"B. Strong performer",IF(AND(I238&gt;='Read Me &amp; Markers'!$B$22,L238&gt;='Read Me &amp; Markers'!$B$23),"C. Scale workhorse",IF(AND(I238&gt;='Read Me &amp; Markers'!$B$24,I238&lt;'Read Me &amp; Markers'!$B$18,J238&gt;='Read Me &amp; Markers'!$B$25,L238&gt;='Read Me &amp; Markers'!$B$26),"D. Promising (needs more spend)",""))))</f>
        <v/>
      </c>
      <c r="C238" s="4" t="s">
        <v>1074</v>
      </c>
      <c r="D238" s="4" t="s">
        <v>528</v>
      </c>
      <c r="E238" s="4" t="s">
        <v>1075</v>
      </c>
      <c r="F238" s="4" t="s">
        <v>230</v>
      </c>
      <c r="G238" s="4" t="s">
        <v>378</v>
      </c>
      <c r="H238" s="4" t="s">
        <v>1076</v>
      </c>
      <c r="I238" s="5" t="n">
        <v>161.86</v>
      </c>
      <c r="J238" s="7" t="n">
        <v>2</v>
      </c>
      <c r="K238" s="5" t="n">
        <v>119.93</v>
      </c>
      <c r="L238" s="8" t="n">
        <v>0.740949</v>
      </c>
      <c r="M238" s="9" t="n">
        <v>80.93</v>
      </c>
      <c r="N238" s="10" t="n">
        <v>0.06128134</v>
      </c>
      <c r="O238" s="5" t="n">
        <v>150.29</v>
      </c>
      <c r="P238" s="11" t="n">
        <v>1.104615</v>
      </c>
      <c r="Q238" s="7" t="n">
        <v>1077</v>
      </c>
      <c r="R238" s="7" t="n">
        <v>66</v>
      </c>
      <c r="S238" s="7" t="n">
        <v>11</v>
      </c>
      <c r="T238" s="7" t="n">
        <v>7</v>
      </c>
      <c r="U238" s="7" t="n">
        <v>961</v>
      </c>
      <c r="V238" s="7" t="n">
        <v>196</v>
      </c>
    </row>
    <row r="239" customFormat="false" ht="15" hidden="false" customHeight="false" outlineLevel="0" collapsed="false">
      <c r="A239" s="4" t="s">
        <v>1077</v>
      </c>
      <c r="B239" s="4" t="str">
        <f aca="false">IF(AND(I239&gt;='Read Me &amp; Markers'!$B$18,J239&gt;='Read Me &amp; Markers'!$B$19,L239&gt;='Read Me &amp; Markers'!$B$20),"A. Proven winner",IF(AND(I239&gt;='Read Me &amp; Markers'!$B$18,J239&gt;='Read Me &amp; Markers'!$B$19,L239&gt;='Read Me &amp; Markers'!$B$21),"B. Strong performer",IF(AND(I239&gt;='Read Me &amp; Markers'!$B$22,L239&gt;='Read Me &amp; Markers'!$B$23),"C. Scale workhorse",IF(AND(I239&gt;='Read Me &amp; Markers'!$B$24,I239&lt;'Read Me &amp; Markers'!$B$18,J239&gt;='Read Me &amp; Markers'!$B$25,L239&gt;='Read Me &amp; Markers'!$B$26),"D. Promising (needs more spend)",""))))</f>
        <v/>
      </c>
      <c r="C239" s="4" t="s">
        <v>83</v>
      </c>
      <c r="D239" s="4" t="s">
        <v>228</v>
      </c>
      <c r="E239" s="4" t="s">
        <v>1078</v>
      </c>
      <c r="F239" s="4" t="s">
        <v>230</v>
      </c>
      <c r="G239" s="4" t="s">
        <v>262</v>
      </c>
      <c r="H239" s="4" t="s">
        <v>1079</v>
      </c>
      <c r="I239" s="5" t="n">
        <v>161.6</v>
      </c>
      <c r="J239" s="7" t="n">
        <v>2</v>
      </c>
      <c r="K239" s="5" t="n">
        <v>179.95</v>
      </c>
      <c r="L239" s="8" t="n">
        <v>1.113552</v>
      </c>
      <c r="M239" s="9" t="n">
        <v>80.8</v>
      </c>
      <c r="N239" s="10" t="n">
        <v>0.03089037</v>
      </c>
      <c r="O239" s="5" t="n">
        <v>97.88</v>
      </c>
      <c r="P239" s="11" t="n">
        <v>1.123129</v>
      </c>
      <c r="Q239" s="7" t="n">
        <v>1651</v>
      </c>
      <c r="R239" s="7" t="n">
        <v>51</v>
      </c>
      <c r="S239" s="7" t="n">
        <v>7</v>
      </c>
      <c r="T239" s="7" t="n">
        <v>8</v>
      </c>
      <c r="U239" s="7" t="n">
        <v>1462</v>
      </c>
      <c r="V239" s="7" t="n">
        <v>57</v>
      </c>
    </row>
    <row r="240" customFormat="false" ht="15" hidden="false" customHeight="false" outlineLevel="0" collapsed="false">
      <c r="A240" s="4" t="s">
        <v>1080</v>
      </c>
      <c r="B240" s="4" t="str">
        <f aca="false">IF(AND(I240&gt;='Read Me &amp; Markers'!$B$18,J240&gt;='Read Me &amp; Markers'!$B$19,L240&gt;='Read Me &amp; Markers'!$B$20),"A. Proven winner",IF(AND(I240&gt;='Read Me &amp; Markers'!$B$18,J240&gt;='Read Me &amp; Markers'!$B$19,L240&gt;='Read Me &amp; Markers'!$B$21),"B. Strong performer",IF(AND(I240&gt;='Read Me &amp; Markers'!$B$22,L240&gt;='Read Me &amp; Markers'!$B$23),"C. Scale workhorse",IF(AND(I240&gt;='Read Me &amp; Markers'!$B$24,I240&lt;'Read Me &amp; Markers'!$B$18,J240&gt;='Read Me &amp; Markers'!$B$25,L240&gt;='Read Me &amp; Markers'!$B$26),"D. Promising (needs more spend)",""))))</f>
        <v/>
      </c>
      <c r="C240" s="4" t="s">
        <v>121</v>
      </c>
      <c r="D240" s="4" t="s">
        <v>100</v>
      </c>
      <c r="E240" s="4" t="s">
        <v>1081</v>
      </c>
      <c r="F240" s="4" t="s">
        <v>87</v>
      </c>
      <c r="G240" s="4" t="s">
        <v>132</v>
      </c>
      <c r="H240" s="4" t="s">
        <v>1082</v>
      </c>
      <c r="I240" s="5" t="n">
        <v>158.76</v>
      </c>
      <c r="J240" s="7" t="n">
        <v>4</v>
      </c>
      <c r="K240" s="5" t="n">
        <v>219.89</v>
      </c>
      <c r="L240" s="8" t="n">
        <v>1.385047</v>
      </c>
      <c r="M240" s="9" t="n">
        <v>39.69</v>
      </c>
      <c r="N240" s="10" t="n">
        <v>0.05326152</v>
      </c>
      <c r="O240" s="5" t="n">
        <v>95.01</v>
      </c>
      <c r="P240" s="11" t="n">
        <v>1.354133</v>
      </c>
      <c r="Q240" s="7" t="n">
        <v>1671</v>
      </c>
      <c r="R240" s="7" t="n">
        <v>89</v>
      </c>
      <c r="S240" s="7" t="n">
        <v>12</v>
      </c>
      <c r="T240" s="7" t="n">
        <v>12</v>
      </c>
      <c r="U240" s="7" t="n">
        <v>1242</v>
      </c>
      <c r="V240" s="7" t="n">
        <v>175</v>
      </c>
    </row>
    <row r="241" customFormat="false" ht="15" hidden="false" customHeight="false" outlineLevel="0" collapsed="false">
      <c r="A241" s="4" t="s">
        <v>1083</v>
      </c>
      <c r="B241" s="4" t="str">
        <f aca="false">IF(AND(I241&gt;='Read Me &amp; Markers'!$B$18,J241&gt;='Read Me &amp; Markers'!$B$19,L241&gt;='Read Me &amp; Markers'!$B$20),"A. Proven winner",IF(AND(I241&gt;='Read Me &amp; Markers'!$B$18,J241&gt;='Read Me &amp; Markers'!$B$19,L241&gt;='Read Me &amp; Markers'!$B$21),"B. Strong performer",IF(AND(I241&gt;='Read Me &amp; Markers'!$B$22,L241&gt;='Read Me &amp; Markers'!$B$23),"C. Scale workhorse",IF(AND(I241&gt;='Read Me &amp; Markers'!$B$24,I241&lt;'Read Me &amp; Markers'!$B$18,J241&gt;='Read Me &amp; Markers'!$B$25,L241&gt;='Read Me &amp; Markers'!$B$26),"D. Promising (needs more spend)",""))))</f>
        <v/>
      </c>
      <c r="C241" s="4" t="s">
        <v>169</v>
      </c>
      <c r="D241" s="4" t="s">
        <v>154</v>
      </c>
      <c r="E241" s="4" t="s">
        <v>1084</v>
      </c>
      <c r="F241" s="4" t="s">
        <v>253</v>
      </c>
      <c r="G241" s="4" t="s">
        <v>1085</v>
      </c>
      <c r="H241" s="4" t="s">
        <v>1086</v>
      </c>
      <c r="I241" s="5" t="n">
        <v>158.65</v>
      </c>
      <c r="J241" s="7" t="n">
        <v>4</v>
      </c>
      <c r="K241" s="5" t="n">
        <v>264.81</v>
      </c>
      <c r="L241" s="8" t="n">
        <v>1.669146</v>
      </c>
      <c r="M241" s="9" t="n">
        <v>39.66</v>
      </c>
      <c r="N241" s="10" t="n">
        <v>0.04177971</v>
      </c>
      <c r="O241" s="5" t="n">
        <v>86.08</v>
      </c>
      <c r="P241" s="11" t="n">
        <v>1.299718</v>
      </c>
      <c r="Q241" s="7" t="n">
        <v>1843</v>
      </c>
      <c r="R241" s="7" t="n">
        <v>77</v>
      </c>
      <c r="S241" s="7" t="n">
        <v>14</v>
      </c>
      <c r="T241" s="7" t="n">
        <v>12</v>
      </c>
      <c r="U241" s="7" t="n">
        <v>1658</v>
      </c>
      <c r="V241" s="7" t="n">
        <v>124</v>
      </c>
    </row>
    <row r="242" customFormat="false" ht="15" hidden="false" customHeight="false" outlineLevel="0" collapsed="false">
      <c r="A242" s="4" t="s">
        <v>1087</v>
      </c>
      <c r="B242" s="4" t="str">
        <f aca="false">IF(AND(I242&gt;='Read Me &amp; Markers'!$B$18,J242&gt;='Read Me &amp; Markers'!$B$19,L242&gt;='Read Me &amp; Markers'!$B$20),"A. Proven winner",IF(AND(I242&gt;='Read Me &amp; Markers'!$B$18,J242&gt;='Read Me &amp; Markers'!$B$19,L242&gt;='Read Me &amp; Markers'!$B$21),"B. Strong performer",IF(AND(I242&gt;='Read Me &amp; Markers'!$B$22,L242&gt;='Read Me &amp; Markers'!$B$23),"C. Scale workhorse",IF(AND(I242&gt;='Read Me &amp; Markers'!$B$24,I242&lt;'Read Me &amp; Markers'!$B$18,J242&gt;='Read Me &amp; Markers'!$B$25,L242&gt;='Read Me &amp; Markers'!$B$26),"D. Promising (needs more spend)",""))))</f>
        <v/>
      </c>
      <c r="C242" s="4" t="s">
        <v>98</v>
      </c>
      <c r="D242" s="4" t="s">
        <v>100</v>
      </c>
      <c r="E242" s="4" t="s">
        <v>439</v>
      </c>
      <c r="F242" s="4" t="s">
        <v>87</v>
      </c>
      <c r="G242" s="4" t="s">
        <v>440</v>
      </c>
      <c r="H242" s="4" t="s">
        <v>1088</v>
      </c>
      <c r="I242" s="5" t="n">
        <v>155.7</v>
      </c>
      <c r="J242" s="7" t="n">
        <v>3</v>
      </c>
      <c r="K242" s="5" t="n">
        <v>181.89</v>
      </c>
      <c r="L242" s="8" t="n">
        <v>1.168208</v>
      </c>
      <c r="M242" s="9" t="n">
        <v>51.9</v>
      </c>
      <c r="N242" s="10" t="n">
        <v>0.0534188</v>
      </c>
      <c r="O242" s="5" t="n">
        <v>83.17</v>
      </c>
      <c r="P242" s="11" t="n">
        <v>1.354559</v>
      </c>
      <c r="Q242" s="7" t="n">
        <v>1872</v>
      </c>
      <c r="R242" s="7" t="n">
        <v>100</v>
      </c>
      <c r="S242" s="7" t="n">
        <v>13</v>
      </c>
      <c r="T242" s="7" t="n">
        <v>13</v>
      </c>
      <c r="U242" s="7" t="n">
        <v>1734</v>
      </c>
      <c r="V242" s="7" t="n">
        <v>694</v>
      </c>
    </row>
    <row r="243" customFormat="false" ht="15" hidden="false" customHeight="false" outlineLevel="0" collapsed="false">
      <c r="A243" s="4" t="s">
        <v>1089</v>
      </c>
      <c r="B243" s="4" t="str">
        <f aca="false">IF(AND(I243&gt;='Read Me &amp; Markers'!$B$18,J243&gt;='Read Me &amp; Markers'!$B$19,L243&gt;='Read Me &amp; Markers'!$B$20),"A. Proven winner",IF(AND(I243&gt;='Read Me &amp; Markers'!$B$18,J243&gt;='Read Me &amp; Markers'!$B$19,L243&gt;='Read Me &amp; Markers'!$B$21),"B. Strong performer",IF(AND(I243&gt;='Read Me &amp; Markers'!$B$22,L243&gt;='Read Me &amp; Markers'!$B$23),"C. Scale workhorse",IF(AND(I243&gt;='Read Me &amp; Markers'!$B$24,I243&lt;'Read Me &amp; Markers'!$B$18,J243&gt;='Read Me &amp; Markers'!$B$25,L243&gt;='Read Me &amp; Markers'!$B$26),"D. Promising (needs more spend)",""))))</f>
        <v/>
      </c>
      <c r="C243" s="4" t="s">
        <v>121</v>
      </c>
      <c r="D243" s="4" t="s">
        <v>100</v>
      </c>
      <c r="E243" s="4" t="s">
        <v>677</v>
      </c>
      <c r="F243" s="4" t="s">
        <v>87</v>
      </c>
      <c r="G243" s="4" t="s">
        <v>132</v>
      </c>
      <c r="H243" s="4" t="s">
        <v>1090</v>
      </c>
      <c r="I243" s="5" t="n">
        <v>155.56</v>
      </c>
      <c r="J243" s="7" t="n">
        <v>2</v>
      </c>
      <c r="K243" s="5" t="n">
        <v>79.94</v>
      </c>
      <c r="L243" s="8" t="n">
        <v>0.513885</v>
      </c>
      <c r="M243" s="9" t="n">
        <v>77.78</v>
      </c>
      <c r="N243" s="10" t="n">
        <v>0.06374723</v>
      </c>
      <c r="O243" s="5" t="n">
        <v>86.23</v>
      </c>
      <c r="P243" s="11" t="n">
        <v>1.305355</v>
      </c>
      <c r="Q243" s="7" t="n">
        <v>1804</v>
      </c>
      <c r="R243" s="7" t="n">
        <v>115</v>
      </c>
      <c r="S243" s="7" t="n">
        <v>4</v>
      </c>
      <c r="T243" s="7" t="n">
        <v>8</v>
      </c>
      <c r="U243" s="7" t="n">
        <v>1588</v>
      </c>
      <c r="V243" s="7" t="n">
        <v>173</v>
      </c>
    </row>
    <row r="244" customFormat="false" ht="15" hidden="false" customHeight="false" outlineLevel="0" collapsed="false">
      <c r="A244" s="4" t="s">
        <v>1091</v>
      </c>
      <c r="B244" s="4" t="str">
        <f aca="false">IF(AND(I244&gt;='Read Me &amp; Markers'!$B$18,J244&gt;='Read Me &amp; Markers'!$B$19,L244&gt;='Read Me &amp; Markers'!$B$20),"A. Proven winner",IF(AND(I244&gt;='Read Me &amp; Markers'!$B$18,J244&gt;='Read Me &amp; Markers'!$B$19,L244&gt;='Read Me &amp; Markers'!$B$21),"B. Strong performer",IF(AND(I244&gt;='Read Me &amp; Markers'!$B$22,L244&gt;='Read Me &amp; Markers'!$B$23),"C. Scale workhorse",IF(AND(I244&gt;='Read Me &amp; Markers'!$B$24,I244&lt;'Read Me &amp; Markers'!$B$18,J244&gt;='Read Me &amp; Markers'!$B$25,L244&gt;='Read Me &amp; Markers'!$B$26),"D. Promising (needs more spend)",""))))</f>
        <v/>
      </c>
      <c r="C244" s="4" t="s">
        <v>121</v>
      </c>
      <c r="D244" s="4" t="s">
        <v>154</v>
      </c>
      <c r="E244" s="4" t="s">
        <v>1092</v>
      </c>
      <c r="F244" s="4" t="s">
        <v>87</v>
      </c>
      <c r="G244" s="4" t="s">
        <v>1093</v>
      </c>
      <c r="H244" s="4" t="s">
        <v>1094</v>
      </c>
      <c r="I244" s="5" t="n">
        <v>155.15</v>
      </c>
      <c r="J244" s="7" t="n">
        <v>2</v>
      </c>
      <c r="K244" s="5" t="n">
        <v>132.61</v>
      </c>
      <c r="L244" s="8" t="n">
        <v>0.854721</v>
      </c>
      <c r="M244" s="9" t="n">
        <v>77.58</v>
      </c>
      <c r="N244" s="10" t="n">
        <v>0.04662491</v>
      </c>
      <c r="O244" s="5" t="n">
        <v>107.97</v>
      </c>
      <c r="P244" s="11" t="n">
        <v>1.113953</v>
      </c>
      <c r="Q244" s="7" t="n">
        <v>1437</v>
      </c>
      <c r="R244" s="7" t="n">
        <v>67</v>
      </c>
      <c r="S244" s="7" t="n">
        <v>8</v>
      </c>
      <c r="T244" s="7" t="n">
        <v>5</v>
      </c>
      <c r="U244" s="7" t="n">
        <v>1271</v>
      </c>
      <c r="V244" s="7" t="n">
        <v>152</v>
      </c>
    </row>
    <row r="245" customFormat="false" ht="15" hidden="false" customHeight="false" outlineLevel="0" collapsed="false">
      <c r="A245" s="4" t="s">
        <v>1095</v>
      </c>
      <c r="B245" s="4" t="str">
        <f aca="false">IF(AND(I245&gt;='Read Me &amp; Markers'!$B$18,J245&gt;='Read Me &amp; Markers'!$B$19,L245&gt;='Read Me &amp; Markers'!$B$20),"A. Proven winner",IF(AND(I245&gt;='Read Me &amp; Markers'!$B$18,J245&gt;='Read Me &amp; Markers'!$B$19,L245&gt;='Read Me &amp; Markers'!$B$21),"B. Strong performer",IF(AND(I245&gt;='Read Me &amp; Markers'!$B$22,L245&gt;='Read Me &amp; Markers'!$B$23),"C. Scale workhorse",IF(AND(I245&gt;='Read Me &amp; Markers'!$B$24,I245&lt;'Read Me &amp; Markers'!$B$18,J245&gt;='Read Me &amp; Markers'!$B$25,L245&gt;='Read Me &amp; Markers'!$B$26),"D. Promising (needs more spend)",""))))</f>
        <v/>
      </c>
      <c r="C245" s="4" t="s">
        <v>83</v>
      </c>
      <c r="D245" s="4" t="s">
        <v>228</v>
      </c>
      <c r="E245" s="4" t="s">
        <v>1096</v>
      </c>
      <c r="F245" s="4" t="s">
        <v>230</v>
      </c>
      <c r="G245" s="4" t="s">
        <v>720</v>
      </c>
      <c r="H245" s="4" t="s">
        <v>1097</v>
      </c>
      <c r="I245" s="5" t="n">
        <v>154.7</v>
      </c>
      <c r="J245" s="7" t="n">
        <v>0</v>
      </c>
      <c r="K245" s="5" t="n">
        <v>0</v>
      </c>
      <c r="L245" s="8" t="n">
        <v>0</v>
      </c>
      <c r="M245" s="9" t="n">
        <v>0</v>
      </c>
      <c r="N245" s="10" t="n">
        <v>0.03015797</v>
      </c>
      <c r="O245" s="5" t="n">
        <v>74.05</v>
      </c>
      <c r="P245" s="11" t="n">
        <v>1.509393</v>
      </c>
      <c r="Q245" s="7" t="n">
        <v>2089</v>
      </c>
      <c r="R245" s="7" t="n">
        <v>63</v>
      </c>
      <c r="S245" s="7" t="n">
        <v>3</v>
      </c>
      <c r="T245" s="7" t="n">
        <v>4</v>
      </c>
      <c r="U245" s="7" t="n">
        <v>889</v>
      </c>
      <c r="V245" s="7" t="n">
        <v>61</v>
      </c>
    </row>
    <row r="246" customFormat="false" ht="15" hidden="false" customHeight="false" outlineLevel="0" collapsed="false">
      <c r="A246" s="4" t="s">
        <v>1098</v>
      </c>
      <c r="B246" s="4" t="str">
        <f aca="false">IF(AND(I246&gt;='Read Me &amp; Markers'!$B$18,J246&gt;='Read Me &amp; Markers'!$B$19,L246&gt;='Read Me &amp; Markers'!$B$20),"A. Proven winner",IF(AND(I246&gt;='Read Me &amp; Markers'!$B$18,J246&gt;='Read Me &amp; Markers'!$B$19,L246&gt;='Read Me &amp; Markers'!$B$21),"B. Strong performer",IF(AND(I246&gt;='Read Me &amp; Markers'!$B$22,L246&gt;='Read Me &amp; Markers'!$B$23),"C. Scale workhorse",IF(AND(I246&gt;='Read Me &amp; Markers'!$B$24,I246&lt;'Read Me &amp; Markers'!$B$18,J246&gt;='Read Me &amp; Markers'!$B$25,L246&gt;='Read Me &amp; Markers'!$B$26),"D. Promising (needs more spend)",""))))</f>
        <v/>
      </c>
      <c r="C246" s="4" t="s">
        <v>1099</v>
      </c>
      <c r="D246" s="4" t="s">
        <v>109</v>
      </c>
      <c r="E246" s="4" t="s">
        <v>1100</v>
      </c>
      <c r="F246" s="4" t="s">
        <v>87</v>
      </c>
      <c r="G246" s="4" t="s">
        <v>588</v>
      </c>
      <c r="H246" s="4" t="s">
        <v>1101</v>
      </c>
      <c r="I246" s="5" t="n">
        <v>154.23</v>
      </c>
      <c r="J246" s="7" t="n">
        <v>1</v>
      </c>
      <c r="K246" s="5" t="n">
        <v>99.98</v>
      </c>
      <c r="L246" s="8" t="n">
        <v>0.648253</v>
      </c>
      <c r="M246" s="9" t="n">
        <v>154.23</v>
      </c>
      <c r="N246" s="10" t="n">
        <v>0.03818616</v>
      </c>
      <c r="O246" s="5" t="n">
        <v>92.02</v>
      </c>
      <c r="P246" s="11" t="n">
        <v>1.411963</v>
      </c>
      <c r="Q246" s="7" t="n">
        <v>1676</v>
      </c>
      <c r="R246" s="7" t="n">
        <v>64</v>
      </c>
      <c r="S246" s="7" t="n">
        <v>0</v>
      </c>
      <c r="T246" s="7" t="n">
        <v>5</v>
      </c>
      <c r="U246" s="7" t="n">
        <v>1117</v>
      </c>
      <c r="V246" s="7" t="n">
        <v>180</v>
      </c>
    </row>
    <row r="247" customFormat="false" ht="15" hidden="false" customHeight="false" outlineLevel="0" collapsed="false">
      <c r="A247" s="4" t="s">
        <v>1102</v>
      </c>
      <c r="B247" s="4" t="str">
        <f aca="false">IF(AND(I247&gt;='Read Me &amp; Markers'!$B$18,J247&gt;='Read Me &amp; Markers'!$B$19,L247&gt;='Read Me &amp; Markers'!$B$20),"A. Proven winner",IF(AND(I247&gt;='Read Me &amp; Markers'!$B$18,J247&gt;='Read Me &amp; Markers'!$B$19,L247&gt;='Read Me &amp; Markers'!$B$21),"B. Strong performer",IF(AND(I247&gt;='Read Me &amp; Markers'!$B$22,L247&gt;='Read Me &amp; Markers'!$B$23),"C. Scale workhorse",IF(AND(I247&gt;='Read Me &amp; Markers'!$B$24,I247&lt;'Read Me &amp; Markers'!$B$18,J247&gt;='Read Me &amp; Markers'!$B$25,L247&gt;='Read Me &amp; Markers'!$B$26),"D. Promising (needs more spend)",""))))</f>
        <v/>
      </c>
      <c r="C247" s="4" t="s">
        <v>129</v>
      </c>
      <c r="D247" s="4" t="s">
        <v>206</v>
      </c>
      <c r="E247" s="4" t="s">
        <v>1103</v>
      </c>
      <c r="F247" s="4" t="s">
        <v>230</v>
      </c>
      <c r="G247" s="4" t="s">
        <v>743</v>
      </c>
      <c r="H247" s="4" t="s">
        <v>1104</v>
      </c>
      <c r="I247" s="5" t="n">
        <v>153.85</v>
      </c>
      <c r="J247" s="7" t="n">
        <v>3</v>
      </c>
      <c r="K247" s="5" t="n">
        <v>119.61</v>
      </c>
      <c r="L247" s="8" t="n">
        <v>0.777446</v>
      </c>
      <c r="M247" s="9" t="n">
        <v>51.28</v>
      </c>
      <c r="N247" s="10" t="n">
        <v>0.02253033</v>
      </c>
      <c r="O247" s="5" t="n">
        <v>66.66</v>
      </c>
      <c r="P247" s="11" t="n">
        <v>1.370546</v>
      </c>
      <c r="Q247" s="7" t="n">
        <v>2308</v>
      </c>
      <c r="R247" s="7" t="n">
        <v>52</v>
      </c>
      <c r="S247" s="7" t="n">
        <v>8</v>
      </c>
      <c r="T247" s="7" t="n">
        <v>6</v>
      </c>
      <c r="U247" s="7" t="n">
        <v>1865</v>
      </c>
      <c r="V247" s="7" t="n">
        <v>77</v>
      </c>
    </row>
    <row r="248" customFormat="false" ht="15" hidden="false" customHeight="false" outlineLevel="0" collapsed="false">
      <c r="A248" s="4" t="s">
        <v>1105</v>
      </c>
      <c r="B248" s="4" t="str">
        <f aca="false">IF(AND(I248&gt;='Read Me &amp; Markers'!$B$18,J248&gt;='Read Me &amp; Markers'!$B$19,L248&gt;='Read Me &amp; Markers'!$B$20),"A. Proven winner",IF(AND(I248&gt;='Read Me &amp; Markers'!$B$18,J248&gt;='Read Me &amp; Markers'!$B$19,L248&gt;='Read Me &amp; Markers'!$B$21),"B. Strong performer",IF(AND(I248&gt;='Read Me &amp; Markers'!$B$22,L248&gt;='Read Me &amp; Markers'!$B$23),"C. Scale workhorse",IF(AND(I248&gt;='Read Me &amp; Markers'!$B$24,I248&lt;'Read Me &amp; Markers'!$B$18,J248&gt;='Read Me &amp; Markers'!$B$25,L248&gt;='Read Me &amp; Markers'!$B$26),"D. Promising (needs more spend)",""))))</f>
        <v/>
      </c>
      <c r="C248" s="4" t="s">
        <v>121</v>
      </c>
      <c r="D248" s="4" t="s">
        <v>100</v>
      </c>
      <c r="E248" s="4" t="s">
        <v>1021</v>
      </c>
      <c r="F248" s="4" t="s">
        <v>87</v>
      </c>
      <c r="G248" s="4" t="s">
        <v>279</v>
      </c>
      <c r="H248" s="4" t="s">
        <v>1106</v>
      </c>
      <c r="I248" s="5" t="n">
        <v>152.6</v>
      </c>
      <c r="J248" s="7" t="n">
        <v>2</v>
      </c>
      <c r="K248" s="5" t="n">
        <v>119.94</v>
      </c>
      <c r="L248" s="8" t="n">
        <v>0.785976</v>
      </c>
      <c r="M248" s="9" t="n">
        <v>76.3</v>
      </c>
      <c r="N248" s="10" t="n">
        <v>0.08217054</v>
      </c>
      <c r="O248" s="5" t="n">
        <v>118.29</v>
      </c>
      <c r="P248" s="11" t="n">
        <v>1.086773</v>
      </c>
      <c r="Q248" s="7" t="n">
        <v>1290</v>
      </c>
      <c r="R248" s="7" t="n">
        <v>106</v>
      </c>
      <c r="S248" s="7" t="n">
        <v>11</v>
      </c>
      <c r="T248" s="7" t="n">
        <v>5</v>
      </c>
      <c r="U248" s="7" t="n">
        <v>1184</v>
      </c>
      <c r="V248" s="7" t="n">
        <v>327</v>
      </c>
    </row>
    <row r="249" customFormat="false" ht="15" hidden="false" customHeight="false" outlineLevel="0" collapsed="false">
      <c r="A249" s="4" t="s">
        <v>1107</v>
      </c>
      <c r="B249" s="4" t="str">
        <f aca="false">IF(AND(I249&gt;='Read Me &amp; Markers'!$B$18,J249&gt;='Read Me &amp; Markers'!$B$19,L249&gt;='Read Me &amp; Markers'!$B$20),"A. Proven winner",IF(AND(I249&gt;='Read Me &amp; Markers'!$B$18,J249&gt;='Read Me &amp; Markers'!$B$19,L249&gt;='Read Me &amp; Markers'!$B$21),"B. Strong performer",IF(AND(I249&gt;='Read Me &amp; Markers'!$B$22,L249&gt;='Read Me &amp; Markers'!$B$23),"C. Scale workhorse",IF(AND(I249&gt;='Read Me &amp; Markers'!$B$24,I249&lt;'Read Me &amp; Markers'!$B$18,J249&gt;='Read Me &amp; Markers'!$B$25,L249&gt;='Read Me &amp; Markers'!$B$26),"D. Promising (needs more spend)",""))))</f>
        <v/>
      </c>
      <c r="C249" s="4" t="s">
        <v>1108</v>
      </c>
      <c r="D249" s="4" t="s">
        <v>109</v>
      </c>
      <c r="E249" s="4" t="s">
        <v>1042</v>
      </c>
      <c r="F249" s="4" t="s">
        <v>172</v>
      </c>
      <c r="G249" s="4" t="s">
        <v>317</v>
      </c>
      <c r="H249" s="4" t="s">
        <v>1109</v>
      </c>
      <c r="I249" s="5" t="n">
        <v>150.48</v>
      </c>
      <c r="J249" s="7" t="n">
        <v>5</v>
      </c>
      <c r="K249" s="5" t="n">
        <v>401.83</v>
      </c>
      <c r="L249" s="8" t="n">
        <v>2.670322</v>
      </c>
      <c r="M249" s="9" t="n">
        <v>30.1</v>
      </c>
      <c r="N249" s="10" t="n">
        <v>0.02798165</v>
      </c>
      <c r="O249" s="5" t="n">
        <v>69.03</v>
      </c>
      <c r="P249" s="11" t="n">
        <v>1.535211</v>
      </c>
      <c r="Q249" s="7" t="n">
        <v>2180</v>
      </c>
      <c r="R249" s="7" t="n">
        <v>61</v>
      </c>
      <c r="S249" s="7" t="n">
        <v>7</v>
      </c>
      <c r="T249" s="7" t="n">
        <v>7</v>
      </c>
      <c r="U249" s="7" t="n">
        <v>0</v>
      </c>
      <c r="V249" s="7" t="n">
        <v>0</v>
      </c>
    </row>
    <row r="250" customFormat="false" ht="15" hidden="false" customHeight="false" outlineLevel="0" collapsed="false">
      <c r="A250" s="4" t="s">
        <v>1110</v>
      </c>
      <c r="B250" s="4" t="str">
        <f aca="false">IF(AND(I250&gt;='Read Me &amp; Markers'!$B$18,J250&gt;='Read Me &amp; Markers'!$B$19,L250&gt;='Read Me &amp; Markers'!$B$20),"A. Proven winner",IF(AND(I250&gt;='Read Me &amp; Markers'!$B$18,J250&gt;='Read Me &amp; Markers'!$B$19,L250&gt;='Read Me &amp; Markers'!$B$21),"B. Strong performer",IF(AND(I250&gt;='Read Me &amp; Markers'!$B$22,L250&gt;='Read Me &amp; Markers'!$B$23),"C. Scale workhorse",IF(AND(I250&gt;='Read Me &amp; Markers'!$B$24,I250&lt;'Read Me &amp; Markers'!$B$18,J250&gt;='Read Me &amp; Markers'!$B$25,L250&gt;='Read Me &amp; Markers'!$B$26),"D. Promising (needs more spend)",""))))</f>
        <v/>
      </c>
      <c r="C250" s="4" t="s">
        <v>1111</v>
      </c>
      <c r="D250" s="4" t="s">
        <v>109</v>
      </c>
      <c r="E250" s="4" t="s">
        <v>1112</v>
      </c>
      <c r="F250" s="4" t="s">
        <v>87</v>
      </c>
      <c r="G250" s="4" t="s">
        <v>378</v>
      </c>
      <c r="H250" s="4" t="s">
        <v>1113</v>
      </c>
      <c r="I250" s="5" t="n">
        <v>150.47</v>
      </c>
      <c r="J250" s="7" t="n">
        <v>2</v>
      </c>
      <c r="K250" s="5" t="n">
        <v>91.9</v>
      </c>
      <c r="L250" s="8" t="n">
        <v>0.610753</v>
      </c>
      <c r="M250" s="9" t="n">
        <v>75.24</v>
      </c>
      <c r="N250" s="10" t="n">
        <v>0.04801325</v>
      </c>
      <c r="O250" s="5" t="n">
        <v>124.56</v>
      </c>
      <c r="P250" s="11" t="n">
        <v>1.133208</v>
      </c>
      <c r="Q250" s="7" t="n">
        <v>1208</v>
      </c>
      <c r="R250" s="7" t="n">
        <v>58</v>
      </c>
      <c r="S250" s="7" t="n">
        <v>2</v>
      </c>
      <c r="T250" s="7" t="n">
        <v>10</v>
      </c>
      <c r="U250" s="7" t="n">
        <v>1143</v>
      </c>
      <c r="V250" s="7" t="n">
        <v>235</v>
      </c>
    </row>
    <row r="251" customFormat="false" ht="15" hidden="false" customHeight="false" outlineLevel="0" collapsed="false">
      <c r="A251" s="4" t="s">
        <v>1114</v>
      </c>
      <c r="B251" s="4" t="str">
        <f aca="false">IF(AND(I251&gt;='Read Me &amp; Markers'!$B$18,J251&gt;='Read Me &amp; Markers'!$B$19,L251&gt;='Read Me &amp; Markers'!$B$20),"A. Proven winner",IF(AND(I251&gt;='Read Me &amp; Markers'!$B$18,J251&gt;='Read Me &amp; Markers'!$B$19,L251&gt;='Read Me &amp; Markers'!$B$21),"B. Strong performer",IF(AND(I251&gt;='Read Me &amp; Markers'!$B$22,L251&gt;='Read Me &amp; Markers'!$B$23),"C. Scale workhorse",IF(AND(I251&gt;='Read Me &amp; Markers'!$B$24,I251&lt;'Read Me &amp; Markers'!$B$18,J251&gt;='Read Me &amp; Markers'!$B$25,L251&gt;='Read Me &amp; Markers'!$B$26),"D. Promising (needs more spend)",""))))</f>
        <v/>
      </c>
      <c r="C251" s="4" t="s">
        <v>169</v>
      </c>
      <c r="D251" s="4" t="s">
        <v>100</v>
      </c>
      <c r="E251" s="4" t="s">
        <v>954</v>
      </c>
      <c r="F251" s="4" t="s">
        <v>87</v>
      </c>
      <c r="G251" s="4" t="s">
        <v>132</v>
      </c>
      <c r="H251" s="4" t="s">
        <v>1115</v>
      </c>
      <c r="I251" s="5" t="n">
        <v>149.1</v>
      </c>
      <c r="J251" s="7" t="n">
        <v>0</v>
      </c>
      <c r="K251" s="5" t="n">
        <v>0</v>
      </c>
      <c r="L251" s="8" t="n">
        <v>0</v>
      </c>
      <c r="M251" s="9" t="n">
        <v>0</v>
      </c>
      <c r="N251" s="10" t="n">
        <v>0.03571429</v>
      </c>
      <c r="O251" s="5" t="n">
        <v>79.48</v>
      </c>
      <c r="P251" s="11" t="n">
        <v>1.478329</v>
      </c>
      <c r="Q251" s="7" t="n">
        <v>1876</v>
      </c>
      <c r="R251" s="7" t="n">
        <v>67</v>
      </c>
      <c r="S251" s="7" t="n">
        <v>4</v>
      </c>
      <c r="T251" s="7" t="n">
        <v>2</v>
      </c>
      <c r="U251" s="7" t="n">
        <v>1551</v>
      </c>
      <c r="V251" s="7" t="n">
        <v>162</v>
      </c>
    </row>
    <row r="252" customFormat="false" ht="15" hidden="false" customHeight="false" outlineLevel="0" collapsed="false">
      <c r="A252" s="4" t="s">
        <v>1116</v>
      </c>
      <c r="B252" s="4" t="str">
        <f aca="false">IF(AND(I252&gt;='Read Me &amp; Markers'!$B$18,J252&gt;='Read Me &amp; Markers'!$B$19,L252&gt;='Read Me &amp; Markers'!$B$20),"A. Proven winner",IF(AND(I252&gt;='Read Me &amp; Markers'!$B$18,J252&gt;='Read Me &amp; Markers'!$B$19,L252&gt;='Read Me &amp; Markers'!$B$21),"B. Strong performer",IF(AND(I252&gt;='Read Me &amp; Markers'!$B$22,L252&gt;='Read Me &amp; Markers'!$B$23),"C. Scale workhorse",IF(AND(I252&gt;='Read Me &amp; Markers'!$B$24,I252&lt;'Read Me &amp; Markers'!$B$18,J252&gt;='Read Me &amp; Markers'!$B$25,L252&gt;='Read Me &amp; Markers'!$B$26),"D. Promising (needs more spend)",""))))</f>
        <v/>
      </c>
      <c r="C252" s="4" t="s">
        <v>152</v>
      </c>
      <c r="D252" s="4" t="s">
        <v>528</v>
      </c>
      <c r="E252" s="4" t="s">
        <v>1117</v>
      </c>
      <c r="F252" s="4" t="s">
        <v>230</v>
      </c>
      <c r="G252" s="4" t="s">
        <v>530</v>
      </c>
      <c r="H252" s="4" t="s">
        <v>1118</v>
      </c>
      <c r="I252" s="5" t="n">
        <v>148.62</v>
      </c>
      <c r="J252" s="7" t="n">
        <v>2</v>
      </c>
      <c r="K252" s="5" t="n">
        <v>112.95</v>
      </c>
      <c r="L252" s="8" t="n">
        <v>0.759992</v>
      </c>
      <c r="M252" s="9" t="n">
        <v>74.31</v>
      </c>
      <c r="N252" s="10" t="n">
        <v>0.03872157</v>
      </c>
      <c r="O252" s="5" t="n">
        <v>91.35</v>
      </c>
      <c r="P252" s="11" t="n">
        <v>1.162143</v>
      </c>
      <c r="Q252" s="7" t="n">
        <v>1627</v>
      </c>
      <c r="R252" s="7" t="n">
        <v>63</v>
      </c>
      <c r="S252" s="7" t="n">
        <v>7</v>
      </c>
      <c r="T252" s="7" t="n">
        <v>5</v>
      </c>
      <c r="U252" s="7" t="n">
        <v>1522</v>
      </c>
      <c r="V252" s="7" t="n">
        <v>73</v>
      </c>
    </row>
    <row r="253" customFormat="false" ht="15" hidden="false" customHeight="false" outlineLevel="0" collapsed="false">
      <c r="A253" s="4" t="s">
        <v>1119</v>
      </c>
      <c r="B253" s="4" t="str">
        <f aca="false">IF(AND(I253&gt;='Read Me &amp; Markers'!$B$18,J253&gt;='Read Me &amp; Markers'!$B$19,L253&gt;='Read Me &amp; Markers'!$B$20),"A. Proven winner",IF(AND(I253&gt;='Read Me &amp; Markers'!$B$18,J253&gt;='Read Me &amp; Markers'!$B$19,L253&gt;='Read Me &amp; Markers'!$B$21),"B. Strong performer",IF(AND(I253&gt;='Read Me &amp; Markers'!$B$22,L253&gt;='Read Me &amp; Markers'!$B$23),"C. Scale workhorse",IF(AND(I253&gt;='Read Me &amp; Markers'!$B$24,I253&lt;'Read Me &amp; Markers'!$B$18,J253&gt;='Read Me &amp; Markers'!$B$25,L253&gt;='Read Me &amp; Markers'!$B$26),"D. Promising (needs more spend)",""))))</f>
        <v/>
      </c>
      <c r="C253" s="4" t="s">
        <v>1120</v>
      </c>
      <c r="D253" s="4" t="s">
        <v>154</v>
      </c>
      <c r="E253" s="4" t="s">
        <v>1121</v>
      </c>
      <c r="F253" s="4" t="s">
        <v>87</v>
      </c>
      <c r="G253" s="4" t="s">
        <v>1122</v>
      </c>
      <c r="H253" s="4" t="s">
        <v>1123</v>
      </c>
      <c r="I253" s="5" t="n">
        <v>147.87</v>
      </c>
      <c r="J253" s="7" t="n">
        <v>2</v>
      </c>
      <c r="K253" s="5" t="n">
        <v>91.92</v>
      </c>
      <c r="L253" s="8" t="n">
        <v>0.621627</v>
      </c>
      <c r="M253" s="9" t="n">
        <v>73.94</v>
      </c>
      <c r="N253" s="10" t="n">
        <v>0.04646974</v>
      </c>
      <c r="O253" s="5" t="n">
        <v>53.27</v>
      </c>
      <c r="P253" s="11" t="n">
        <v>1.268739</v>
      </c>
      <c r="Q253" s="7" t="n">
        <v>2776</v>
      </c>
      <c r="R253" s="7" t="n">
        <v>129</v>
      </c>
      <c r="S253" s="7" t="n">
        <v>14</v>
      </c>
      <c r="T253" s="7" t="n">
        <v>6</v>
      </c>
      <c r="U253" s="7" t="n">
        <v>2474</v>
      </c>
      <c r="V253" s="7" t="n">
        <v>209</v>
      </c>
    </row>
    <row r="254" customFormat="false" ht="15" hidden="false" customHeight="false" outlineLevel="0" collapsed="false">
      <c r="A254" s="4" t="s">
        <v>1124</v>
      </c>
      <c r="B254" s="4" t="str">
        <f aca="false">IF(AND(I254&gt;='Read Me &amp; Markers'!$B$18,J254&gt;='Read Me &amp; Markers'!$B$19,L254&gt;='Read Me &amp; Markers'!$B$20),"A. Proven winner",IF(AND(I254&gt;='Read Me &amp; Markers'!$B$18,J254&gt;='Read Me &amp; Markers'!$B$19,L254&gt;='Read Me &amp; Markers'!$B$21),"B. Strong performer",IF(AND(I254&gt;='Read Me &amp; Markers'!$B$22,L254&gt;='Read Me &amp; Markers'!$B$23),"C. Scale workhorse",IF(AND(I254&gt;='Read Me &amp; Markers'!$B$24,I254&lt;'Read Me &amp; Markers'!$B$18,J254&gt;='Read Me &amp; Markers'!$B$25,L254&gt;='Read Me &amp; Markers'!$B$26),"D. Promising (needs more spend)",""))))</f>
        <v/>
      </c>
      <c r="C254" s="4" t="s">
        <v>1125</v>
      </c>
      <c r="D254" s="4" t="s">
        <v>228</v>
      </c>
      <c r="E254" s="4" t="s">
        <v>1126</v>
      </c>
      <c r="F254" s="4" t="s">
        <v>230</v>
      </c>
      <c r="G254" s="4" t="s">
        <v>1127</v>
      </c>
      <c r="H254" s="4" t="s">
        <v>1128</v>
      </c>
      <c r="I254" s="5" t="n">
        <v>147.2</v>
      </c>
      <c r="J254" s="7" t="n">
        <v>3</v>
      </c>
      <c r="K254" s="5" t="n">
        <v>137.85</v>
      </c>
      <c r="L254" s="8" t="n">
        <v>0.936481</v>
      </c>
      <c r="M254" s="9" t="n">
        <v>49.07</v>
      </c>
      <c r="N254" s="10" t="n">
        <v>0.01690638</v>
      </c>
      <c r="O254" s="5" t="n">
        <v>37.14</v>
      </c>
      <c r="P254" s="11" t="n">
        <v>1.751989</v>
      </c>
      <c r="Q254" s="7" t="n">
        <v>3963</v>
      </c>
      <c r="R254" s="7" t="n">
        <v>67</v>
      </c>
      <c r="S254" s="7" t="n">
        <v>0</v>
      </c>
      <c r="T254" s="7" t="n">
        <v>6</v>
      </c>
      <c r="U254" s="7" t="n">
        <v>0</v>
      </c>
      <c r="V254" s="7" t="n">
        <v>0</v>
      </c>
    </row>
    <row r="255" customFormat="false" ht="15" hidden="false" customHeight="false" outlineLevel="0" collapsed="false">
      <c r="A255" s="4" t="s">
        <v>1129</v>
      </c>
      <c r="B255" s="4" t="str">
        <f aca="false">IF(AND(I255&gt;='Read Me &amp; Markers'!$B$18,J255&gt;='Read Me &amp; Markers'!$B$19,L255&gt;='Read Me &amp; Markers'!$B$20),"A. Proven winner",IF(AND(I255&gt;='Read Me &amp; Markers'!$B$18,J255&gt;='Read Me &amp; Markers'!$B$19,L255&gt;='Read Me &amp; Markers'!$B$21),"B. Strong performer",IF(AND(I255&gt;='Read Me &amp; Markers'!$B$22,L255&gt;='Read Me &amp; Markers'!$B$23),"C. Scale workhorse",IF(AND(I255&gt;='Read Me &amp; Markers'!$B$24,I255&lt;'Read Me &amp; Markers'!$B$18,J255&gt;='Read Me &amp; Markers'!$B$25,L255&gt;='Read Me &amp; Markers'!$B$26),"D. Promising (needs more spend)",""))))</f>
        <v/>
      </c>
      <c r="C255" s="4" t="s">
        <v>1130</v>
      </c>
      <c r="D255" s="4" t="s">
        <v>109</v>
      </c>
      <c r="E255" s="4" t="s">
        <v>1061</v>
      </c>
      <c r="F255" s="4" t="s">
        <v>87</v>
      </c>
      <c r="G255" s="4" t="s">
        <v>583</v>
      </c>
      <c r="H255" s="4" t="s">
        <v>1131</v>
      </c>
      <c r="I255" s="5" t="n">
        <v>147.13</v>
      </c>
      <c r="J255" s="7" t="n">
        <v>4</v>
      </c>
      <c r="K255" s="5" t="n">
        <v>149.89</v>
      </c>
      <c r="L255" s="8" t="n">
        <v>1.018759</v>
      </c>
      <c r="M255" s="9" t="n">
        <v>36.78</v>
      </c>
      <c r="N255" s="10" t="n">
        <v>0.03289474</v>
      </c>
      <c r="O255" s="5" t="n">
        <v>80.66</v>
      </c>
      <c r="P255" s="11" t="n">
        <v>1.517471</v>
      </c>
      <c r="Q255" s="7" t="n">
        <v>1824</v>
      </c>
      <c r="R255" s="7" t="n">
        <v>60</v>
      </c>
      <c r="S255" s="7" t="n">
        <v>11</v>
      </c>
      <c r="T255" s="7" t="n">
        <v>5</v>
      </c>
      <c r="U255" s="7" t="n">
        <v>0</v>
      </c>
      <c r="V255" s="7" t="n">
        <v>0</v>
      </c>
    </row>
    <row r="256" customFormat="false" ht="15" hidden="false" customHeight="false" outlineLevel="0" collapsed="false">
      <c r="A256" s="4" t="s">
        <v>1132</v>
      </c>
      <c r="B256" s="4" t="str">
        <f aca="false">IF(AND(I256&gt;='Read Me &amp; Markers'!$B$18,J256&gt;='Read Me &amp; Markers'!$B$19,L256&gt;='Read Me &amp; Markers'!$B$20),"A. Proven winner",IF(AND(I256&gt;='Read Me &amp; Markers'!$B$18,J256&gt;='Read Me &amp; Markers'!$B$19,L256&gt;='Read Me &amp; Markers'!$B$21),"B. Strong performer",IF(AND(I256&gt;='Read Me &amp; Markers'!$B$22,L256&gt;='Read Me &amp; Markers'!$B$23),"C. Scale workhorse",IF(AND(I256&gt;='Read Me &amp; Markers'!$B$24,I256&lt;'Read Me &amp; Markers'!$B$18,J256&gt;='Read Me &amp; Markers'!$B$25,L256&gt;='Read Me &amp; Markers'!$B$26),"D. Promising (needs more spend)",""))))</f>
        <v/>
      </c>
      <c r="C256" s="4" t="s">
        <v>1133</v>
      </c>
      <c r="D256" s="4" t="s">
        <v>109</v>
      </c>
      <c r="E256" s="4" t="s">
        <v>435</v>
      </c>
      <c r="F256" s="4" t="s">
        <v>111</v>
      </c>
      <c r="G256" s="4" t="s">
        <v>436</v>
      </c>
      <c r="H256" s="4" t="s">
        <v>1134</v>
      </c>
      <c r="I256" s="5" t="n">
        <v>146.71</v>
      </c>
      <c r="J256" s="7" t="n">
        <v>1</v>
      </c>
      <c r="K256" s="5" t="n">
        <v>79.97</v>
      </c>
      <c r="L256" s="8" t="n">
        <v>0.545089</v>
      </c>
      <c r="M256" s="9" t="n">
        <v>146.71</v>
      </c>
      <c r="N256" s="10" t="n">
        <v>0.02119461</v>
      </c>
      <c r="O256" s="5" t="n">
        <v>94.23</v>
      </c>
      <c r="P256" s="11" t="n">
        <v>1.431066</v>
      </c>
      <c r="Q256" s="7" t="n">
        <v>1557</v>
      </c>
      <c r="R256" s="7" t="n">
        <v>33</v>
      </c>
      <c r="S256" s="7" t="n">
        <v>0</v>
      </c>
      <c r="T256" s="7" t="n">
        <v>3</v>
      </c>
      <c r="U256" s="7" t="n">
        <v>1358</v>
      </c>
      <c r="V256" s="7" t="n">
        <v>91</v>
      </c>
    </row>
    <row r="257" customFormat="false" ht="15" hidden="false" customHeight="false" outlineLevel="0" collapsed="false">
      <c r="A257" s="4" t="s">
        <v>1135</v>
      </c>
      <c r="B257" s="4" t="str">
        <f aca="false">IF(AND(I257&gt;='Read Me &amp; Markers'!$B$18,J257&gt;='Read Me &amp; Markers'!$B$19,L257&gt;='Read Me &amp; Markers'!$B$20),"A. Proven winner",IF(AND(I257&gt;='Read Me &amp; Markers'!$B$18,J257&gt;='Read Me &amp; Markers'!$B$19,L257&gt;='Read Me &amp; Markers'!$B$21),"B. Strong performer",IF(AND(I257&gt;='Read Me &amp; Markers'!$B$22,L257&gt;='Read Me &amp; Markers'!$B$23),"C. Scale workhorse",IF(AND(I257&gt;='Read Me &amp; Markers'!$B$24,I257&lt;'Read Me &amp; Markers'!$B$18,J257&gt;='Read Me &amp; Markers'!$B$25,L257&gt;='Read Me &amp; Markers'!$B$26),"D. Promising (needs more spend)",""))))</f>
        <v/>
      </c>
      <c r="C257" s="4" t="s">
        <v>1136</v>
      </c>
      <c r="D257" s="4" t="s">
        <v>109</v>
      </c>
      <c r="E257" s="4" t="s">
        <v>429</v>
      </c>
      <c r="F257" s="4" t="s">
        <v>87</v>
      </c>
      <c r="G257" s="4" t="s">
        <v>431</v>
      </c>
      <c r="H257" s="4" t="s">
        <v>1137</v>
      </c>
      <c r="I257" s="5" t="n">
        <v>146.12</v>
      </c>
      <c r="J257" s="7" t="n">
        <v>0</v>
      </c>
      <c r="K257" s="5" t="n">
        <v>0</v>
      </c>
      <c r="L257" s="8" t="n">
        <v>0</v>
      </c>
      <c r="M257" s="9" t="n">
        <v>0</v>
      </c>
      <c r="N257" s="10" t="n">
        <v>0.0128123</v>
      </c>
      <c r="O257" s="5" t="n">
        <v>46.8</v>
      </c>
      <c r="P257" s="11" t="n">
        <v>1.715385</v>
      </c>
      <c r="Q257" s="7" t="n">
        <v>3122</v>
      </c>
      <c r="R257" s="7" t="n">
        <v>40</v>
      </c>
      <c r="S257" s="7" t="n">
        <v>2</v>
      </c>
      <c r="T257" s="7" t="n">
        <v>2</v>
      </c>
      <c r="U257" s="7" t="n">
        <v>27</v>
      </c>
      <c r="V257" s="7" t="n">
        <v>1</v>
      </c>
    </row>
    <row r="258" customFormat="false" ht="15" hidden="false" customHeight="false" outlineLevel="0" collapsed="false">
      <c r="A258" s="4" t="s">
        <v>1138</v>
      </c>
      <c r="B258" s="4" t="str">
        <f aca="false">IF(AND(I258&gt;='Read Me &amp; Markers'!$B$18,J258&gt;='Read Me &amp; Markers'!$B$19,L258&gt;='Read Me &amp; Markers'!$B$20),"A. Proven winner",IF(AND(I258&gt;='Read Me &amp; Markers'!$B$18,J258&gt;='Read Me &amp; Markers'!$B$19,L258&gt;='Read Me &amp; Markers'!$B$21),"B. Strong performer",IF(AND(I258&gt;='Read Me &amp; Markers'!$B$22,L258&gt;='Read Me &amp; Markers'!$B$23),"C. Scale workhorse",IF(AND(I258&gt;='Read Me &amp; Markers'!$B$24,I258&lt;'Read Me &amp; Markers'!$B$18,J258&gt;='Read Me &amp; Markers'!$B$25,L258&gt;='Read Me &amp; Markers'!$B$26),"D. Promising (needs more spend)",""))))</f>
        <v/>
      </c>
      <c r="C258" s="4" t="s">
        <v>121</v>
      </c>
      <c r="D258" s="4" t="s">
        <v>206</v>
      </c>
      <c r="E258" s="4" t="s">
        <v>1103</v>
      </c>
      <c r="F258" s="4" t="s">
        <v>230</v>
      </c>
      <c r="G258" s="4" t="s">
        <v>743</v>
      </c>
      <c r="H258" s="4" t="s">
        <v>1139</v>
      </c>
      <c r="I258" s="5" t="n">
        <v>145.72</v>
      </c>
      <c r="J258" s="7" t="n">
        <v>2</v>
      </c>
      <c r="K258" s="5" t="n">
        <v>179.95</v>
      </c>
      <c r="L258" s="8" t="n">
        <v>1.234903</v>
      </c>
      <c r="M258" s="9" t="n">
        <v>72.86</v>
      </c>
      <c r="N258" s="10" t="n">
        <v>0.0313779</v>
      </c>
      <c r="O258" s="5" t="n">
        <v>99.4</v>
      </c>
      <c r="P258" s="11" t="n">
        <v>1.130301</v>
      </c>
      <c r="Q258" s="7" t="n">
        <v>1466</v>
      </c>
      <c r="R258" s="7" t="n">
        <v>46</v>
      </c>
      <c r="S258" s="7" t="n">
        <v>2</v>
      </c>
      <c r="T258" s="7" t="n">
        <v>2</v>
      </c>
      <c r="U258" s="7" t="n">
        <v>1359</v>
      </c>
      <c r="V258" s="7" t="n">
        <v>284</v>
      </c>
    </row>
    <row r="259" customFormat="false" ht="15" hidden="false" customHeight="false" outlineLevel="0" collapsed="false">
      <c r="A259" s="4" t="s">
        <v>1140</v>
      </c>
      <c r="B259" s="4" t="str">
        <f aca="false">IF(AND(I259&gt;='Read Me &amp; Markers'!$B$18,J259&gt;='Read Me &amp; Markers'!$B$19,L259&gt;='Read Me &amp; Markers'!$B$20),"A. Proven winner",IF(AND(I259&gt;='Read Me &amp; Markers'!$B$18,J259&gt;='Read Me &amp; Markers'!$B$19,L259&gt;='Read Me &amp; Markers'!$B$21),"B. Strong performer",IF(AND(I259&gt;='Read Me &amp; Markers'!$B$22,L259&gt;='Read Me &amp; Markers'!$B$23),"C. Scale workhorse",IF(AND(I259&gt;='Read Me &amp; Markers'!$B$24,I259&lt;'Read Me &amp; Markers'!$B$18,J259&gt;='Read Me &amp; Markers'!$B$25,L259&gt;='Read Me &amp; Markers'!$B$26),"D. Promising (needs more spend)",""))))</f>
        <v/>
      </c>
      <c r="C259" s="4" t="s">
        <v>1141</v>
      </c>
      <c r="D259" s="4" t="s">
        <v>100</v>
      </c>
      <c r="E259" s="4" t="s">
        <v>1142</v>
      </c>
      <c r="F259" s="4" t="s">
        <v>87</v>
      </c>
      <c r="G259" s="4" t="s">
        <v>310</v>
      </c>
      <c r="H259" s="4" t="s">
        <v>1143</v>
      </c>
      <c r="I259" s="5" t="n">
        <v>142.89</v>
      </c>
      <c r="J259" s="7" t="n">
        <v>0</v>
      </c>
      <c r="K259" s="5" t="n">
        <v>0</v>
      </c>
      <c r="L259" s="8" t="n">
        <v>0</v>
      </c>
      <c r="M259" s="9" t="n">
        <v>0</v>
      </c>
      <c r="N259" s="10" t="n">
        <v>0.05639782</v>
      </c>
      <c r="O259" s="5" t="n">
        <v>86.65</v>
      </c>
      <c r="P259" s="11" t="n">
        <v>1.310811</v>
      </c>
      <c r="Q259" s="7" t="n">
        <v>1649</v>
      </c>
      <c r="R259" s="7" t="n">
        <v>93</v>
      </c>
      <c r="S259" s="7" t="n">
        <v>4</v>
      </c>
      <c r="T259" s="7" t="n">
        <v>1</v>
      </c>
      <c r="U259" s="7" t="n">
        <v>1524</v>
      </c>
      <c r="V259" s="7" t="n">
        <v>361</v>
      </c>
    </row>
    <row r="260" customFormat="false" ht="15" hidden="false" customHeight="false" outlineLevel="0" collapsed="false">
      <c r="A260" s="4" t="s">
        <v>1144</v>
      </c>
      <c r="B260" s="4" t="str">
        <f aca="false">IF(AND(I260&gt;='Read Me &amp; Markers'!$B$18,J260&gt;='Read Me &amp; Markers'!$B$19,L260&gt;='Read Me &amp; Markers'!$B$20),"A. Proven winner",IF(AND(I260&gt;='Read Me &amp; Markers'!$B$18,J260&gt;='Read Me &amp; Markers'!$B$19,L260&gt;='Read Me &amp; Markers'!$B$21),"B. Strong performer",IF(AND(I260&gt;='Read Me &amp; Markers'!$B$22,L260&gt;='Read Me &amp; Markers'!$B$23),"C. Scale workhorse",IF(AND(I260&gt;='Read Me &amp; Markers'!$B$24,I260&lt;'Read Me &amp; Markers'!$B$18,J260&gt;='Read Me &amp; Markers'!$B$25,L260&gt;='Read Me &amp; Markers'!$B$26),"D. Promising (needs more spend)",""))))</f>
        <v/>
      </c>
      <c r="C260" s="4" t="s">
        <v>1145</v>
      </c>
      <c r="D260" s="4" t="s">
        <v>109</v>
      </c>
      <c r="E260" s="4" t="s">
        <v>572</v>
      </c>
      <c r="F260" s="4" t="s">
        <v>87</v>
      </c>
      <c r="G260" s="4" t="s">
        <v>378</v>
      </c>
      <c r="H260" s="4" t="s">
        <v>1146</v>
      </c>
      <c r="I260" s="5" t="n">
        <v>141.76</v>
      </c>
      <c r="J260" s="7" t="n">
        <v>1</v>
      </c>
      <c r="K260" s="5" t="n">
        <v>39.97</v>
      </c>
      <c r="L260" s="8" t="n">
        <v>0.281955</v>
      </c>
      <c r="M260" s="9" t="n">
        <v>141.76</v>
      </c>
      <c r="N260" s="10" t="n">
        <v>0.01923077</v>
      </c>
      <c r="O260" s="5" t="n">
        <v>45.44</v>
      </c>
      <c r="P260" s="11" t="n">
        <v>1.373239</v>
      </c>
      <c r="Q260" s="7" t="n">
        <v>3120</v>
      </c>
      <c r="R260" s="7" t="n">
        <v>60</v>
      </c>
      <c r="S260" s="7" t="n">
        <v>1</v>
      </c>
      <c r="T260" s="7" t="n">
        <v>5</v>
      </c>
      <c r="U260" s="7" t="n">
        <v>0</v>
      </c>
      <c r="V260" s="7" t="n">
        <v>0</v>
      </c>
    </row>
    <row r="261" customFormat="false" ht="15" hidden="false" customHeight="false" outlineLevel="0" collapsed="false">
      <c r="A261" s="4" t="s">
        <v>1147</v>
      </c>
      <c r="B261" s="4" t="str">
        <f aca="false">IF(AND(I261&gt;='Read Me &amp; Markers'!$B$18,J261&gt;='Read Me &amp; Markers'!$B$19,L261&gt;='Read Me &amp; Markers'!$B$20),"A. Proven winner",IF(AND(I261&gt;='Read Me &amp; Markers'!$B$18,J261&gt;='Read Me &amp; Markers'!$B$19,L261&gt;='Read Me &amp; Markers'!$B$21),"B. Strong performer",IF(AND(I261&gt;='Read Me &amp; Markers'!$B$22,L261&gt;='Read Me &amp; Markers'!$B$23),"C. Scale workhorse",IF(AND(I261&gt;='Read Me &amp; Markers'!$B$24,I261&lt;'Read Me &amp; Markers'!$B$18,J261&gt;='Read Me &amp; Markers'!$B$25,L261&gt;='Read Me &amp; Markers'!$B$26),"D. Promising (needs more spend)",""))))</f>
        <v/>
      </c>
      <c r="C261" s="4" t="s">
        <v>121</v>
      </c>
      <c r="D261" s="4" t="s">
        <v>100</v>
      </c>
      <c r="E261" s="4" t="s">
        <v>1148</v>
      </c>
      <c r="F261" s="4" t="s">
        <v>87</v>
      </c>
      <c r="G261" s="4" t="s">
        <v>254</v>
      </c>
      <c r="H261" s="4" t="s">
        <v>1149</v>
      </c>
      <c r="I261" s="5" t="n">
        <v>138.96</v>
      </c>
      <c r="J261" s="7" t="n">
        <v>1</v>
      </c>
      <c r="K261" s="5" t="n">
        <v>45.95</v>
      </c>
      <c r="L261" s="8" t="n">
        <v>0.330671</v>
      </c>
      <c r="M261" s="9" t="n">
        <v>138.96</v>
      </c>
      <c r="N261" s="10" t="n">
        <v>0.07564103</v>
      </c>
      <c r="O261" s="5" t="n">
        <v>178.15</v>
      </c>
      <c r="P261" s="11" t="n">
        <v>1.122302</v>
      </c>
      <c r="Q261" s="7" t="n">
        <v>780</v>
      </c>
      <c r="R261" s="7" t="n">
        <v>59</v>
      </c>
      <c r="S261" s="7" t="n">
        <v>1</v>
      </c>
      <c r="T261" s="7" t="n">
        <v>2</v>
      </c>
      <c r="U261" s="7" t="n">
        <v>727</v>
      </c>
      <c r="V261" s="7" t="n">
        <v>191</v>
      </c>
    </row>
    <row r="262" customFormat="false" ht="15" hidden="false" customHeight="false" outlineLevel="0" collapsed="false">
      <c r="A262" s="4" t="s">
        <v>1150</v>
      </c>
      <c r="B262" s="4" t="str">
        <f aca="false">IF(AND(I262&gt;='Read Me &amp; Markers'!$B$18,J262&gt;='Read Me &amp; Markers'!$B$19,L262&gt;='Read Me &amp; Markers'!$B$20),"A. Proven winner",IF(AND(I262&gt;='Read Me &amp; Markers'!$B$18,J262&gt;='Read Me &amp; Markers'!$B$19,L262&gt;='Read Me &amp; Markers'!$B$21),"B. Strong performer",IF(AND(I262&gt;='Read Me &amp; Markers'!$B$22,L262&gt;='Read Me &amp; Markers'!$B$23),"C. Scale workhorse",IF(AND(I262&gt;='Read Me &amp; Markers'!$B$24,I262&lt;'Read Me &amp; Markers'!$B$18,J262&gt;='Read Me &amp; Markers'!$B$25,L262&gt;='Read Me &amp; Markers'!$B$26),"D. Promising (needs more spend)",""))))</f>
        <v/>
      </c>
      <c r="C262" s="4" t="s">
        <v>1151</v>
      </c>
      <c r="D262" s="4" t="s">
        <v>109</v>
      </c>
      <c r="E262" s="4" t="s">
        <v>587</v>
      </c>
      <c r="F262" s="4" t="s">
        <v>87</v>
      </c>
      <c r="G262" s="4" t="s">
        <v>588</v>
      </c>
      <c r="H262" s="4" t="s">
        <v>1152</v>
      </c>
      <c r="I262" s="5" t="n">
        <v>138.49</v>
      </c>
      <c r="J262" s="7" t="n">
        <v>1</v>
      </c>
      <c r="K262" s="5" t="n">
        <v>99.98</v>
      </c>
      <c r="L262" s="8" t="n">
        <v>0.721929</v>
      </c>
      <c r="M262" s="9" t="n">
        <v>138.49</v>
      </c>
      <c r="N262" s="10" t="n">
        <v>0.05421184</v>
      </c>
      <c r="O262" s="5" t="n">
        <v>115.5</v>
      </c>
      <c r="P262" s="11" t="n">
        <v>1.330744</v>
      </c>
      <c r="Q262" s="7" t="n">
        <v>1199</v>
      </c>
      <c r="R262" s="7" t="n">
        <v>65</v>
      </c>
      <c r="S262" s="7" t="n">
        <v>5</v>
      </c>
      <c r="T262" s="7" t="n">
        <v>6</v>
      </c>
      <c r="U262" s="7" t="n">
        <v>907</v>
      </c>
      <c r="V262" s="7" t="n">
        <v>93</v>
      </c>
    </row>
    <row r="263" customFormat="false" ht="15" hidden="false" customHeight="false" outlineLevel="0" collapsed="false">
      <c r="A263" s="4" t="s">
        <v>1153</v>
      </c>
      <c r="B263" s="4" t="str">
        <f aca="false">IF(AND(I263&gt;='Read Me &amp; Markers'!$B$18,J263&gt;='Read Me &amp; Markers'!$B$19,L263&gt;='Read Me &amp; Markers'!$B$20),"A. Proven winner",IF(AND(I263&gt;='Read Me &amp; Markers'!$B$18,J263&gt;='Read Me &amp; Markers'!$B$19,L263&gt;='Read Me &amp; Markers'!$B$21),"B. Strong performer",IF(AND(I263&gt;='Read Me &amp; Markers'!$B$22,L263&gt;='Read Me &amp; Markers'!$B$23),"C. Scale workhorse",IF(AND(I263&gt;='Read Me &amp; Markers'!$B$24,I263&lt;'Read Me &amp; Markers'!$B$18,J263&gt;='Read Me &amp; Markers'!$B$25,L263&gt;='Read Me &amp; Markers'!$B$26),"D. Promising (needs more spend)",""))))</f>
        <v/>
      </c>
      <c r="C263" s="4" t="s">
        <v>129</v>
      </c>
      <c r="D263" s="4" t="s">
        <v>100</v>
      </c>
      <c r="E263" s="4" t="s">
        <v>795</v>
      </c>
      <c r="F263" s="4" t="s">
        <v>87</v>
      </c>
      <c r="G263" s="4" t="s">
        <v>538</v>
      </c>
      <c r="H263" s="4" t="s">
        <v>1154</v>
      </c>
      <c r="I263" s="5" t="n">
        <v>138.16</v>
      </c>
      <c r="J263" s="7" t="n">
        <v>0</v>
      </c>
      <c r="K263" s="5" t="n">
        <v>0</v>
      </c>
      <c r="L263" s="8" t="n">
        <v>0</v>
      </c>
      <c r="M263" s="9" t="n">
        <v>0</v>
      </c>
      <c r="N263" s="10" t="n">
        <v>0.0461653</v>
      </c>
      <c r="O263" s="5" t="n">
        <v>102.87</v>
      </c>
      <c r="P263" s="11" t="n">
        <v>1.257491</v>
      </c>
      <c r="Q263" s="7" t="n">
        <v>1343</v>
      </c>
      <c r="R263" s="7" t="n">
        <v>62</v>
      </c>
      <c r="S263" s="7" t="n">
        <v>7</v>
      </c>
      <c r="T263" s="7" t="n">
        <v>7</v>
      </c>
      <c r="U263" s="7" t="n">
        <v>1198</v>
      </c>
      <c r="V263" s="7" t="n">
        <v>195</v>
      </c>
    </row>
    <row r="264" customFormat="false" ht="15" hidden="false" customHeight="false" outlineLevel="0" collapsed="false">
      <c r="A264" s="4" t="s">
        <v>1155</v>
      </c>
      <c r="B264" s="4" t="str">
        <f aca="false">IF(AND(I264&gt;='Read Me &amp; Markers'!$B$18,J264&gt;='Read Me &amp; Markers'!$B$19,L264&gt;='Read Me &amp; Markers'!$B$20),"A. Proven winner",IF(AND(I264&gt;='Read Me &amp; Markers'!$B$18,J264&gt;='Read Me &amp; Markers'!$B$19,L264&gt;='Read Me &amp; Markers'!$B$21),"B. Strong performer",IF(AND(I264&gt;='Read Me &amp; Markers'!$B$22,L264&gt;='Read Me &amp; Markers'!$B$23),"C. Scale workhorse",IF(AND(I264&gt;='Read Me &amp; Markers'!$B$24,I264&lt;'Read Me &amp; Markers'!$B$18,J264&gt;='Read Me &amp; Markers'!$B$25,L264&gt;='Read Me &amp; Markers'!$B$26),"D. Promising (needs more spend)",""))))</f>
        <v/>
      </c>
      <c r="C264" s="4" t="s">
        <v>1156</v>
      </c>
      <c r="D264" s="4" t="s">
        <v>109</v>
      </c>
      <c r="E264" s="4" t="s">
        <v>1157</v>
      </c>
      <c r="F264" s="4" t="s">
        <v>87</v>
      </c>
      <c r="G264" s="4" t="s">
        <v>508</v>
      </c>
      <c r="H264" s="4" t="s">
        <v>1158</v>
      </c>
      <c r="I264" s="5" t="n">
        <v>136.36</v>
      </c>
      <c r="J264" s="7" t="n">
        <v>3</v>
      </c>
      <c r="K264" s="5" t="n">
        <v>329.89</v>
      </c>
      <c r="L264" s="8" t="n">
        <v>2.419258</v>
      </c>
      <c r="M264" s="9" t="n">
        <v>45.45</v>
      </c>
      <c r="N264" s="10" t="n">
        <v>0.01660591</v>
      </c>
      <c r="O264" s="5" t="n">
        <v>55.23</v>
      </c>
      <c r="P264" s="11" t="n">
        <v>1.460083</v>
      </c>
      <c r="Q264" s="7" t="n">
        <v>2469</v>
      </c>
      <c r="R264" s="7" t="n">
        <v>41</v>
      </c>
      <c r="S264" s="7" t="n">
        <v>3</v>
      </c>
      <c r="T264" s="7" t="n">
        <v>11</v>
      </c>
      <c r="U264" s="7" t="n">
        <v>0</v>
      </c>
      <c r="V264" s="7" t="n">
        <v>0</v>
      </c>
    </row>
    <row r="265" customFormat="false" ht="15" hidden="false" customHeight="false" outlineLevel="0" collapsed="false">
      <c r="A265" s="4" t="s">
        <v>1159</v>
      </c>
      <c r="B265" s="4" t="str">
        <f aca="false">IF(AND(I265&gt;='Read Me &amp; Markers'!$B$18,J265&gt;='Read Me &amp; Markers'!$B$19,L265&gt;='Read Me &amp; Markers'!$B$20),"A. Proven winner",IF(AND(I265&gt;='Read Me &amp; Markers'!$B$18,J265&gt;='Read Me &amp; Markers'!$B$19,L265&gt;='Read Me &amp; Markers'!$B$21),"B. Strong performer",IF(AND(I265&gt;='Read Me &amp; Markers'!$B$22,L265&gt;='Read Me &amp; Markers'!$B$23),"C. Scale workhorse",IF(AND(I265&gt;='Read Me &amp; Markers'!$B$24,I265&lt;'Read Me &amp; Markers'!$B$18,J265&gt;='Read Me &amp; Markers'!$B$25,L265&gt;='Read Me &amp; Markers'!$B$26),"D. Promising (needs more spend)",""))))</f>
        <v/>
      </c>
      <c r="C265" s="4" t="s">
        <v>121</v>
      </c>
      <c r="D265" s="4" t="s">
        <v>528</v>
      </c>
      <c r="E265" s="4" t="s">
        <v>1160</v>
      </c>
      <c r="F265" s="4" t="s">
        <v>230</v>
      </c>
      <c r="G265" s="4" t="s">
        <v>530</v>
      </c>
      <c r="H265" s="4" t="s">
        <v>1161</v>
      </c>
      <c r="I265" s="5" t="n">
        <v>136.31</v>
      </c>
      <c r="J265" s="7" t="n">
        <v>0</v>
      </c>
      <c r="K265" s="5" t="n">
        <v>0</v>
      </c>
      <c r="L265" s="8" t="n">
        <v>0</v>
      </c>
      <c r="M265" s="9" t="n">
        <v>0</v>
      </c>
      <c r="N265" s="10" t="n">
        <v>0.04328358</v>
      </c>
      <c r="O265" s="5" t="n">
        <v>101.72</v>
      </c>
      <c r="P265" s="11" t="n">
        <v>1.125105</v>
      </c>
      <c r="Q265" s="7" t="n">
        <v>1340</v>
      </c>
      <c r="R265" s="7" t="n">
        <v>58</v>
      </c>
      <c r="S265" s="7" t="n">
        <v>6</v>
      </c>
      <c r="T265" s="7" t="n">
        <v>3</v>
      </c>
      <c r="U265" s="7" t="n">
        <v>1189</v>
      </c>
      <c r="V265" s="7" t="n">
        <v>84</v>
      </c>
    </row>
    <row r="266" customFormat="false" ht="15" hidden="false" customHeight="false" outlineLevel="0" collapsed="false">
      <c r="A266" s="4" t="s">
        <v>1162</v>
      </c>
      <c r="B266" s="4" t="str">
        <f aca="false">IF(AND(I266&gt;='Read Me &amp; Markers'!$B$18,J266&gt;='Read Me &amp; Markers'!$B$19,L266&gt;='Read Me &amp; Markers'!$B$20),"A. Proven winner",IF(AND(I266&gt;='Read Me &amp; Markers'!$B$18,J266&gt;='Read Me &amp; Markers'!$B$19,L266&gt;='Read Me &amp; Markers'!$B$21),"B. Strong performer",IF(AND(I266&gt;='Read Me &amp; Markers'!$B$22,L266&gt;='Read Me &amp; Markers'!$B$23),"C. Scale workhorse",IF(AND(I266&gt;='Read Me &amp; Markers'!$B$24,I266&lt;'Read Me &amp; Markers'!$B$18,J266&gt;='Read Me &amp; Markers'!$B$25,L266&gt;='Read Me &amp; Markers'!$B$26),"D. Promising (needs more spend)",""))))</f>
        <v/>
      </c>
      <c r="C266" s="4" t="s">
        <v>129</v>
      </c>
      <c r="D266" s="4" t="s">
        <v>154</v>
      </c>
      <c r="E266" s="4" t="s">
        <v>1084</v>
      </c>
      <c r="F266" s="4" t="s">
        <v>87</v>
      </c>
      <c r="G266" s="4" t="s">
        <v>1085</v>
      </c>
      <c r="H266" s="4" t="s">
        <v>1163</v>
      </c>
      <c r="I266" s="5" t="n">
        <v>136.19</v>
      </c>
      <c r="J266" s="7" t="n">
        <v>1</v>
      </c>
      <c r="K266" s="5" t="n">
        <v>48.26</v>
      </c>
      <c r="L266" s="8" t="n">
        <v>0.354358</v>
      </c>
      <c r="M266" s="9" t="n">
        <v>136.19</v>
      </c>
      <c r="N266" s="10" t="n">
        <v>0.05166776</v>
      </c>
      <c r="O266" s="5" t="n">
        <v>89.07</v>
      </c>
      <c r="P266" s="11" t="n">
        <v>1.206788</v>
      </c>
      <c r="Q266" s="7" t="n">
        <v>1529</v>
      </c>
      <c r="R266" s="7" t="n">
        <v>79</v>
      </c>
      <c r="S266" s="7" t="n">
        <v>10</v>
      </c>
      <c r="T266" s="7" t="n">
        <v>3</v>
      </c>
      <c r="U266" s="7" t="n">
        <v>1398</v>
      </c>
      <c r="V266" s="7" t="n">
        <v>93</v>
      </c>
    </row>
    <row r="267" customFormat="false" ht="15" hidden="false" customHeight="false" outlineLevel="0" collapsed="false">
      <c r="A267" s="4" t="s">
        <v>1164</v>
      </c>
      <c r="B267" s="4" t="str">
        <f aca="false">IF(AND(I267&gt;='Read Me &amp; Markers'!$B$18,J267&gt;='Read Me &amp; Markers'!$B$19,L267&gt;='Read Me &amp; Markers'!$B$20),"A. Proven winner",IF(AND(I267&gt;='Read Me &amp; Markers'!$B$18,J267&gt;='Read Me &amp; Markers'!$B$19,L267&gt;='Read Me &amp; Markers'!$B$21),"B. Strong performer",IF(AND(I267&gt;='Read Me &amp; Markers'!$B$22,L267&gt;='Read Me &amp; Markers'!$B$23),"C. Scale workhorse",IF(AND(I267&gt;='Read Me &amp; Markers'!$B$24,I267&lt;'Read Me &amp; Markers'!$B$18,J267&gt;='Read Me &amp; Markers'!$B$25,L267&gt;='Read Me &amp; Markers'!$B$26),"D. Promising (needs more spend)",""))))</f>
        <v/>
      </c>
      <c r="C267" s="4" t="s">
        <v>1165</v>
      </c>
      <c r="D267" s="4" t="s">
        <v>109</v>
      </c>
      <c r="E267" s="4" t="s">
        <v>1166</v>
      </c>
      <c r="F267" s="4" t="s">
        <v>87</v>
      </c>
      <c r="G267" s="4" t="s">
        <v>588</v>
      </c>
      <c r="H267" s="4" t="s">
        <v>1167</v>
      </c>
      <c r="I267" s="5" t="n">
        <v>134.43</v>
      </c>
      <c r="J267" s="7" t="n">
        <v>1</v>
      </c>
      <c r="K267" s="5" t="n">
        <v>79.97</v>
      </c>
      <c r="L267" s="8" t="n">
        <v>0.594882</v>
      </c>
      <c r="M267" s="9" t="n">
        <v>134.43</v>
      </c>
      <c r="N267" s="10" t="n">
        <v>0.02392638</v>
      </c>
      <c r="O267" s="5" t="n">
        <v>82.47</v>
      </c>
      <c r="P267" s="11" t="n">
        <v>1.309237</v>
      </c>
      <c r="Q267" s="7" t="n">
        <v>1630</v>
      </c>
      <c r="R267" s="7" t="n">
        <v>39</v>
      </c>
      <c r="S267" s="7" t="n">
        <v>2</v>
      </c>
      <c r="T267" s="7" t="n">
        <v>6</v>
      </c>
      <c r="U267" s="7" t="n">
        <v>1183</v>
      </c>
      <c r="V267" s="7" t="n">
        <v>111</v>
      </c>
    </row>
    <row r="268" customFormat="false" ht="15" hidden="false" customHeight="false" outlineLevel="0" collapsed="false">
      <c r="A268" s="4" t="s">
        <v>1168</v>
      </c>
      <c r="B268" s="4" t="str">
        <f aca="false">IF(AND(I268&gt;='Read Me &amp; Markers'!$B$18,J268&gt;='Read Me &amp; Markers'!$B$19,L268&gt;='Read Me &amp; Markers'!$B$20),"A. Proven winner",IF(AND(I268&gt;='Read Me &amp; Markers'!$B$18,J268&gt;='Read Me &amp; Markers'!$B$19,L268&gt;='Read Me &amp; Markers'!$B$21),"B. Strong performer",IF(AND(I268&gt;='Read Me &amp; Markers'!$B$22,L268&gt;='Read Me &amp; Markers'!$B$23),"C. Scale workhorse",IF(AND(I268&gt;='Read Me &amp; Markers'!$B$24,I268&lt;'Read Me &amp; Markers'!$B$18,J268&gt;='Read Me &amp; Markers'!$B$25,L268&gt;='Read Me &amp; Markers'!$B$26),"D. Promising (needs more spend)",""))))</f>
        <v/>
      </c>
      <c r="C268" s="4" t="s">
        <v>121</v>
      </c>
      <c r="D268" s="4" t="s">
        <v>100</v>
      </c>
      <c r="E268" s="4" t="s">
        <v>555</v>
      </c>
      <c r="F268" s="4" t="s">
        <v>87</v>
      </c>
      <c r="G268" s="4" t="s">
        <v>208</v>
      </c>
      <c r="H268" s="4" t="s">
        <v>1169</v>
      </c>
      <c r="I268" s="5" t="n">
        <v>133.3</v>
      </c>
      <c r="J268" s="7" t="n">
        <v>4</v>
      </c>
      <c r="K268" s="5" t="n">
        <v>191.86</v>
      </c>
      <c r="L268" s="8" t="n">
        <v>1.43931</v>
      </c>
      <c r="M268" s="9" t="n">
        <v>33.33</v>
      </c>
      <c r="N268" s="10" t="n">
        <v>0.0560472</v>
      </c>
      <c r="O268" s="5" t="n">
        <v>98.3</v>
      </c>
      <c r="P268" s="11" t="n">
        <v>1.281664</v>
      </c>
      <c r="Q268" s="7" t="n">
        <v>1356</v>
      </c>
      <c r="R268" s="7" t="n">
        <v>76</v>
      </c>
      <c r="S268" s="7" t="n">
        <v>7</v>
      </c>
      <c r="T268" s="7" t="n">
        <v>9</v>
      </c>
      <c r="U268" s="7" t="n">
        <v>1112</v>
      </c>
      <c r="V268" s="7" t="n">
        <v>186</v>
      </c>
    </row>
    <row r="269" customFormat="false" ht="15" hidden="false" customHeight="false" outlineLevel="0" collapsed="false">
      <c r="A269" s="4" t="s">
        <v>1170</v>
      </c>
      <c r="B269" s="4" t="str">
        <f aca="false">IF(AND(I269&gt;='Read Me &amp; Markers'!$B$18,J269&gt;='Read Me &amp; Markers'!$B$19,L269&gt;='Read Me &amp; Markers'!$B$20),"A. Proven winner",IF(AND(I269&gt;='Read Me &amp; Markers'!$B$18,J269&gt;='Read Me &amp; Markers'!$B$19,L269&gt;='Read Me &amp; Markers'!$B$21),"B. Strong performer",IF(AND(I269&gt;='Read Me &amp; Markers'!$B$22,L269&gt;='Read Me &amp; Markers'!$B$23),"C. Scale workhorse",IF(AND(I269&gt;='Read Me &amp; Markers'!$B$24,I269&lt;'Read Me &amp; Markers'!$B$18,J269&gt;='Read Me &amp; Markers'!$B$25,L269&gt;='Read Me &amp; Markers'!$B$26),"D. Promising (needs more spend)",""))))</f>
        <v/>
      </c>
      <c r="C269" s="4" t="s">
        <v>83</v>
      </c>
      <c r="D269" s="4" t="s">
        <v>228</v>
      </c>
      <c r="E269" s="4" t="s">
        <v>1171</v>
      </c>
      <c r="F269" s="4" t="s">
        <v>230</v>
      </c>
      <c r="G269" s="4" t="s">
        <v>785</v>
      </c>
      <c r="H269" s="4" t="s">
        <v>1172</v>
      </c>
      <c r="I269" s="5" t="n">
        <v>133.15</v>
      </c>
      <c r="J269" s="7" t="n">
        <v>0</v>
      </c>
      <c r="K269" s="5" t="n">
        <v>0</v>
      </c>
      <c r="L269" s="8" t="n">
        <v>0</v>
      </c>
      <c r="M269" s="9" t="n">
        <v>0</v>
      </c>
      <c r="N269" s="10" t="n">
        <v>0.03830645</v>
      </c>
      <c r="O269" s="5" t="n">
        <v>89.48</v>
      </c>
      <c r="P269" s="11" t="n">
        <v>1.280551</v>
      </c>
      <c r="Q269" s="7" t="n">
        <v>1488</v>
      </c>
      <c r="R269" s="7" t="n">
        <v>57</v>
      </c>
      <c r="S269" s="7" t="n">
        <v>1</v>
      </c>
      <c r="T269" s="7" t="n">
        <v>3</v>
      </c>
      <c r="U269" s="7" t="n">
        <v>1075</v>
      </c>
      <c r="V269" s="7" t="n">
        <v>75</v>
      </c>
    </row>
    <row r="270" customFormat="false" ht="15" hidden="false" customHeight="false" outlineLevel="0" collapsed="false">
      <c r="A270" s="4" t="s">
        <v>1173</v>
      </c>
      <c r="B270" s="4" t="str">
        <f aca="false">IF(AND(I270&gt;='Read Me &amp; Markers'!$B$18,J270&gt;='Read Me &amp; Markers'!$B$19,L270&gt;='Read Me &amp; Markers'!$B$20),"A. Proven winner",IF(AND(I270&gt;='Read Me &amp; Markers'!$B$18,J270&gt;='Read Me &amp; Markers'!$B$19,L270&gt;='Read Me &amp; Markers'!$B$21),"B. Strong performer",IF(AND(I270&gt;='Read Me &amp; Markers'!$B$22,L270&gt;='Read Me &amp; Markers'!$B$23),"C. Scale workhorse",IF(AND(I270&gt;='Read Me &amp; Markers'!$B$24,I270&lt;'Read Me &amp; Markers'!$B$18,J270&gt;='Read Me &amp; Markers'!$B$25,L270&gt;='Read Me &amp; Markers'!$B$26),"D. Promising (needs more spend)",""))))</f>
        <v/>
      </c>
      <c r="C270" s="4" t="s">
        <v>169</v>
      </c>
      <c r="D270" s="4" t="s">
        <v>100</v>
      </c>
      <c r="E270" s="4" t="s">
        <v>1174</v>
      </c>
      <c r="F270" s="4" t="s">
        <v>87</v>
      </c>
      <c r="G270" s="4" t="s">
        <v>254</v>
      </c>
      <c r="H270" s="4" t="s">
        <v>1175</v>
      </c>
      <c r="I270" s="5" t="n">
        <v>132.88</v>
      </c>
      <c r="J270" s="7" t="n">
        <v>0</v>
      </c>
      <c r="K270" s="5" t="n">
        <v>0</v>
      </c>
      <c r="L270" s="8" t="n">
        <v>0</v>
      </c>
      <c r="M270" s="9" t="n">
        <v>0</v>
      </c>
      <c r="N270" s="10" t="n">
        <v>0.05724299</v>
      </c>
      <c r="O270" s="5" t="n">
        <v>155.23</v>
      </c>
      <c r="P270" s="11" t="n">
        <v>1.19888</v>
      </c>
      <c r="Q270" s="7" t="n">
        <v>856</v>
      </c>
      <c r="R270" s="7" t="n">
        <v>49</v>
      </c>
      <c r="S270" s="7" t="n">
        <v>5</v>
      </c>
      <c r="T270" s="7" t="n">
        <v>4</v>
      </c>
      <c r="U270" s="7" t="n">
        <v>716</v>
      </c>
      <c r="V270" s="7" t="n">
        <v>148</v>
      </c>
    </row>
    <row r="271" customFormat="false" ht="15" hidden="false" customHeight="false" outlineLevel="0" collapsed="false">
      <c r="A271" s="4" t="s">
        <v>1176</v>
      </c>
      <c r="B271" s="4" t="str">
        <f aca="false">IF(AND(I271&gt;='Read Me &amp; Markers'!$B$18,J271&gt;='Read Me &amp; Markers'!$B$19,L271&gt;='Read Me &amp; Markers'!$B$20),"A. Proven winner",IF(AND(I271&gt;='Read Me &amp; Markers'!$B$18,J271&gt;='Read Me &amp; Markers'!$B$19,L271&gt;='Read Me &amp; Markers'!$B$21),"B. Strong performer",IF(AND(I271&gt;='Read Me &amp; Markers'!$B$22,L271&gt;='Read Me &amp; Markers'!$B$23),"C. Scale workhorse",IF(AND(I271&gt;='Read Me &amp; Markers'!$B$24,I271&lt;'Read Me &amp; Markers'!$B$18,J271&gt;='Read Me &amp; Markers'!$B$25,L271&gt;='Read Me &amp; Markers'!$B$26),"D. Promising (needs more spend)",""))))</f>
        <v/>
      </c>
      <c r="C271" s="4" t="s">
        <v>121</v>
      </c>
      <c r="D271" s="4" t="s">
        <v>100</v>
      </c>
      <c r="E271" s="4" t="s">
        <v>1177</v>
      </c>
      <c r="F271" s="4" t="s">
        <v>87</v>
      </c>
      <c r="G271" s="4" t="s">
        <v>342</v>
      </c>
      <c r="H271" s="4" t="s">
        <v>1178</v>
      </c>
      <c r="I271" s="5" t="n">
        <v>132.68</v>
      </c>
      <c r="J271" s="7" t="n">
        <v>1</v>
      </c>
      <c r="K271" s="5" t="n">
        <v>38.06</v>
      </c>
      <c r="L271" s="8" t="n">
        <v>0.286856</v>
      </c>
      <c r="M271" s="9" t="n">
        <v>132.68</v>
      </c>
      <c r="N271" s="10" t="n">
        <v>0.05616094</v>
      </c>
      <c r="O271" s="5" t="n">
        <v>111.22</v>
      </c>
      <c r="P271" s="11" t="n">
        <v>1.033795</v>
      </c>
      <c r="Q271" s="7" t="n">
        <v>1193</v>
      </c>
      <c r="R271" s="7" t="n">
        <v>67</v>
      </c>
      <c r="S271" s="7" t="n">
        <v>4</v>
      </c>
      <c r="T271" s="7" t="n">
        <v>3</v>
      </c>
      <c r="U271" s="7" t="n">
        <v>1101</v>
      </c>
      <c r="V271" s="7" t="n">
        <v>218</v>
      </c>
    </row>
    <row r="272" customFormat="false" ht="15" hidden="false" customHeight="false" outlineLevel="0" collapsed="false">
      <c r="A272" s="4" t="s">
        <v>1179</v>
      </c>
      <c r="B272" s="4" t="str">
        <f aca="false">IF(AND(I272&gt;='Read Me &amp; Markers'!$B$18,J272&gt;='Read Me &amp; Markers'!$B$19,L272&gt;='Read Me &amp; Markers'!$B$20),"A. Proven winner",IF(AND(I272&gt;='Read Me &amp; Markers'!$B$18,J272&gt;='Read Me &amp; Markers'!$B$19,L272&gt;='Read Me &amp; Markers'!$B$21),"B. Strong performer",IF(AND(I272&gt;='Read Me &amp; Markers'!$B$22,L272&gt;='Read Me &amp; Markers'!$B$23),"C. Scale workhorse",IF(AND(I272&gt;='Read Me &amp; Markers'!$B$24,I272&lt;'Read Me &amp; Markers'!$B$18,J272&gt;='Read Me &amp; Markers'!$B$25,L272&gt;='Read Me &amp; Markers'!$B$26),"D. Promising (needs more spend)",""))))</f>
        <v/>
      </c>
      <c r="C272" s="4" t="s">
        <v>226</v>
      </c>
      <c r="D272" s="4" t="s">
        <v>228</v>
      </c>
      <c r="E272" s="4" t="s">
        <v>1180</v>
      </c>
      <c r="F272" s="4" t="s">
        <v>230</v>
      </c>
      <c r="G272" s="4" t="s">
        <v>785</v>
      </c>
      <c r="H272" s="4" t="s">
        <v>1181</v>
      </c>
      <c r="I272" s="5" t="n">
        <v>132.56</v>
      </c>
      <c r="J272" s="7" t="n">
        <v>1</v>
      </c>
      <c r="K272" s="5" t="n">
        <v>45.95</v>
      </c>
      <c r="L272" s="8" t="n">
        <v>0.346635</v>
      </c>
      <c r="M272" s="9" t="n">
        <v>132.56</v>
      </c>
      <c r="N272" s="10" t="n">
        <v>0.04824121</v>
      </c>
      <c r="O272" s="5" t="n">
        <v>133.23</v>
      </c>
      <c r="P272" s="11" t="n">
        <v>1.171967</v>
      </c>
      <c r="Q272" s="7" t="n">
        <v>995</v>
      </c>
      <c r="R272" s="7" t="n">
        <v>48</v>
      </c>
      <c r="S272" s="7" t="n">
        <v>0</v>
      </c>
      <c r="T272" s="7" t="n">
        <v>2</v>
      </c>
      <c r="U272" s="7" t="n">
        <v>913</v>
      </c>
      <c r="V272" s="7" t="n">
        <v>198</v>
      </c>
    </row>
    <row r="273" customFormat="false" ht="15" hidden="false" customHeight="false" outlineLevel="0" collapsed="false">
      <c r="A273" s="4" t="s">
        <v>1182</v>
      </c>
      <c r="B273" s="4" t="str">
        <f aca="false">IF(AND(I273&gt;='Read Me &amp; Markers'!$B$18,J273&gt;='Read Me &amp; Markers'!$B$19,L273&gt;='Read Me &amp; Markers'!$B$20),"A. Proven winner",IF(AND(I273&gt;='Read Me &amp; Markers'!$B$18,J273&gt;='Read Me &amp; Markers'!$B$19,L273&gt;='Read Me &amp; Markers'!$B$21),"B. Strong performer",IF(AND(I273&gt;='Read Me &amp; Markers'!$B$22,L273&gt;='Read Me &amp; Markers'!$B$23),"C. Scale workhorse",IF(AND(I273&gt;='Read Me &amp; Markers'!$B$24,I273&lt;'Read Me &amp; Markers'!$B$18,J273&gt;='Read Me &amp; Markers'!$B$25,L273&gt;='Read Me &amp; Markers'!$B$26),"D. Promising (needs more spend)",""))))</f>
        <v/>
      </c>
      <c r="C273" s="4" t="s">
        <v>129</v>
      </c>
      <c r="D273" s="4" t="s">
        <v>528</v>
      </c>
      <c r="E273" s="4" t="s">
        <v>1183</v>
      </c>
      <c r="F273" s="4" t="s">
        <v>230</v>
      </c>
      <c r="G273" s="4" t="s">
        <v>530</v>
      </c>
      <c r="H273" s="4" t="s">
        <v>1184</v>
      </c>
      <c r="I273" s="5" t="n">
        <v>130.31</v>
      </c>
      <c r="J273" s="7" t="n">
        <v>2</v>
      </c>
      <c r="K273" s="5" t="n">
        <v>119.93</v>
      </c>
      <c r="L273" s="8" t="n">
        <v>0.920344</v>
      </c>
      <c r="M273" s="9" t="n">
        <v>65.16</v>
      </c>
      <c r="N273" s="10" t="n">
        <v>0.06773283</v>
      </c>
      <c r="O273" s="5" t="n">
        <v>122.59</v>
      </c>
      <c r="P273" s="11" t="n">
        <v>1.140558</v>
      </c>
      <c r="Q273" s="7" t="n">
        <v>1063</v>
      </c>
      <c r="R273" s="7" t="n">
        <v>72</v>
      </c>
      <c r="S273" s="7" t="n">
        <v>3</v>
      </c>
      <c r="T273" s="7" t="n">
        <v>3</v>
      </c>
      <c r="U273" s="7" t="n">
        <v>960</v>
      </c>
      <c r="V273" s="7" t="n">
        <v>138</v>
      </c>
    </row>
    <row r="274" customFormat="false" ht="15" hidden="false" customHeight="false" outlineLevel="0" collapsed="false">
      <c r="A274" s="4" t="s">
        <v>1185</v>
      </c>
      <c r="B274" s="4" t="str">
        <f aca="false">IF(AND(I274&gt;='Read Me &amp; Markers'!$B$18,J274&gt;='Read Me &amp; Markers'!$B$19,L274&gt;='Read Me &amp; Markers'!$B$20),"A. Proven winner",IF(AND(I274&gt;='Read Me &amp; Markers'!$B$18,J274&gt;='Read Me &amp; Markers'!$B$19,L274&gt;='Read Me &amp; Markers'!$B$21),"B. Strong performer",IF(AND(I274&gt;='Read Me &amp; Markers'!$B$22,L274&gt;='Read Me &amp; Markers'!$B$23),"C. Scale workhorse",IF(AND(I274&gt;='Read Me &amp; Markers'!$B$24,I274&lt;'Read Me &amp; Markers'!$B$18,J274&gt;='Read Me &amp; Markers'!$B$25,L274&gt;='Read Me &amp; Markers'!$B$26),"D. Promising (needs more spend)",""))))</f>
        <v/>
      </c>
      <c r="C274" s="4" t="s">
        <v>192</v>
      </c>
      <c r="D274" s="4" t="s">
        <v>85</v>
      </c>
      <c r="E274" s="4" t="s">
        <v>1186</v>
      </c>
      <c r="F274" s="4" t="s">
        <v>87</v>
      </c>
      <c r="G274" s="4" t="s">
        <v>639</v>
      </c>
      <c r="H274" s="4" t="s">
        <v>1187</v>
      </c>
      <c r="I274" s="5" t="n">
        <v>129.07</v>
      </c>
      <c r="J274" s="7" t="n">
        <v>1</v>
      </c>
      <c r="K274" s="5" t="n">
        <v>45.94</v>
      </c>
      <c r="L274" s="8" t="n">
        <v>0.355931</v>
      </c>
      <c r="M274" s="9" t="n">
        <v>129.07</v>
      </c>
      <c r="N274" s="10" t="n">
        <v>0.04779686</v>
      </c>
      <c r="O274" s="5" t="n">
        <v>96.39</v>
      </c>
      <c r="P274" s="11" t="n">
        <v>1.070344</v>
      </c>
      <c r="Q274" s="7" t="n">
        <v>1339</v>
      </c>
      <c r="R274" s="7" t="n">
        <v>64</v>
      </c>
      <c r="S274" s="7" t="n">
        <v>4</v>
      </c>
      <c r="T274" s="7" t="n">
        <v>3</v>
      </c>
      <c r="U274" s="7" t="n">
        <v>1288</v>
      </c>
      <c r="V274" s="7" t="n">
        <v>263</v>
      </c>
    </row>
    <row r="275" customFormat="false" ht="15" hidden="false" customHeight="false" outlineLevel="0" collapsed="false">
      <c r="A275" s="4" t="s">
        <v>1188</v>
      </c>
      <c r="B275" s="4" t="str">
        <f aca="false">IF(AND(I275&gt;='Read Me &amp; Markers'!$B$18,J275&gt;='Read Me &amp; Markers'!$B$19,L275&gt;='Read Me &amp; Markers'!$B$20),"A. Proven winner",IF(AND(I275&gt;='Read Me &amp; Markers'!$B$18,J275&gt;='Read Me &amp; Markers'!$B$19,L275&gt;='Read Me &amp; Markers'!$B$21),"B. Strong performer",IF(AND(I275&gt;='Read Me &amp; Markers'!$B$22,L275&gt;='Read Me &amp; Markers'!$B$23),"C. Scale workhorse",IF(AND(I275&gt;='Read Me &amp; Markers'!$B$24,I275&lt;'Read Me &amp; Markers'!$B$18,J275&gt;='Read Me &amp; Markers'!$B$25,L275&gt;='Read Me &amp; Markers'!$B$26),"D. Promising (needs more spend)",""))))</f>
        <v/>
      </c>
      <c r="C275" s="4" t="s">
        <v>1189</v>
      </c>
      <c r="D275" s="4" t="s">
        <v>109</v>
      </c>
      <c r="E275" s="4" t="s">
        <v>1190</v>
      </c>
      <c r="F275" s="4" t="s">
        <v>87</v>
      </c>
      <c r="G275" s="4" t="s">
        <v>583</v>
      </c>
      <c r="H275" s="4" t="s">
        <v>1191</v>
      </c>
      <c r="I275" s="5" t="n">
        <v>128.94</v>
      </c>
      <c r="J275" s="7" t="n">
        <v>1</v>
      </c>
      <c r="K275" s="5" t="n">
        <v>39.97</v>
      </c>
      <c r="L275" s="8" t="n">
        <v>0.309989</v>
      </c>
      <c r="M275" s="9" t="n">
        <v>128.94</v>
      </c>
      <c r="N275" s="10" t="n">
        <v>0.05961755</v>
      </c>
      <c r="O275" s="5" t="n">
        <v>145.04</v>
      </c>
      <c r="P275" s="11" t="n">
        <v>1.282828</v>
      </c>
      <c r="Q275" s="7" t="n">
        <v>889</v>
      </c>
      <c r="R275" s="7" t="n">
        <v>53</v>
      </c>
      <c r="S275" s="7" t="n">
        <v>8</v>
      </c>
      <c r="T275" s="7" t="n">
        <v>5</v>
      </c>
      <c r="U275" s="7" t="n">
        <v>839</v>
      </c>
      <c r="V275" s="7" t="n">
        <v>173</v>
      </c>
    </row>
    <row r="276" customFormat="false" ht="15" hidden="false" customHeight="false" outlineLevel="0" collapsed="false">
      <c r="A276" s="4" t="s">
        <v>1192</v>
      </c>
      <c r="B276" s="4" t="str">
        <f aca="false">IF(AND(I276&gt;='Read Me &amp; Markers'!$B$18,J276&gt;='Read Me &amp; Markers'!$B$19,L276&gt;='Read Me &amp; Markers'!$B$20),"A. Proven winner",IF(AND(I276&gt;='Read Me &amp; Markers'!$B$18,J276&gt;='Read Me &amp; Markers'!$B$19,L276&gt;='Read Me &amp; Markers'!$B$21),"B. Strong performer",IF(AND(I276&gt;='Read Me &amp; Markers'!$B$22,L276&gt;='Read Me &amp; Markers'!$B$23),"C. Scale workhorse",IF(AND(I276&gt;='Read Me &amp; Markers'!$B$24,I276&lt;'Read Me &amp; Markers'!$B$18,J276&gt;='Read Me &amp; Markers'!$B$25,L276&gt;='Read Me &amp; Markers'!$B$26),"D. Promising (needs more spend)",""))))</f>
        <v/>
      </c>
      <c r="C276" s="4" t="s">
        <v>169</v>
      </c>
      <c r="D276" s="4" t="s">
        <v>100</v>
      </c>
      <c r="E276" s="4" t="s">
        <v>1193</v>
      </c>
      <c r="F276" s="4" t="s">
        <v>87</v>
      </c>
      <c r="G276" s="4" t="s">
        <v>208</v>
      </c>
      <c r="H276" s="4" t="s">
        <v>1194</v>
      </c>
      <c r="I276" s="5" t="n">
        <v>128.58</v>
      </c>
      <c r="J276" s="7" t="n">
        <v>0</v>
      </c>
      <c r="K276" s="5" t="n">
        <v>0</v>
      </c>
      <c r="L276" s="8" t="n">
        <v>0</v>
      </c>
      <c r="M276" s="9" t="n">
        <v>0</v>
      </c>
      <c r="N276" s="10" t="n">
        <v>0.04264214</v>
      </c>
      <c r="O276" s="5" t="n">
        <v>107.51</v>
      </c>
      <c r="P276" s="11" t="n">
        <v>1.295775</v>
      </c>
      <c r="Q276" s="7" t="n">
        <v>1196</v>
      </c>
      <c r="R276" s="7" t="n">
        <v>51</v>
      </c>
      <c r="S276" s="7" t="n">
        <v>0</v>
      </c>
      <c r="T276" s="7" t="n">
        <v>0</v>
      </c>
      <c r="U276" s="7" t="n">
        <v>1034</v>
      </c>
      <c r="V276" s="7" t="n">
        <v>126</v>
      </c>
    </row>
    <row r="277" customFormat="false" ht="15" hidden="false" customHeight="false" outlineLevel="0" collapsed="false">
      <c r="A277" s="4" t="s">
        <v>1195</v>
      </c>
      <c r="B277" s="4" t="str">
        <f aca="false">IF(AND(I277&gt;='Read Me &amp; Markers'!$B$18,J277&gt;='Read Me &amp; Markers'!$B$19,L277&gt;='Read Me &amp; Markers'!$B$20),"A. Proven winner",IF(AND(I277&gt;='Read Me &amp; Markers'!$B$18,J277&gt;='Read Me &amp; Markers'!$B$19,L277&gt;='Read Me &amp; Markers'!$B$21),"B. Strong performer",IF(AND(I277&gt;='Read Me &amp; Markers'!$B$22,L277&gt;='Read Me &amp; Markers'!$B$23),"C. Scale workhorse",IF(AND(I277&gt;='Read Me &amp; Markers'!$B$24,I277&lt;'Read Me &amp; Markers'!$B$18,J277&gt;='Read Me &amp; Markers'!$B$25,L277&gt;='Read Me &amp; Markers'!$B$26),"D. Promising (needs more spend)",""))))</f>
        <v/>
      </c>
      <c r="C277" s="4" t="s">
        <v>83</v>
      </c>
      <c r="D277" s="4" t="s">
        <v>228</v>
      </c>
      <c r="E277" s="4" t="s">
        <v>1196</v>
      </c>
      <c r="F277" s="4" t="s">
        <v>230</v>
      </c>
      <c r="G277" s="4" t="s">
        <v>262</v>
      </c>
      <c r="H277" s="4" t="s">
        <v>1197</v>
      </c>
      <c r="I277" s="5" t="n">
        <v>128.37</v>
      </c>
      <c r="J277" s="7" t="n">
        <v>1</v>
      </c>
      <c r="K277" s="5" t="n">
        <v>39.97</v>
      </c>
      <c r="L277" s="8" t="n">
        <v>0.311366</v>
      </c>
      <c r="M277" s="9" t="n">
        <v>128.37</v>
      </c>
      <c r="N277" s="10" t="n">
        <v>0.04248366</v>
      </c>
      <c r="O277" s="5" t="n">
        <v>83.9</v>
      </c>
      <c r="P277" s="11" t="n">
        <v>1.661238</v>
      </c>
      <c r="Q277" s="7" t="n">
        <v>1530</v>
      </c>
      <c r="R277" s="7" t="n">
        <v>65</v>
      </c>
      <c r="S277" s="7" t="n">
        <v>6</v>
      </c>
      <c r="T277" s="7" t="n">
        <v>10</v>
      </c>
      <c r="U277" s="7" t="n">
        <v>1077</v>
      </c>
      <c r="V277" s="7" t="n">
        <v>69</v>
      </c>
    </row>
    <row r="278" customFormat="false" ht="15" hidden="false" customHeight="false" outlineLevel="0" collapsed="false">
      <c r="A278" s="4" t="s">
        <v>1198</v>
      </c>
      <c r="B278" s="4" t="str">
        <f aca="false">IF(AND(I278&gt;='Read Me &amp; Markers'!$B$18,J278&gt;='Read Me &amp; Markers'!$B$19,L278&gt;='Read Me &amp; Markers'!$B$20),"A. Proven winner",IF(AND(I278&gt;='Read Me &amp; Markers'!$B$18,J278&gt;='Read Me &amp; Markers'!$B$19,L278&gt;='Read Me &amp; Markers'!$B$21),"B. Strong performer",IF(AND(I278&gt;='Read Me &amp; Markers'!$B$22,L278&gt;='Read Me &amp; Markers'!$B$23),"C. Scale workhorse",IF(AND(I278&gt;='Read Me &amp; Markers'!$B$24,I278&lt;'Read Me &amp; Markers'!$B$18,J278&gt;='Read Me &amp; Markers'!$B$25,L278&gt;='Read Me &amp; Markers'!$B$26),"D. Promising (needs more spend)",""))))</f>
        <v/>
      </c>
      <c r="C278" s="4" t="s">
        <v>98</v>
      </c>
      <c r="D278" s="4" t="s">
        <v>100</v>
      </c>
      <c r="E278" s="4" t="s">
        <v>1199</v>
      </c>
      <c r="F278" s="4" t="s">
        <v>87</v>
      </c>
      <c r="G278" s="4" t="s">
        <v>1200</v>
      </c>
      <c r="H278" s="4" t="s">
        <v>1201</v>
      </c>
      <c r="I278" s="5" t="n">
        <v>127.07</v>
      </c>
      <c r="J278" s="7" t="n">
        <v>1</v>
      </c>
      <c r="K278" s="5" t="n">
        <v>48.24</v>
      </c>
      <c r="L278" s="8" t="n">
        <v>0.379633</v>
      </c>
      <c r="M278" s="9" t="n">
        <v>127.07</v>
      </c>
      <c r="N278" s="10" t="n">
        <v>0.04441041</v>
      </c>
      <c r="O278" s="5" t="n">
        <v>97.3</v>
      </c>
      <c r="P278" s="11" t="n">
        <v>1.135652</v>
      </c>
      <c r="Q278" s="7" t="n">
        <v>1306</v>
      </c>
      <c r="R278" s="7" t="n">
        <v>58</v>
      </c>
      <c r="S278" s="7" t="n">
        <v>7</v>
      </c>
      <c r="T278" s="7" t="n">
        <v>6</v>
      </c>
      <c r="U278" s="7" t="n">
        <v>1124</v>
      </c>
      <c r="V278" s="7" t="n">
        <v>209</v>
      </c>
    </row>
    <row r="279" customFormat="false" ht="15" hidden="false" customHeight="false" outlineLevel="0" collapsed="false">
      <c r="A279" s="4" t="s">
        <v>1202</v>
      </c>
      <c r="B279" s="4" t="str">
        <f aca="false">IF(AND(I279&gt;='Read Me &amp; Markers'!$B$18,J279&gt;='Read Me &amp; Markers'!$B$19,L279&gt;='Read Me &amp; Markers'!$B$20),"A. Proven winner",IF(AND(I279&gt;='Read Me &amp; Markers'!$B$18,J279&gt;='Read Me &amp; Markers'!$B$19,L279&gt;='Read Me &amp; Markers'!$B$21),"B. Strong performer",IF(AND(I279&gt;='Read Me &amp; Markers'!$B$22,L279&gt;='Read Me &amp; Markers'!$B$23),"C. Scale workhorse",IF(AND(I279&gt;='Read Me &amp; Markers'!$B$24,I279&lt;'Read Me &amp; Markers'!$B$18,J279&gt;='Read Me &amp; Markers'!$B$25,L279&gt;='Read Me &amp; Markers'!$B$26),"D. Promising (needs more spend)",""))))</f>
        <v/>
      </c>
      <c r="C279" s="4" t="s">
        <v>1203</v>
      </c>
      <c r="D279" s="4" t="s">
        <v>1204</v>
      </c>
      <c r="E279" s="4" t="s">
        <v>1205</v>
      </c>
      <c r="F279" s="4" t="s">
        <v>87</v>
      </c>
      <c r="G279" s="4" t="s">
        <v>1206</v>
      </c>
      <c r="H279" s="4" t="s">
        <v>1207</v>
      </c>
      <c r="I279" s="5" t="n">
        <v>126.92</v>
      </c>
      <c r="J279" s="7" t="n">
        <v>1</v>
      </c>
      <c r="K279" s="5" t="n">
        <v>32.97</v>
      </c>
      <c r="L279" s="8" t="n">
        <v>0.25977</v>
      </c>
      <c r="M279" s="9" t="n">
        <v>126.92</v>
      </c>
      <c r="N279" s="10" t="n">
        <v>0.05843544</v>
      </c>
      <c r="O279" s="5" t="n">
        <v>119.62</v>
      </c>
      <c r="P279" s="11" t="n">
        <v>1.119198</v>
      </c>
      <c r="Q279" s="7" t="n">
        <v>1061</v>
      </c>
      <c r="R279" s="7" t="n">
        <v>62</v>
      </c>
      <c r="S279" s="7" t="n">
        <v>1</v>
      </c>
      <c r="T279" s="7" t="n">
        <v>2</v>
      </c>
      <c r="U279" s="7" t="n">
        <v>973</v>
      </c>
      <c r="V279" s="7" t="n">
        <v>197</v>
      </c>
    </row>
    <row r="280" customFormat="false" ht="15" hidden="false" customHeight="false" outlineLevel="0" collapsed="false">
      <c r="A280" s="4" t="s">
        <v>1208</v>
      </c>
      <c r="B280" s="4" t="str">
        <f aca="false">IF(AND(I280&gt;='Read Me &amp; Markers'!$B$18,J280&gt;='Read Me &amp; Markers'!$B$19,L280&gt;='Read Me &amp; Markers'!$B$20),"A. Proven winner",IF(AND(I280&gt;='Read Me &amp; Markers'!$B$18,J280&gt;='Read Me &amp; Markers'!$B$19,L280&gt;='Read Me &amp; Markers'!$B$21),"B. Strong performer",IF(AND(I280&gt;='Read Me &amp; Markers'!$B$22,L280&gt;='Read Me &amp; Markers'!$B$23),"C. Scale workhorse",IF(AND(I280&gt;='Read Me &amp; Markers'!$B$24,I280&lt;'Read Me &amp; Markers'!$B$18,J280&gt;='Read Me &amp; Markers'!$B$25,L280&gt;='Read Me &amp; Markers'!$B$26),"D. Promising (needs more spend)",""))))</f>
        <v/>
      </c>
      <c r="C280" s="4" t="s">
        <v>1120</v>
      </c>
      <c r="D280" s="4" t="s">
        <v>528</v>
      </c>
      <c r="E280" s="4" t="s">
        <v>1209</v>
      </c>
      <c r="F280" s="4" t="s">
        <v>230</v>
      </c>
      <c r="G280" s="4" t="s">
        <v>530</v>
      </c>
      <c r="H280" s="4" t="s">
        <v>1210</v>
      </c>
      <c r="I280" s="5" t="n">
        <v>126.26</v>
      </c>
      <c r="J280" s="7" t="n">
        <v>2</v>
      </c>
      <c r="K280" s="5" t="n">
        <v>69.96</v>
      </c>
      <c r="L280" s="8" t="n">
        <v>0.554095</v>
      </c>
      <c r="M280" s="9" t="n">
        <v>63.13</v>
      </c>
      <c r="N280" s="10" t="n">
        <v>0.04354839</v>
      </c>
      <c r="O280" s="5" t="n">
        <v>101.82</v>
      </c>
      <c r="P280" s="11" t="n">
        <v>1.206226</v>
      </c>
      <c r="Q280" s="7" t="n">
        <v>1240</v>
      </c>
      <c r="R280" s="7" t="n">
        <v>54</v>
      </c>
      <c r="S280" s="7" t="n">
        <v>2</v>
      </c>
      <c r="T280" s="7" t="n">
        <v>2</v>
      </c>
      <c r="U280" s="7" t="n">
        <v>1081</v>
      </c>
      <c r="V280" s="7" t="n">
        <v>161</v>
      </c>
    </row>
    <row r="281" customFormat="false" ht="15" hidden="false" customHeight="false" outlineLevel="0" collapsed="false">
      <c r="A281" s="4" t="s">
        <v>1211</v>
      </c>
      <c r="B281" s="4" t="str">
        <f aca="false">IF(AND(I281&gt;='Read Me &amp; Markers'!$B$18,J281&gt;='Read Me &amp; Markers'!$B$19,L281&gt;='Read Me &amp; Markers'!$B$20),"A. Proven winner",IF(AND(I281&gt;='Read Me &amp; Markers'!$B$18,J281&gt;='Read Me &amp; Markers'!$B$19,L281&gt;='Read Me &amp; Markers'!$B$21),"B. Strong performer",IF(AND(I281&gt;='Read Me &amp; Markers'!$B$22,L281&gt;='Read Me &amp; Markers'!$B$23),"C. Scale workhorse",IF(AND(I281&gt;='Read Me &amp; Markers'!$B$24,I281&lt;'Read Me &amp; Markers'!$B$18,J281&gt;='Read Me &amp; Markers'!$B$25,L281&gt;='Read Me &amp; Markers'!$B$26),"D. Promising (needs more spend)",""))))</f>
        <v/>
      </c>
      <c r="C281" s="4" t="s">
        <v>1212</v>
      </c>
      <c r="D281" s="4" t="s">
        <v>109</v>
      </c>
      <c r="E281" s="4" t="s">
        <v>424</v>
      </c>
      <c r="F281" s="4" t="s">
        <v>111</v>
      </c>
      <c r="G281" s="4" t="s">
        <v>425</v>
      </c>
      <c r="H281" s="4" t="s">
        <v>1213</v>
      </c>
      <c r="I281" s="5" t="n">
        <v>126.14</v>
      </c>
      <c r="J281" s="7" t="n">
        <v>1</v>
      </c>
      <c r="K281" s="5" t="n">
        <v>79.97</v>
      </c>
      <c r="L281" s="8" t="n">
        <v>0.633978</v>
      </c>
      <c r="M281" s="9" t="n">
        <v>126.14</v>
      </c>
      <c r="N281" s="10" t="n">
        <v>0.02887701</v>
      </c>
      <c r="O281" s="5" t="n">
        <v>134.91</v>
      </c>
      <c r="P281" s="11" t="n">
        <v>1.12515</v>
      </c>
      <c r="Q281" s="7" t="n">
        <v>935</v>
      </c>
      <c r="R281" s="7" t="n">
        <v>27</v>
      </c>
      <c r="S281" s="7" t="n">
        <v>7</v>
      </c>
      <c r="T281" s="7" t="n">
        <v>10</v>
      </c>
      <c r="U281" s="7" t="n">
        <v>884</v>
      </c>
      <c r="V281" s="7" t="n">
        <v>238</v>
      </c>
    </row>
    <row r="282" customFormat="false" ht="15" hidden="false" customHeight="false" outlineLevel="0" collapsed="false">
      <c r="A282" s="4" t="s">
        <v>1214</v>
      </c>
      <c r="B282" s="4" t="str">
        <f aca="false">IF(AND(I282&gt;='Read Me &amp; Markers'!$B$18,J282&gt;='Read Me &amp; Markers'!$B$19,L282&gt;='Read Me &amp; Markers'!$B$20),"A. Proven winner",IF(AND(I282&gt;='Read Me &amp; Markers'!$B$18,J282&gt;='Read Me &amp; Markers'!$B$19,L282&gt;='Read Me &amp; Markers'!$B$21),"B. Strong performer",IF(AND(I282&gt;='Read Me &amp; Markers'!$B$22,L282&gt;='Read Me &amp; Markers'!$B$23),"C. Scale workhorse",IF(AND(I282&gt;='Read Me &amp; Markers'!$B$24,I282&lt;'Read Me &amp; Markers'!$B$18,J282&gt;='Read Me &amp; Markers'!$B$25,L282&gt;='Read Me &amp; Markers'!$B$26),"D. Promising (needs more spend)",""))))</f>
        <v/>
      </c>
      <c r="C282" s="4" t="s">
        <v>1215</v>
      </c>
      <c r="D282" s="4" t="s">
        <v>228</v>
      </c>
      <c r="E282" s="4" t="s">
        <v>1216</v>
      </c>
      <c r="F282" s="4" t="s">
        <v>230</v>
      </c>
      <c r="G282" s="4" t="s">
        <v>231</v>
      </c>
      <c r="H282" s="4" t="s">
        <v>1217</v>
      </c>
      <c r="I282" s="5" t="n">
        <v>125.94</v>
      </c>
      <c r="J282" s="7" t="n">
        <v>1</v>
      </c>
      <c r="K282" s="5" t="n">
        <v>45.95</v>
      </c>
      <c r="L282" s="8" t="n">
        <v>0.364856</v>
      </c>
      <c r="M282" s="9" t="n">
        <v>125.94</v>
      </c>
      <c r="N282" s="10" t="n">
        <v>0.02081526</v>
      </c>
      <c r="O282" s="5" t="n">
        <v>54.61</v>
      </c>
      <c r="P282" s="11" t="n">
        <v>1.775212</v>
      </c>
      <c r="Q282" s="7" t="n">
        <v>2306</v>
      </c>
      <c r="R282" s="7" t="n">
        <v>48</v>
      </c>
      <c r="S282" s="7" t="n">
        <v>1</v>
      </c>
      <c r="T282" s="7" t="n">
        <v>7</v>
      </c>
      <c r="U282" s="7" t="n">
        <v>0</v>
      </c>
      <c r="V282" s="7" t="n">
        <v>0</v>
      </c>
    </row>
    <row r="283" customFormat="false" ht="15" hidden="false" customHeight="false" outlineLevel="0" collapsed="false">
      <c r="A283" s="4" t="s">
        <v>1218</v>
      </c>
      <c r="B283" s="4" t="str">
        <f aca="false">IF(AND(I283&gt;='Read Me &amp; Markers'!$B$18,J283&gt;='Read Me &amp; Markers'!$B$19,L283&gt;='Read Me &amp; Markers'!$B$20),"A. Proven winner",IF(AND(I283&gt;='Read Me &amp; Markers'!$B$18,J283&gt;='Read Me &amp; Markers'!$B$19,L283&gt;='Read Me &amp; Markers'!$B$21),"B. Strong performer",IF(AND(I283&gt;='Read Me &amp; Markers'!$B$22,L283&gt;='Read Me &amp; Markers'!$B$23),"C. Scale workhorse",IF(AND(I283&gt;='Read Me &amp; Markers'!$B$24,I283&lt;'Read Me &amp; Markers'!$B$18,J283&gt;='Read Me &amp; Markers'!$B$25,L283&gt;='Read Me &amp; Markers'!$B$26),"D. Promising (needs more spend)",""))))</f>
        <v/>
      </c>
      <c r="C283" s="4" t="s">
        <v>1219</v>
      </c>
      <c r="D283" s="4" t="s">
        <v>109</v>
      </c>
      <c r="E283" s="4" t="s">
        <v>1220</v>
      </c>
      <c r="F283" s="4" t="s">
        <v>87</v>
      </c>
      <c r="G283" s="4" t="s">
        <v>588</v>
      </c>
      <c r="H283" s="4" t="s">
        <v>1221</v>
      </c>
      <c r="I283" s="5" t="n">
        <v>125.72</v>
      </c>
      <c r="J283" s="7" t="n">
        <v>2</v>
      </c>
      <c r="K283" s="5" t="n">
        <v>115.93</v>
      </c>
      <c r="L283" s="8" t="n">
        <v>0.922129</v>
      </c>
      <c r="M283" s="9" t="n">
        <v>62.86</v>
      </c>
      <c r="N283" s="10" t="n">
        <v>0.03338392</v>
      </c>
      <c r="O283" s="5" t="n">
        <v>95.39</v>
      </c>
      <c r="P283" s="11" t="n">
        <v>1.282101</v>
      </c>
      <c r="Q283" s="7" t="n">
        <v>1318</v>
      </c>
      <c r="R283" s="7" t="n">
        <v>44</v>
      </c>
      <c r="S283" s="7" t="n">
        <v>1</v>
      </c>
      <c r="T283" s="7" t="n">
        <v>3</v>
      </c>
      <c r="U283" s="7" t="n">
        <v>966</v>
      </c>
      <c r="V283" s="7" t="n">
        <v>111</v>
      </c>
    </row>
    <row r="284" customFormat="false" ht="15" hidden="false" customHeight="false" outlineLevel="0" collapsed="false">
      <c r="A284" s="4" t="s">
        <v>1222</v>
      </c>
      <c r="B284" s="4" t="str">
        <f aca="false">IF(AND(I284&gt;='Read Me &amp; Markers'!$B$18,J284&gt;='Read Me &amp; Markers'!$B$19,L284&gt;='Read Me &amp; Markers'!$B$20),"A. Proven winner",IF(AND(I284&gt;='Read Me &amp; Markers'!$B$18,J284&gt;='Read Me &amp; Markers'!$B$19,L284&gt;='Read Me &amp; Markers'!$B$21),"B. Strong performer",IF(AND(I284&gt;='Read Me &amp; Markers'!$B$22,L284&gt;='Read Me &amp; Markers'!$B$23),"C. Scale workhorse",IF(AND(I284&gt;='Read Me &amp; Markers'!$B$24,I284&lt;'Read Me &amp; Markers'!$B$18,J284&gt;='Read Me &amp; Markers'!$B$25,L284&gt;='Read Me &amp; Markers'!$B$26),"D. Promising (needs more spend)",""))))</f>
        <v/>
      </c>
      <c r="C284" s="4" t="s">
        <v>1223</v>
      </c>
      <c r="D284" s="4" t="s">
        <v>109</v>
      </c>
      <c r="E284" s="4" t="s">
        <v>1224</v>
      </c>
      <c r="F284" s="4" t="s">
        <v>87</v>
      </c>
      <c r="G284" s="4" t="s">
        <v>508</v>
      </c>
      <c r="H284" s="4" t="s">
        <v>1225</v>
      </c>
      <c r="I284" s="5" t="n">
        <v>125.67</v>
      </c>
      <c r="J284" s="7" t="n">
        <v>2</v>
      </c>
      <c r="K284" s="5" t="n">
        <v>81.91</v>
      </c>
      <c r="L284" s="8" t="n">
        <v>0.651786</v>
      </c>
      <c r="M284" s="9" t="n">
        <v>62.84</v>
      </c>
      <c r="N284" s="10" t="n">
        <v>0.10800971</v>
      </c>
      <c r="O284" s="5" t="n">
        <v>152.51</v>
      </c>
      <c r="P284" s="11" t="n">
        <v>1.185612</v>
      </c>
      <c r="Q284" s="7" t="n">
        <v>824</v>
      </c>
      <c r="R284" s="7" t="n">
        <v>89</v>
      </c>
      <c r="S284" s="7" t="n">
        <v>0</v>
      </c>
      <c r="T284" s="7" t="n">
        <v>2</v>
      </c>
      <c r="U284" s="7" t="n">
        <v>782</v>
      </c>
      <c r="V284" s="7" t="n">
        <v>193</v>
      </c>
    </row>
    <row r="285" customFormat="false" ht="15" hidden="false" customHeight="false" outlineLevel="0" collapsed="false">
      <c r="A285" s="4" t="s">
        <v>1226</v>
      </c>
      <c r="B285" s="4" t="str">
        <f aca="false">IF(AND(I285&gt;='Read Me &amp; Markers'!$B$18,J285&gt;='Read Me &amp; Markers'!$B$19,L285&gt;='Read Me &amp; Markers'!$B$20),"A. Proven winner",IF(AND(I285&gt;='Read Me &amp; Markers'!$B$18,J285&gt;='Read Me &amp; Markers'!$B$19,L285&gt;='Read Me &amp; Markers'!$B$21),"B. Strong performer",IF(AND(I285&gt;='Read Me &amp; Markers'!$B$22,L285&gt;='Read Me &amp; Markers'!$B$23),"C. Scale workhorse",IF(AND(I285&gt;='Read Me &amp; Markers'!$B$24,I285&lt;'Read Me &amp; Markers'!$B$18,J285&gt;='Read Me &amp; Markers'!$B$25,L285&gt;='Read Me &amp; Markers'!$B$26),"D. Promising (needs more spend)",""))))</f>
        <v/>
      </c>
      <c r="C285" s="4" t="s">
        <v>169</v>
      </c>
      <c r="D285" s="4" t="s">
        <v>100</v>
      </c>
      <c r="E285" s="4" t="s">
        <v>1227</v>
      </c>
      <c r="F285" s="4" t="s">
        <v>87</v>
      </c>
      <c r="G285" s="4" t="s">
        <v>538</v>
      </c>
      <c r="H285" s="4" t="s">
        <v>1228</v>
      </c>
      <c r="I285" s="5" t="n">
        <v>125.22</v>
      </c>
      <c r="J285" s="7" t="n">
        <v>1</v>
      </c>
      <c r="K285" s="5" t="n">
        <v>79.97</v>
      </c>
      <c r="L285" s="8" t="n">
        <v>0.638636</v>
      </c>
      <c r="M285" s="9" t="n">
        <v>125.22</v>
      </c>
      <c r="N285" s="10" t="n">
        <v>0.0592</v>
      </c>
      <c r="O285" s="5" t="n">
        <v>100.18</v>
      </c>
      <c r="P285" s="11" t="n">
        <v>1.191611</v>
      </c>
      <c r="Q285" s="7" t="n">
        <v>1250</v>
      </c>
      <c r="R285" s="7" t="n">
        <v>74</v>
      </c>
      <c r="S285" s="7" t="n">
        <v>5</v>
      </c>
      <c r="T285" s="7" t="n">
        <v>3</v>
      </c>
      <c r="U285" s="7" t="n">
        <v>1194</v>
      </c>
      <c r="V285" s="7" t="n">
        <v>254</v>
      </c>
    </row>
    <row r="286" customFormat="false" ht="15" hidden="false" customHeight="false" outlineLevel="0" collapsed="false">
      <c r="A286" s="4" t="s">
        <v>1229</v>
      </c>
      <c r="B286" s="4" t="str">
        <f aca="false">IF(AND(I286&gt;='Read Me &amp; Markers'!$B$18,J286&gt;='Read Me &amp; Markers'!$B$19,L286&gt;='Read Me &amp; Markers'!$B$20),"A. Proven winner",IF(AND(I286&gt;='Read Me &amp; Markers'!$B$18,J286&gt;='Read Me &amp; Markers'!$B$19,L286&gt;='Read Me &amp; Markers'!$B$21),"B. Strong performer",IF(AND(I286&gt;='Read Me &amp; Markers'!$B$22,L286&gt;='Read Me &amp; Markers'!$B$23),"C. Scale workhorse",IF(AND(I286&gt;='Read Me &amp; Markers'!$B$24,I286&lt;'Read Me &amp; Markers'!$B$18,J286&gt;='Read Me &amp; Markers'!$B$25,L286&gt;='Read Me &amp; Markers'!$B$26),"D. Promising (needs more spend)",""))))</f>
        <v/>
      </c>
      <c r="C286" s="4" t="s">
        <v>1230</v>
      </c>
      <c r="D286" s="4" t="s">
        <v>109</v>
      </c>
      <c r="E286" s="4" t="s">
        <v>1068</v>
      </c>
      <c r="F286" s="4" t="s">
        <v>87</v>
      </c>
      <c r="G286" s="4" t="s">
        <v>378</v>
      </c>
      <c r="H286" s="4" t="s">
        <v>1231</v>
      </c>
      <c r="I286" s="5" t="n">
        <v>125.07</v>
      </c>
      <c r="J286" s="7" t="n">
        <v>2</v>
      </c>
      <c r="K286" s="5" t="n">
        <v>79.94</v>
      </c>
      <c r="L286" s="8" t="n">
        <v>0.639162</v>
      </c>
      <c r="M286" s="9" t="n">
        <v>62.54</v>
      </c>
      <c r="N286" s="10" t="n">
        <v>0.02807018</v>
      </c>
      <c r="O286" s="5" t="n">
        <v>87.77</v>
      </c>
      <c r="P286" s="11" t="n">
        <v>1.175743</v>
      </c>
      <c r="Q286" s="7" t="n">
        <v>1425</v>
      </c>
      <c r="R286" s="7" t="n">
        <v>40</v>
      </c>
      <c r="S286" s="7" t="n">
        <v>1</v>
      </c>
      <c r="T286" s="7" t="n">
        <v>2</v>
      </c>
      <c r="U286" s="7" t="n">
        <v>1340</v>
      </c>
      <c r="V286" s="7" t="n">
        <v>187</v>
      </c>
    </row>
    <row r="287" customFormat="false" ht="15" hidden="false" customHeight="false" outlineLevel="0" collapsed="false">
      <c r="A287" s="4" t="s">
        <v>1232</v>
      </c>
      <c r="B287" s="4" t="str">
        <f aca="false">IF(AND(I287&gt;='Read Me &amp; Markers'!$B$18,J287&gt;='Read Me &amp; Markers'!$B$19,L287&gt;='Read Me &amp; Markers'!$B$20),"A. Proven winner",IF(AND(I287&gt;='Read Me &amp; Markers'!$B$18,J287&gt;='Read Me &amp; Markers'!$B$19,L287&gt;='Read Me &amp; Markers'!$B$21),"B. Strong performer",IF(AND(I287&gt;='Read Me &amp; Markers'!$B$22,L287&gt;='Read Me &amp; Markers'!$B$23),"C. Scale workhorse",IF(AND(I287&gt;='Read Me &amp; Markers'!$B$24,I287&lt;'Read Me &amp; Markers'!$B$18,J287&gt;='Read Me &amp; Markers'!$B$25,L287&gt;='Read Me &amp; Markers'!$B$26),"D. Promising (needs more spend)",""))))</f>
        <v/>
      </c>
      <c r="C287" s="4" t="s">
        <v>226</v>
      </c>
      <c r="D287" s="4" t="s">
        <v>228</v>
      </c>
      <c r="E287" s="4" t="s">
        <v>1233</v>
      </c>
      <c r="F287" s="4" t="s">
        <v>230</v>
      </c>
      <c r="G287" s="4" t="s">
        <v>785</v>
      </c>
      <c r="H287" s="4" t="s">
        <v>1234</v>
      </c>
      <c r="I287" s="5" t="n">
        <v>125.05</v>
      </c>
      <c r="J287" s="7" t="n">
        <v>2</v>
      </c>
      <c r="K287" s="5" t="n">
        <v>91.9</v>
      </c>
      <c r="L287" s="8" t="n">
        <v>0.734906</v>
      </c>
      <c r="M287" s="9" t="n">
        <v>62.53</v>
      </c>
      <c r="N287" s="10" t="n">
        <v>0.04232365</v>
      </c>
      <c r="O287" s="5" t="n">
        <v>103.78</v>
      </c>
      <c r="P287" s="11" t="n">
        <v>1.419317</v>
      </c>
      <c r="Q287" s="7" t="n">
        <v>1205</v>
      </c>
      <c r="R287" s="7" t="n">
        <v>51</v>
      </c>
      <c r="S287" s="7" t="n">
        <v>2</v>
      </c>
      <c r="T287" s="7" t="n">
        <v>5</v>
      </c>
      <c r="U287" s="7" t="n">
        <v>1096</v>
      </c>
      <c r="V287" s="7" t="n">
        <v>125</v>
      </c>
    </row>
    <row r="288" customFormat="false" ht="15" hidden="false" customHeight="false" outlineLevel="0" collapsed="false">
      <c r="A288" s="4" t="s">
        <v>1235</v>
      </c>
      <c r="B288" s="4" t="str">
        <f aca="false">IF(AND(I288&gt;='Read Me &amp; Markers'!$B$18,J288&gt;='Read Me &amp; Markers'!$B$19,L288&gt;='Read Me &amp; Markers'!$B$20),"A. Proven winner",IF(AND(I288&gt;='Read Me &amp; Markers'!$B$18,J288&gt;='Read Me &amp; Markers'!$B$19,L288&gt;='Read Me &amp; Markers'!$B$21),"B. Strong performer",IF(AND(I288&gt;='Read Me &amp; Markers'!$B$22,L288&gt;='Read Me &amp; Markers'!$B$23),"C. Scale workhorse",IF(AND(I288&gt;='Read Me &amp; Markers'!$B$24,I288&lt;'Read Me &amp; Markers'!$B$18,J288&gt;='Read Me &amp; Markers'!$B$25,L288&gt;='Read Me &amp; Markers'!$B$26),"D. Promising (needs more spend)",""))))</f>
        <v/>
      </c>
      <c r="C288" s="4" t="s">
        <v>129</v>
      </c>
      <c r="D288" s="4" t="s">
        <v>100</v>
      </c>
      <c r="E288" s="4" t="s">
        <v>937</v>
      </c>
      <c r="F288" s="4" t="s">
        <v>87</v>
      </c>
      <c r="G288" s="4" t="s">
        <v>208</v>
      </c>
      <c r="H288" s="4" t="s">
        <v>1236</v>
      </c>
      <c r="I288" s="5" t="n">
        <v>124.69</v>
      </c>
      <c r="J288" s="7" t="n">
        <v>1</v>
      </c>
      <c r="K288" s="5" t="n">
        <v>39.97</v>
      </c>
      <c r="L288" s="8" t="n">
        <v>0.320555</v>
      </c>
      <c r="M288" s="9" t="n">
        <v>124.69</v>
      </c>
      <c r="N288" s="10" t="n">
        <v>0.04780262</v>
      </c>
      <c r="O288" s="5" t="n">
        <v>96.14</v>
      </c>
      <c r="P288" s="11" t="n">
        <v>1.299599</v>
      </c>
      <c r="Q288" s="7" t="n">
        <v>1297</v>
      </c>
      <c r="R288" s="7" t="n">
        <v>62</v>
      </c>
      <c r="S288" s="7" t="n">
        <v>8</v>
      </c>
      <c r="T288" s="7" t="n">
        <v>3</v>
      </c>
      <c r="U288" s="7" t="n">
        <v>934</v>
      </c>
      <c r="V288" s="7" t="n">
        <v>192</v>
      </c>
    </row>
    <row r="289" customFormat="false" ht="15" hidden="false" customHeight="false" outlineLevel="0" collapsed="false">
      <c r="A289" s="4" t="s">
        <v>1237</v>
      </c>
      <c r="B289" s="4" t="str">
        <f aca="false">IF(AND(I289&gt;='Read Me &amp; Markers'!$B$18,J289&gt;='Read Me &amp; Markers'!$B$19,L289&gt;='Read Me &amp; Markers'!$B$20),"A. Proven winner",IF(AND(I289&gt;='Read Me &amp; Markers'!$B$18,J289&gt;='Read Me &amp; Markers'!$B$19,L289&gt;='Read Me &amp; Markers'!$B$21),"B. Strong performer",IF(AND(I289&gt;='Read Me &amp; Markers'!$B$22,L289&gt;='Read Me &amp; Markers'!$B$23),"C. Scale workhorse",IF(AND(I289&gt;='Read Me &amp; Markers'!$B$24,I289&lt;'Read Me &amp; Markers'!$B$18,J289&gt;='Read Me &amp; Markers'!$B$25,L289&gt;='Read Me &amp; Markers'!$B$26),"D. Promising (needs more spend)",""))))</f>
        <v/>
      </c>
      <c r="C289" s="4" t="s">
        <v>1238</v>
      </c>
      <c r="D289" s="4" t="s">
        <v>109</v>
      </c>
      <c r="E289" s="4" t="s">
        <v>582</v>
      </c>
      <c r="F289" s="4" t="s">
        <v>87</v>
      </c>
      <c r="G289" s="4" t="s">
        <v>583</v>
      </c>
      <c r="H289" s="4" t="s">
        <v>1239</v>
      </c>
      <c r="I289" s="5" t="n">
        <v>124.56</v>
      </c>
      <c r="J289" s="7" t="n">
        <v>2</v>
      </c>
      <c r="K289" s="5" t="n">
        <v>75.93</v>
      </c>
      <c r="L289" s="8" t="n">
        <v>0.609586</v>
      </c>
      <c r="M289" s="9" t="n">
        <v>62.28</v>
      </c>
      <c r="N289" s="10" t="n">
        <v>0.05555556</v>
      </c>
      <c r="O289" s="5" t="n">
        <v>223.23</v>
      </c>
      <c r="P289" s="11" t="n">
        <v>1.138776</v>
      </c>
      <c r="Q289" s="7" t="n">
        <v>558</v>
      </c>
      <c r="R289" s="7" t="n">
        <v>31</v>
      </c>
      <c r="S289" s="7" t="n">
        <v>2</v>
      </c>
      <c r="T289" s="7" t="n">
        <v>5</v>
      </c>
      <c r="U289" s="7" t="n">
        <v>528</v>
      </c>
      <c r="V289" s="7" t="n">
        <v>98</v>
      </c>
    </row>
    <row r="290" customFormat="false" ht="15" hidden="false" customHeight="false" outlineLevel="0" collapsed="false">
      <c r="A290" s="4" t="s">
        <v>1240</v>
      </c>
      <c r="B290" s="4" t="str">
        <f aca="false">IF(AND(I290&gt;='Read Me &amp; Markers'!$B$18,J290&gt;='Read Me &amp; Markers'!$B$19,L290&gt;='Read Me &amp; Markers'!$B$20),"A. Proven winner",IF(AND(I290&gt;='Read Me &amp; Markers'!$B$18,J290&gt;='Read Me &amp; Markers'!$B$19,L290&gt;='Read Me &amp; Markers'!$B$21),"B. Strong performer",IF(AND(I290&gt;='Read Me &amp; Markers'!$B$22,L290&gt;='Read Me &amp; Markers'!$B$23),"C. Scale workhorse",IF(AND(I290&gt;='Read Me &amp; Markers'!$B$24,I290&lt;'Read Me &amp; Markers'!$B$18,J290&gt;='Read Me &amp; Markers'!$B$25,L290&gt;='Read Me &amp; Markers'!$B$26),"D. Promising (needs more spend)",""))))</f>
        <v/>
      </c>
      <c r="C290" s="4" t="s">
        <v>1241</v>
      </c>
      <c r="D290" s="4" t="s">
        <v>109</v>
      </c>
      <c r="E290" s="4" t="s">
        <v>979</v>
      </c>
      <c r="F290" s="4" t="s">
        <v>172</v>
      </c>
      <c r="G290" s="4" t="s">
        <v>659</v>
      </c>
      <c r="H290" s="4" t="s">
        <v>1242</v>
      </c>
      <c r="I290" s="5" t="n">
        <v>124.46</v>
      </c>
      <c r="J290" s="7" t="n">
        <v>1</v>
      </c>
      <c r="K290" s="5" t="n">
        <v>35.96</v>
      </c>
      <c r="L290" s="8" t="n">
        <v>0.288928</v>
      </c>
      <c r="M290" s="9" t="n">
        <v>124.46</v>
      </c>
      <c r="N290" s="10" t="n">
        <v>0.05235602</v>
      </c>
      <c r="O290" s="5" t="n">
        <v>130.32</v>
      </c>
      <c r="P290" s="11" t="n">
        <v>1.308219</v>
      </c>
      <c r="Q290" s="7" t="n">
        <v>955</v>
      </c>
      <c r="R290" s="7" t="n">
        <v>50</v>
      </c>
      <c r="S290" s="7" t="n">
        <v>0</v>
      </c>
      <c r="T290" s="7" t="n">
        <v>5</v>
      </c>
      <c r="U290" s="7" t="n">
        <v>907</v>
      </c>
      <c r="V290" s="7" t="n">
        <v>58</v>
      </c>
    </row>
    <row r="291" customFormat="false" ht="15" hidden="false" customHeight="false" outlineLevel="0" collapsed="false">
      <c r="A291" s="4" t="s">
        <v>1243</v>
      </c>
      <c r="B291" s="4" t="str">
        <f aca="false">IF(AND(I291&gt;='Read Me &amp; Markers'!$B$18,J291&gt;='Read Me &amp; Markers'!$B$19,L291&gt;='Read Me &amp; Markers'!$B$20),"A. Proven winner",IF(AND(I291&gt;='Read Me &amp; Markers'!$B$18,J291&gt;='Read Me &amp; Markers'!$B$19,L291&gt;='Read Me &amp; Markers'!$B$21),"B. Strong performer",IF(AND(I291&gt;='Read Me &amp; Markers'!$B$22,L291&gt;='Read Me &amp; Markers'!$B$23),"C. Scale workhorse",IF(AND(I291&gt;='Read Me &amp; Markers'!$B$24,I291&lt;'Read Me &amp; Markers'!$B$18,J291&gt;='Read Me &amp; Markers'!$B$25,L291&gt;='Read Me &amp; Markers'!$B$26),"D. Promising (needs more spend)",""))))</f>
        <v/>
      </c>
      <c r="C291" s="4" t="s">
        <v>1244</v>
      </c>
      <c r="D291" s="4" t="s">
        <v>109</v>
      </c>
      <c r="E291" s="4" t="s">
        <v>699</v>
      </c>
      <c r="F291" s="4" t="s">
        <v>87</v>
      </c>
      <c r="G291" s="4" t="s">
        <v>599</v>
      </c>
      <c r="H291" s="4" t="s">
        <v>1245</v>
      </c>
      <c r="I291" s="5" t="n">
        <v>123.54</v>
      </c>
      <c r="J291" s="7" t="n">
        <v>1</v>
      </c>
      <c r="K291" s="5" t="n">
        <v>35.96</v>
      </c>
      <c r="L291" s="8" t="n">
        <v>0.29108</v>
      </c>
      <c r="M291" s="9" t="n">
        <v>123.54</v>
      </c>
      <c r="N291" s="10" t="n">
        <v>0.06370192</v>
      </c>
      <c r="O291" s="5" t="n">
        <v>148.49</v>
      </c>
      <c r="P291" s="11" t="n">
        <v>1.3</v>
      </c>
      <c r="Q291" s="7" t="n">
        <v>832</v>
      </c>
      <c r="R291" s="7" t="n">
        <v>53</v>
      </c>
      <c r="S291" s="7" t="n">
        <v>6</v>
      </c>
      <c r="T291" s="7" t="n">
        <v>7</v>
      </c>
      <c r="U291" s="7" t="n">
        <v>671</v>
      </c>
      <c r="V291" s="7" t="n">
        <v>117</v>
      </c>
    </row>
    <row r="292" customFormat="false" ht="15" hidden="false" customHeight="false" outlineLevel="0" collapsed="false">
      <c r="A292" s="4" t="s">
        <v>1246</v>
      </c>
      <c r="B292" s="4" t="str">
        <f aca="false">IF(AND(I292&gt;='Read Me &amp; Markers'!$B$18,J292&gt;='Read Me &amp; Markers'!$B$19,L292&gt;='Read Me &amp; Markers'!$B$20),"A. Proven winner",IF(AND(I292&gt;='Read Me &amp; Markers'!$B$18,J292&gt;='Read Me &amp; Markers'!$B$19,L292&gt;='Read Me &amp; Markers'!$B$21),"B. Strong performer",IF(AND(I292&gt;='Read Me &amp; Markers'!$B$22,L292&gt;='Read Me &amp; Markers'!$B$23),"C. Scale workhorse",IF(AND(I292&gt;='Read Me &amp; Markers'!$B$24,I292&lt;'Read Me &amp; Markers'!$B$18,J292&gt;='Read Me &amp; Markers'!$B$25,L292&gt;='Read Me &amp; Markers'!$B$26),"D. Promising (needs more spend)",""))))</f>
        <v/>
      </c>
      <c r="C292" s="4" t="s">
        <v>1247</v>
      </c>
      <c r="D292" s="4" t="s">
        <v>109</v>
      </c>
      <c r="E292" s="4" t="s">
        <v>778</v>
      </c>
      <c r="F292" s="4" t="s">
        <v>87</v>
      </c>
      <c r="G292" s="4" t="s">
        <v>361</v>
      </c>
      <c r="H292" s="4" t="s">
        <v>1248</v>
      </c>
      <c r="I292" s="5" t="n">
        <v>122.87</v>
      </c>
      <c r="J292" s="7" t="n">
        <v>2</v>
      </c>
      <c r="K292" s="5" t="n">
        <v>85.92</v>
      </c>
      <c r="L292" s="8" t="n">
        <v>0.699276</v>
      </c>
      <c r="M292" s="9" t="n">
        <v>61.44</v>
      </c>
      <c r="N292" s="10" t="n">
        <v>0.02389079</v>
      </c>
      <c r="O292" s="5" t="n">
        <v>83.87</v>
      </c>
      <c r="P292" s="11" t="n">
        <v>1.403257</v>
      </c>
      <c r="Q292" s="7" t="n">
        <v>1465</v>
      </c>
      <c r="R292" s="7" t="n">
        <v>35</v>
      </c>
      <c r="S292" s="7" t="n">
        <v>3</v>
      </c>
      <c r="T292" s="7" t="n">
        <v>2</v>
      </c>
      <c r="U292" s="7" t="n">
        <v>0</v>
      </c>
      <c r="V292" s="7" t="n">
        <v>0</v>
      </c>
    </row>
    <row r="293" customFormat="false" ht="15" hidden="false" customHeight="false" outlineLevel="0" collapsed="false">
      <c r="A293" s="4" t="s">
        <v>1249</v>
      </c>
      <c r="B293" s="4" t="str">
        <f aca="false">IF(AND(I293&gt;='Read Me &amp; Markers'!$B$18,J293&gt;='Read Me &amp; Markers'!$B$19,L293&gt;='Read Me &amp; Markers'!$B$20),"A. Proven winner",IF(AND(I293&gt;='Read Me &amp; Markers'!$B$18,J293&gt;='Read Me &amp; Markers'!$B$19,L293&gt;='Read Me &amp; Markers'!$B$21),"B. Strong performer",IF(AND(I293&gt;='Read Me &amp; Markers'!$B$22,L293&gt;='Read Me &amp; Markers'!$B$23),"C. Scale workhorse",IF(AND(I293&gt;='Read Me &amp; Markers'!$B$24,I293&lt;'Read Me &amp; Markers'!$B$18,J293&gt;='Read Me &amp; Markers'!$B$25,L293&gt;='Read Me &amp; Markers'!$B$26),"D. Promising (needs more spend)",""))))</f>
        <v/>
      </c>
      <c r="C293" s="4" t="s">
        <v>121</v>
      </c>
      <c r="D293" s="4" t="s">
        <v>100</v>
      </c>
      <c r="E293" s="4" t="s">
        <v>1032</v>
      </c>
      <c r="F293" s="4" t="s">
        <v>87</v>
      </c>
      <c r="G293" s="4" t="s">
        <v>538</v>
      </c>
      <c r="H293" s="4" t="s">
        <v>1250</v>
      </c>
      <c r="I293" s="5" t="n">
        <v>122.1</v>
      </c>
      <c r="J293" s="7" t="n">
        <v>1</v>
      </c>
      <c r="K293" s="5" t="n">
        <v>42.37</v>
      </c>
      <c r="L293" s="8" t="n">
        <v>0.347011</v>
      </c>
      <c r="M293" s="9" t="n">
        <v>122.1</v>
      </c>
      <c r="N293" s="10" t="n">
        <v>0.06090909</v>
      </c>
      <c r="O293" s="5" t="n">
        <v>111</v>
      </c>
      <c r="P293" s="11" t="n">
        <v>1.135191</v>
      </c>
      <c r="Q293" s="7" t="n">
        <v>1100</v>
      </c>
      <c r="R293" s="7" t="n">
        <v>67</v>
      </c>
      <c r="S293" s="7" t="n">
        <v>7</v>
      </c>
      <c r="T293" s="7" t="n">
        <v>7</v>
      </c>
      <c r="U293" s="7" t="n">
        <v>1005</v>
      </c>
      <c r="V293" s="7" t="n">
        <v>156</v>
      </c>
    </row>
    <row r="294" customFormat="false" ht="15" hidden="false" customHeight="false" outlineLevel="0" collapsed="false">
      <c r="A294" s="4" t="s">
        <v>1251</v>
      </c>
      <c r="B294" s="4" t="str">
        <f aca="false">IF(AND(I294&gt;='Read Me &amp; Markers'!$B$18,J294&gt;='Read Me &amp; Markers'!$B$19,L294&gt;='Read Me &amp; Markers'!$B$20),"A. Proven winner",IF(AND(I294&gt;='Read Me &amp; Markers'!$B$18,J294&gt;='Read Me &amp; Markers'!$B$19,L294&gt;='Read Me &amp; Markers'!$B$21),"B. Strong performer",IF(AND(I294&gt;='Read Me &amp; Markers'!$B$22,L294&gt;='Read Me &amp; Markers'!$B$23),"C. Scale workhorse",IF(AND(I294&gt;='Read Me &amp; Markers'!$B$24,I294&lt;'Read Me &amp; Markers'!$B$18,J294&gt;='Read Me &amp; Markers'!$B$25,L294&gt;='Read Me &amp; Markers'!$B$26),"D. Promising (needs more spend)",""))))</f>
        <v/>
      </c>
      <c r="C294" s="4" t="s">
        <v>83</v>
      </c>
      <c r="D294" s="4" t="s">
        <v>528</v>
      </c>
      <c r="E294" s="4" t="s">
        <v>1252</v>
      </c>
      <c r="F294" s="4" t="s">
        <v>230</v>
      </c>
      <c r="G294" s="4" t="s">
        <v>530</v>
      </c>
      <c r="H294" s="4" t="s">
        <v>1253</v>
      </c>
      <c r="I294" s="5" t="n">
        <v>122.05</v>
      </c>
      <c r="J294" s="7" t="n">
        <v>1</v>
      </c>
      <c r="K294" s="5" t="n">
        <v>42.37</v>
      </c>
      <c r="L294" s="8" t="n">
        <v>0.347153</v>
      </c>
      <c r="M294" s="9" t="n">
        <v>122.05</v>
      </c>
      <c r="N294" s="10" t="n">
        <v>0.09324453</v>
      </c>
      <c r="O294" s="5" t="n">
        <v>116.13</v>
      </c>
      <c r="P294" s="11" t="n">
        <v>1.118085</v>
      </c>
      <c r="Q294" s="7" t="n">
        <v>1051</v>
      </c>
      <c r="R294" s="7" t="n">
        <v>98</v>
      </c>
      <c r="S294" s="7" t="n">
        <v>3</v>
      </c>
      <c r="T294" s="7" t="n">
        <v>2</v>
      </c>
      <c r="U294" s="7" t="n">
        <v>986</v>
      </c>
      <c r="V294" s="7" t="n">
        <v>135</v>
      </c>
    </row>
    <row r="295" customFormat="false" ht="15" hidden="false" customHeight="false" outlineLevel="0" collapsed="false">
      <c r="A295" s="4" t="s">
        <v>1254</v>
      </c>
      <c r="B295" s="4" t="str">
        <f aca="false">IF(AND(I295&gt;='Read Me &amp; Markers'!$B$18,J295&gt;='Read Me &amp; Markers'!$B$19,L295&gt;='Read Me &amp; Markers'!$B$20),"A. Proven winner",IF(AND(I295&gt;='Read Me &amp; Markers'!$B$18,J295&gt;='Read Me &amp; Markers'!$B$19,L295&gt;='Read Me &amp; Markers'!$B$21),"B. Strong performer",IF(AND(I295&gt;='Read Me &amp; Markers'!$B$22,L295&gt;='Read Me &amp; Markers'!$B$23),"C. Scale workhorse",IF(AND(I295&gt;='Read Me &amp; Markers'!$B$24,I295&lt;'Read Me &amp; Markers'!$B$18,J295&gt;='Read Me &amp; Markers'!$B$25,L295&gt;='Read Me &amp; Markers'!$B$26),"D. Promising (needs more spend)",""))))</f>
        <v/>
      </c>
      <c r="C295" s="4" t="s">
        <v>1255</v>
      </c>
      <c r="D295" s="4" t="s">
        <v>109</v>
      </c>
      <c r="E295" s="4" t="s">
        <v>914</v>
      </c>
      <c r="F295" s="4" t="s">
        <v>111</v>
      </c>
      <c r="G295" s="4" t="s">
        <v>508</v>
      </c>
      <c r="H295" s="4" t="s">
        <v>1256</v>
      </c>
      <c r="I295" s="5" t="n">
        <v>120.53</v>
      </c>
      <c r="J295" s="7" t="n">
        <v>2</v>
      </c>
      <c r="K295" s="5" t="n">
        <v>91.9</v>
      </c>
      <c r="L295" s="8" t="n">
        <v>0.762466</v>
      </c>
      <c r="M295" s="9" t="n">
        <v>60.27</v>
      </c>
      <c r="N295" s="10" t="n">
        <v>0.09493671</v>
      </c>
      <c r="O295" s="5" t="n">
        <v>190.71</v>
      </c>
      <c r="P295" s="11" t="n">
        <v>1.181308</v>
      </c>
      <c r="Q295" s="7" t="n">
        <v>632</v>
      </c>
      <c r="R295" s="7" t="n">
        <v>60</v>
      </c>
      <c r="S295" s="7" t="n">
        <v>1</v>
      </c>
      <c r="T295" s="7" t="n">
        <v>4</v>
      </c>
      <c r="U295" s="7" t="n">
        <v>565</v>
      </c>
      <c r="V295" s="7" t="n">
        <v>114</v>
      </c>
    </row>
    <row r="296" customFormat="false" ht="15" hidden="false" customHeight="false" outlineLevel="0" collapsed="false">
      <c r="A296" s="4" t="s">
        <v>1257</v>
      </c>
      <c r="B296" s="4" t="str">
        <f aca="false">IF(AND(I296&gt;='Read Me &amp; Markers'!$B$18,J296&gt;='Read Me &amp; Markers'!$B$19,L296&gt;='Read Me &amp; Markers'!$B$20),"A. Proven winner",IF(AND(I296&gt;='Read Me &amp; Markers'!$B$18,J296&gt;='Read Me &amp; Markers'!$B$19,L296&gt;='Read Me &amp; Markers'!$B$21),"B. Strong performer",IF(AND(I296&gt;='Read Me &amp; Markers'!$B$22,L296&gt;='Read Me &amp; Markers'!$B$23),"C. Scale workhorse",IF(AND(I296&gt;='Read Me &amp; Markers'!$B$24,I296&lt;'Read Me &amp; Markers'!$B$18,J296&gt;='Read Me &amp; Markers'!$B$25,L296&gt;='Read Me &amp; Markers'!$B$26),"D. Promising (needs more spend)",""))))</f>
        <v/>
      </c>
      <c r="C296" s="4" t="s">
        <v>121</v>
      </c>
      <c r="D296" s="4" t="s">
        <v>100</v>
      </c>
      <c r="E296" s="4" t="s">
        <v>537</v>
      </c>
      <c r="F296" s="4" t="s">
        <v>87</v>
      </c>
      <c r="G296" s="4" t="s">
        <v>538</v>
      </c>
      <c r="H296" s="4" t="s">
        <v>1258</v>
      </c>
      <c r="I296" s="5" t="n">
        <v>120.02</v>
      </c>
      <c r="J296" s="7" t="n">
        <v>0</v>
      </c>
      <c r="K296" s="5" t="n">
        <v>0</v>
      </c>
      <c r="L296" s="8" t="n">
        <v>0</v>
      </c>
      <c r="M296" s="9" t="n">
        <v>0</v>
      </c>
      <c r="N296" s="10" t="n">
        <v>0.05807478</v>
      </c>
      <c r="O296" s="5" t="n">
        <v>95.48</v>
      </c>
      <c r="P296" s="11" t="n">
        <v>1.170391</v>
      </c>
      <c r="Q296" s="7" t="n">
        <v>1257</v>
      </c>
      <c r="R296" s="7" t="n">
        <v>73</v>
      </c>
      <c r="S296" s="7" t="n">
        <v>1</v>
      </c>
      <c r="T296" s="7" t="n">
        <v>2</v>
      </c>
      <c r="U296" s="7" t="n">
        <v>1113</v>
      </c>
      <c r="V296" s="7" t="n">
        <v>205</v>
      </c>
    </row>
    <row r="297" customFormat="false" ht="15" hidden="false" customHeight="false" outlineLevel="0" collapsed="false">
      <c r="A297" s="4" t="s">
        <v>1259</v>
      </c>
      <c r="B297" s="4" t="str">
        <f aca="false">IF(AND(I297&gt;='Read Me &amp; Markers'!$B$18,J297&gt;='Read Me &amp; Markers'!$B$19,L297&gt;='Read Me &amp; Markers'!$B$20),"A. Proven winner",IF(AND(I297&gt;='Read Me &amp; Markers'!$B$18,J297&gt;='Read Me &amp; Markers'!$B$19,L297&gt;='Read Me &amp; Markers'!$B$21),"B. Strong performer",IF(AND(I297&gt;='Read Me &amp; Markers'!$B$22,L297&gt;='Read Me &amp; Markers'!$B$23),"C. Scale workhorse",IF(AND(I297&gt;='Read Me &amp; Markers'!$B$24,I297&lt;'Read Me &amp; Markers'!$B$18,J297&gt;='Read Me &amp; Markers'!$B$25,L297&gt;='Read Me &amp; Markers'!$B$26),"D. Promising (needs more spend)",""))))</f>
        <v/>
      </c>
      <c r="C297" s="4" t="s">
        <v>1260</v>
      </c>
      <c r="D297" s="4" t="s">
        <v>109</v>
      </c>
      <c r="E297" s="4" t="s">
        <v>482</v>
      </c>
      <c r="F297" s="4" t="s">
        <v>87</v>
      </c>
      <c r="G297" s="4" t="s">
        <v>483</v>
      </c>
      <c r="H297" s="4" t="s">
        <v>1261</v>
      </c>
      <c r="I297" s="5" t="n">
        <v>119.25</v>
      </c>
      <c r="J297" s="7" t="n">
        <v>2</v>
      </c>
      <c r="K297" s="5" t="n">
        <v>175.91</v>
      </c>
      <c r="L297" s="8" t="n">
        <v>1.475136</v>
      </c>
      <c r="M297" s="9" t="n">
        <v>59.63</v>
      </c>
      <c r="N297" s="10" t="n">
        <v>0.02363184</v>
      </c>
      <c r="O297" s="5" t="n">
        <v>148.32</v>
      </c>
      <c r="P297" s="11" t="n">
        <v>1.137199</v>
      </c>
      <c r="Q297" s="7" t="n">
        <v>804</v>
      </c>
      <c r="R297" s="7" t="n">
        <v>19</v>
      </c>
      <c r="S297" s="7" t="n">
        <v>8</v>
      </c>
      <c r="T297" s="7" t="n">
        <v>9</v>
      </c>
      <c r="U297" s="7" t="n">
        <v>756</v>
      </c>
      <c r="V297" s="7" t="n">
        <v>221</v>
      </c>
    </row>
    <row r="298" customFormat="false" ht="15" hidden="false" customHeight="false" outlineLevel="0" collapsed="false">
      <c r="A298" s="4" t="s">
        <v>1262</v>
      </c>
      <c r="B298" s="4" t="str">
        <f aca="false">IF(AND(I298&gt;='Read Me &amp; Markers'!$B$18,J298&gt;='Read Me &amp; Markers'!$B$19,L298&gt;='Read Me &amp; Markers'!$B$20),"A. Proven winner",IF(AND(I298&gt;='Read Me &amp; Markers'!$B$18,J298&gt;='Read Me &amp; Markers'!$B$19,L298&gt;='Read Me &amp; Markers'!$B$21),"B. Strong performer",IF(AND(I298&gt;='Read Me &amp; Markers'!$B$22,L298&gt;='Read Me &amp; Markers'!$B$23),"C. Scale workhorse",IF(AND(I298&gt;='Read Me &amp; Markers'!$B$24,I298&lt;'Read Me &amp; Markers'!$B$18,J298&gt;='Read Me &amp; Markers'!$B$25,L298&gt;='Read Me &amp; Markers'!$B$26),"D. Promising (needs more spend)",""))))</f>
        <v/>
      </c>
      <c r="C298" s="4" t="s">
        <v>1263</v>
      </c>
      <c r="D298" s="4" t="s">
        <v>109</v>
      </c>
      <c r="E298" s="4" t="s">
        <v>848</v>
      </c>
      <c r="F298" s="4" t="s">
        <v>87</v>
      </c>
      <c r="G298" s="4" t="s">
        <v>588</v>
      </c>
      <c r="H298" s="4" t="s">
        <v>1264</v>
      </c>
      <c r="I298" s="5" t="n">
        <v>119.01</v>
      </c>
      <c r="J298" s="7" t="n">
        <v>1</v>
      </c>
      <c r="K298" s="5" t="n">
        <v>105.98</v>
      </c>
      <c r="L298" s="8" t="n">
        <v>0.890513</v>
      </c>
      <c r="M298" s="9" t="n">
        <v>119.01</v>
      </c>
      <c r="N298" s="10" t="n">
        <v>0.03299857</v>
      </c>
      <c r="O298" s="5" t="n">
        <v>85.37</v>
      </c>
      <c r="P298" s="11" t="n">
        <v>1.472017</v>
      </c>
      <c r="Q298" s="7" t="n">
        <v>1394</v>
      </c>
      <c r="R298" s="7" t="n">
        <v>46</v>
      </c>
      <c r="S298" s="7" t="n">
        <v>0</v>
      </c>
      <c r="T298" s="7" t="n">
        <v>2</v>
      </c>
      <c r="U298" s="7" t="n">
        <v>1079</v>
      </c>
      <c r="V298" s="7" t="n">
        <v>189</v>
      </c>
    </row>
    <row r="299" customFormat="false" ht="15" hidden="false" customHeight="false" outlineLevel="0" collapsed="false">
      <c r="A299" s="4" t="s">
        <v>1265</v>
      </c>
      <c r="B299" s="4" t="str">
        <f aca="false">IF(AND(I299&gt;='Read Me &amp; Markers'!$B$18,J299&gt;='Read Me &amp; Markers'!$B$19,L299&gt;='Read Me &amp; Markers'!$B$20),"A. Proven winner",IF(AND(I299&gt;='Read Me &amp; Markers'!$B$18,J299&gt;='Read Me &amp; Markers'!$B$19,L299&gt;='Read Me &amp; Markers'!$B$21),"B. Strong performer",IF(AND(I299&gt;='Read Me &amp; Markers'!$B$22,L299&gt;='Read Me &amp; Markers'!$B$23),"C. Scale workhorse",IF(AND(I299&gt;='Read Me &amp; Markers'!$B$24,I299&lt;'Read Me &amp; Markers'!$B$18,J299&gt;='Read Me &amp; Markers'!$B$25,L299&gt;='Read Me &amp; Markers'!$B$26),"D. Promising (needs more spend)",""))))</f>
        <v/>
      </c>
      <c r="C299" s="4" t="s">
        <v>1266</v>
      </c>
      <c r="D299" s="4" t="s">
        <v>109</v>
      </c>
      <c r="E299" s="4" t="s">
        <v>1100</v>
      </c>
      <c r="F299" s="4" t="s">
        <v>87</v>
      </c>
      <c r="G299" s="4" t="s">
        <v>588</v>
      </c>
      <c r="H299" s="4" t="s">
        <v>1267</v>
      </c>
      <c r="I299" s="5" t="n">
        <v>118.93</v>
      </c>
      <c r="J299" s="7" t="n">
        <v>3</v>
      </c>
      <c r="K299" s="5" t="n">
        <v>117.87</v>
      </c>
      <c r="L299" s="8" t="n">
        <v>0.991087</v>
      </c>
      <c r="M299" s="9" t="n">
        <v>39.64</v>
      </c>
      <c r="N299" s="10" t="n">
        <v>0.04454148</v>
      </c>
      <c r="O299" s="5" t="n">
        <v>103.87</v>
      </c>
      <c r="P299" s="11" t="n">
        <v>1.322171</v>
      </c>
      <c r="Q299" s="7" t="n">
        <v>1145</v>
      </c>
      <c r="R299" s="7" t="n">
        <v>51</v>
      </c>
      <c r="S299" s="7" t="n">
        <v>2</v>
      </c>
      <c r="T299" s="7" t="n">
        <v>7</v>
      </c>
      <c r="U299" s="7" t="n">
        <v>829</v>
      </c>
      <c r="V299" s="7" t="n">
        <v>91</v>
      </c>
    </row>
    <row r="300" customFormat="false" ht="15" hidden="false" customHeight="false" outlineLevel="0" collapsed="false">
      <c r="A300" s="4" t="s">
        <v>1268</v>
      </c>
      <c r="B300" s="4" t="str">
        <f aca="false">IF(AND(I300&gt;='Read Me &amp; Markers'!$B$18,J300&gt;='Read Me &amp; Markers'!$B$19,L300&gt;='Read Me &amp; Markers'!$B$20),"A. Proven winner",IF(AND(I300&gt;='Read Me &amp; Markers'!$B$18,J300&gt;='Read Me &amp; Markers'!$B$19,L300&gt;='Read Me &amp; Markers'!$B$21),"B. Strong performer",IF(AND(I300&gt;='Read Me &amp; Markers'!$B$22,L300&gt;='Read Me &amp; Markers'!$B$23),"C. Scale workhorse",IF(AND(I300&gt;='Read Me &amp; Markers'!$B$24,I300&lt;'Read Me &amp; Markers'!$B$18,J300&gt;='Read Me &amp; Markers'!$B$25,L300&gt;='Read Me &amp; Markers'!$B$26),"D. Promising (needs more spend)",""))))</f>
        <v/>
      </c>
      <c r="C300" s="4" t="s">
        <v>121</v>
      </c>
      <c r="D300" s="4" t="s">
        <v>100</v>
      </c>
      <c r="E300" s="4" t="s">
        <v>1269</v>
      </c>
      <c r="F300" s="4" t="s">
        <v>230</v>
      </c>
      <c r="G300" s="4" t="s">
        <v>623</v>
      </c>
      <c r="H300" s="4" t="s">
        <v>1270</v>
      </c>
      <c r="I300" s="5" t="n">
        <v>118.88</v>
      </c>
      <c r="J300" s="7" t="n">
        <v>2</v>
      </c>
      <c r="K300" s="5" t="n">
        <v>159.97</v>
      </c>
      <c r="L300" s="8" t="n">
        <v>1.345643</v>
      </c>
      <c r="M300" s="9" t="n">
        <v>59.44</v>
      </c>
      <c r="N300" s="10" t="n">
        <v>0.03943218</v>
      </c>
      <c r="O300" s="5" t="n">
        <v>93.75</v>
      </c>
      <c r="P300" s="11" t="n">
        <v>1.300513</v>
      </c>
      <c r="Q300" s="7" t="n">
        <v>1268</v>
      </c>
      <c r="R300" s="7" t="n">
        <v>50</v>
      </c>
      <c r="S300" s="7" t="n">
        <v>3</v>
      </c>
      <c r="T300" s="7" t="n">
        <v>2</v>
      </c>
      <c r="U300" s="7" t="n">
        <v>1069</v>
      </c>
      <c r="V300" s="7" t="n">
        <v>178</v>
      </c>
    </row>
    <row r="301" customFormat="false" ht="15" hidden="false" customHeight="false" outlineLevel="0" collapsed="false">
      <c r="A301" s="4" t="s">
        <v>1271</v>
      </c>
      <c r="B301" s="4" t="str">
        <f aca="false">IF(AND(I301&gt;='Read Me &amp; Markers'!$B$18,J301&gt;='Read Me &amp; Markers'!$B$19,L301&gt;='Read Me &amp; Markers'!$B$20),"A. Proven winner",IF(AND(I301&gt;='Read Me &amp; Markers'!$B$18,J301&gt;='Read Me &amp; Markers'!$B$19,L301&gt;='Read Me &amp; Markers'!$B$21),"B. Strong performer",IF(AND(I301&gt;='Read Me &amp; Markers'!$B$22,L301&gt;='Read Me &amp; Markers'!$B$23),"C. Scale workhorse",IF(AND(I301&gt;='Read Me &amp; Markers'!$B$24,I301&lt;'Read Me &amp; Markers'!$B$18,J301&gt;='Read Me &amp; Markers'!$B$25,L301&gt;='Read Me &amp; Markers'!$B$26),"D. Promising (needs more spend)",""))))</f>
        <v/>
      </c>
      <c r="C301" s="4" t="s">
        <v>83</v>
      </c>
      <c r="D301" s="4" t="s">
        <v>228</v>
      </c>
      <c r="E301" s="4" t="s">
        <v>1272</v>
      </c>
      <c r="F301" s="4" t="s">
        <v>230</v>
      </c>
      <c r="G301" s="4" t="s">
        <v>262</v>
      </c>
      <c r="H301" s="4" t="s">
        <v>1273</v>
      </c>
      <c r="I301" s="5" t="n">
        <v>117.57</v>
      </c>
      <c r="J301" s="7" t="n">
        <v>2</v>
      </c>
      <c r="K301" s="5" t="n">
        <v>69.95</v>
      </c>
      <c r="L301" s="8" t="n">
        <v>0.594965</v>
      </c>
      <c r="M301" s="9" t="n">
        <v>58.79</v>
      </c>
      <c r="N301" s="10" t="n">
        <v>0.03341149</v>
      </c>
      <c r="O301" s="5" t="n">
        <v>68.92</v>
      </c>
      <c r="P301" s="11" t="n">
        <v>1.262768</v>
      </c>
      <c r="Q301" s="7" t="n">
        <v>1706</v>
      </c>
      <c r="R301" s="7" t="n">
        <v>57</v>
      </c>
      <c r="S301" s="7" t="n">
        <v>4</v>
      </c>
      <c r="T301" s="7" t="n">
        <v>3</v>
      </c>
      <c r="U301" s="7" t="n">
        <v>1524</v>
      </c>
      <c r="V301" s="7" t="n">
        <v>114</v>
      </c>
    </row>
    <row r="302" customFormat="false" ht="15" hidden="false" customHeight="false" outlineLevel="0" collapsed="false">
      <c r="A302" s="4" t="s">
        <v>1274</v>
      </c>
      <c r="B302" s="4" t="str">
        <f aca="false">IF(AND(I302&gt;='Read Me &amp; Markers'!$B$18,J302&gt;='Read Me &amp; Markers'!$B$19,L302&gt;='Read Me &amp; Markers'!$B$20),"A. Proven winner",IF(AND(I302&gt;='Read Me &amp; Markers'!$B$18,J302&gt;='Read Me &amp; Markers'!$B$19,L302&gt;='Read Me &amp; Markers'!$B$21),"B. Strong performer",IF(AND(I302&gt;='Read Me &amp; Markers'!$B$22,L302&gt;='Read Me &amp; Markers'!$B$23),"C. Scale workhorse",IF(AND(I302&gt;='Read Me &amp; Markers'!$B$24,I302&lt;'Read Me &amp; Markers'!$B$18,J302&gt;='Read Me &amp; Markers'!$B$25,L302&gt;='Read Me &amp; Markers'!$B$26),"D. Promising (needs more spend)",""))))</f>
        <v/>
      </c>
      <c r="C302" s="4" t="s">
        <v>1275</v>
      </c>
      <c r="D302" s="4" t="s">
        <v>109</v>
      </c>
      <c r="E302" s="4" t="s">
        <v>435</v>
      </c>
      <c r="F302" s="4" t="s">
        <v>87</v>
      </c>
      <c r="G302" s="4" t="s">
        <v>500</v>
      </c>
      <c r="H302" s="4" t="s">
        <v>1276</v>
      </c>
      <c r="I302" s="5" t="n">
        <v>117.48</v>
      </c>
      <c r="J302" s="7" t="n">
        <v>1</v>
      </c>
      <c r="K302" s="5" t="n">
        <v>45.95</v>
      </c>
      <c r="L302" s="8" t="n">
        <v>0.39113</v>
      </c>
      <c r="M302" s="9" t="n">
        <v>117.48</v>
      </c>
      <c r="N302" s="10" t="n">
        <v>0.03714859</v>
      </c>
      <c r="O302" s="5" t="n">
        <v>117.95</v>
      </c>
      <c r="P302" s="11" t="n">
        <v>1.177305</v>
      </c>
      <c r="Q302" s="7" t="n">
        <v>996</v>
      </c>
      <c r="R302" s="7" t="n">
        <v>37</v>
      </c>
      <c r="S302" s="7" t="n">
        <v>0</v>
      </c>
      <c r="T302" s="7" t="n">
        <v>3</v>
      </c>
      <c r="U302" s="7" t="n">
        <v>957</v>
      </c>
      <c r="V302" s="7" t="n">
        <v>209</v>
      </c>
    </row>
    <row r="303" customFormat="false" ht="15" hidden="false" customHeight="false" outlineLevel="0" collapsed="false">
      <c r="A303" s="4" t="s">
        <v>1277</v>
      </c>
      <c r="B303" s="4" t="str">
        <f aca="false">IF(AND(I303&gt;='Read Me &amp; Markers'!$B$18,J303&gt;='Read Me &amp; Markers'!$B$19,L303&gt;='Read Me &amp; Markers'!$B$20),"A. Proven winner",IF(AND(I303&gt;='Read Me &amp; Markers'!$B$18,J303&gt;='Read Me &amp; Markers'!$B$19,L303&gt;='Read Me &amp; Markers'!$B$21),"B. Strong performer",IF(AND(I303&gt;='Read Me &amp; Markers'!$B$22,L303&gt;='Read Me &amp; Markers'!$B$23),"C. Scale workhorse",IF(AND(I303&gt;='Read Me &amp; Markers'!$B$24,I303&lt;'Read Me &amp; Markers'!$B$18,J303&gt;='Read Me &amp; Markers'!$B$25,L303&gt;='Read Me &amp; Markers'!$B$26),"D. Promising (needs more spend)",""))))</f>
        <v/>
      </c>
      <c r="C303" s="4" t="s">
        <v>1278</v>
      </c>
      <c r="D303" s="4" t="s">
        <v>109</v>
      </c>
      <c r="E303" s="4" t="s">
        <v>1190</v>
      </c>
      <c r="F303" s="4" t="s">
        <v>87</v>
      </c>
      <c r="G303" s="4" t="s">
        <v>583</v>
      </c>
      <c r="H303" s="4" t="s">
        <v>1279</v>
      </c>
      <c r="I303" s="5" t="n">
        <v>117.12</v>
      </c>
      <c r="J303" s="7" t="n">
        <v>1</v>
      </c>
      <c r="K303" s="5" t="n">
        <v>79.97</v>
      </c>
      <c r="L303" s="8" t="n">
        <v>0.682804</v>
      </c>
      <c r="M303" s="9" t="n">
        <v>117.12</v>
      </c>
      <c r="N303" s="10" t="n">
        <v>0.10201149</v>
      </c>
      <c r="O303" s="5" t="n">
        <v>168.28</v>
      </c>
      <c r="P303" s="11" t="n">
        <v>1.060976</v>
      </c>
      <c r="Q303" s="7" t="n">
        <v>696</v>
      </c>
      <c r="R303" s="7" t="n">
        <v>71</v>
      </c>
      <c r="S303" s="7" t="n">
        <v>15</v>
      </c>
      <c r="T303" s="7" t="n">
        <v>3</v>
      </c>
      <c r="U303" s="7" t="n">
        <v>658</v>
      </c>
      <c r="V303" s="7" t="n">
        <v>259</v>
      </c>
    </row>
    <row r="304" customFormat="false" ht="15" hidden="false" customHeight="false" outlineLevel="0" collapsed="false">
      <c r="A304" s="4" t="s">
        <v>1280</v>
      </c>
      <c r="B304" s="4" t="str">
        <f aca="false">IF(AND(I304&gt;='Read Me &amp; Markers'!$B$18,J304&gt;='Read Me &amp; Markers'!$B$19,L304&gt;='Read Me &amp; Markers'!$B$20),"A. Proven winner",IF(AND(I304&gt;='Read Me &amp; Markers'!$B$18,J304&gt;='Read Me &amp; Markers'!$B$19,L304&gt;='Read Me &amp; Markers'!$B$21),"B. Strong performer",IF(AND(I304&gt;='Read Me &amp; Markers'!$B$22,L304&gt;='Read Me &amp; Markers'!$B$23),"C. Scale workhorse",IF(AND(I304&gt;='Read Me &amp; Markers'!$B$24,I304&lt;'Read Me &amp; Markers'!$B$18,J304&gt;='Read Me &amp; Markers'!$B$25,L304&gt;='Read Me &amp; Markers'!$B$26),"D. Promising (needs more spend)",""))))</f>
        <v/>
      </c>
      <c r="C304" s="4" t="s">
        <v>1281</v>
      </c>
      <c r="D304" s="4" t="s">
        <v>109</v>
      </c>
      <c r="E304" s="4" t="s">
        <v>734</v>
      </c>
      <c r="F304" s="4" t="s">
        <v>87</v>
      </c>
      <c r="G304" s="4" t="s">
        <v>583</v>
      </c>
      <c r="H304" s="4" t="s">
        <v>1282</v>
      </c>
      <c r="I304" s="5" t="n">
        <v>116.86</v>
      </c>
      <c r="J304" s="7" t="n">
        <v>2</v>
      </c>
      <c r="K304" s="5" t="n">
        <v>145.93</v>
      </c>
      <c r="L304" s="8" t="n">
        <v>1.248759</v>
      </c>
      <c r="M304" s="9" t="n">
        <v>58.43</v>
      </c>
      <c r="N304" s="10" t="n">
        <v>0.07843137</v>
      </c>
      <c r="O304" s="5" t="n">
        <v>229.14</v>
      </c>
      <c r="P304" s="11" t="n">
        <v>1.151242</v>
      </c>
      <c r="Q304" s="7" t="n">
        <v>510</v>
      </c>
      <c r="R304" s="7" t="n">
        <v>40</v>
      </c>
      <c r="S304" s="7" t="n">
        <v>1</v>
      </c>
      <c r="T304" s="7" t="n">
        <v>4</v>
      </c>
      <c r="U304" s="7" t="n">
        <v>467</v>
      </c>
      <c r="V304" s="7" t="n">
        <v>102</v>
      </c>
    </row>
    <row r="305" customFormat="false" ht="15" hidden="false" customHeight="false" outlineLevel="0" collapsed="false">
      <c r="A305" s="4" t="s">
        <v>1283</v>
      </c>
      <c r="B305" s="4" t="str">
        <f aca="false">IF(AND(I305&gt;='Read Me &amp; Markers'!$B$18,J305&gt;='Read Me &amp; Markers'!$B$19,L305&gt;='Read Me &amp; Markers'!$B$20),"A. Proven winner",IF(AND(I305&gt;='Read Me &amp; Markers'!$B$18,J305&gt;='Read Me &amp; Markers'!$B$19,L305&gt;='Read Me &amp; Markers'!$B$21),"B. Strong performer",IF(AND(I305&gt;='Read Me &amp; Markers'!$B$22,L305&gt;='Read Me &amp; Markers'!$B$23),"C. Scale workhorse",IF(AND(I305&gt;='Read Me &amp; Markers'!$B$24,I305&lt;'Read Me &amp; Markers'!$B$18,J305&gt;='Read Me &amp; Markers'!$B$25,L305&gt;='Read Me &amp; Markers'!$B$26),"D. Promising (needs more spend)",""))))</f>
        <v/>
      </c>
      <c r="C305" s="4" t="s">
        <v>693</v>
      </c>
      <c r="D305" s="4" t="s">
        <v>154</v>
      </c>
      <c r="E305" s="4" t="s">
        <v>1284</v>
      </c>
      <c r="F305" s="4" t="s">
        <v>87</v>
      </c>
      <c r="G305" s="4" t="s">
        <v>1285</v>
      </c>
      <c r="H305" s="4" t="s">
        <v>1286</v>
      </c>
      <c r="I305" s="5" t="n">
        <v>116.48</v>
      </c>
      <c r="J305" s="7" t="n">
        <v>1</v>
      </c>
      <c r="K305" s="5" t="n">
        <v>99.98</v>
      </c>
      <c r="L305" s="8" t="n">
        <v>0.858345</v>
      </c>
      <c r="M305" s="9" t="n">
        <v>116.48</v>
      </c>
      <c r="N305" s="10" t="n">
        <v>0.03574432</v>
      </c>
      <c r="O305" s="5" t="n">
        <v>48.98</v>
      </c>
      <c r="P305" s="11" t="n">
        <v>1.256871</v>
      </c>
      <c r="Q305" s="7" t="n">
        <v>2378</v>
      </c>
      <c r="R305" s="7" t="n">
        <v>85</v>
      </c>
      <c r="S305" s="7" t="n">
        <v>10</v>
      </c>
      <c r="T305" s="7" t="n">
        <v>4</v>
      </c>
      <c r="U305" s="7" t="n">
        <v>2033</v>
      </c>
      <c r="V305" s="7" t="n">
        <v>159</v>
      </c>
    </row>
    <row r="306" customFormat="false" ht="15" hidden="false" customHeight="false" outlineLevel="0" collapsed="false">
      <c r="A306" s="4" t="s">
        <v>1287</v>
      </c>
      <c r="B306" s="4" t="str">
        <f aca="false">IF(AND(I306&gt;='Read Me &amp; Markers'!$B$18,J306&gt;='Read Me &amp; Markers'!$B$19,L306&gt;='Read Me &amp; Markers'!$B$20),"A. Proven winner",IF(AND(I306&gt;='Read Me &amp; Markers'!$B$18,J306&gt;='Read Me &amp; Markers'!$B$19,L306&gt;='Read Me &amp; Markers'!$B$21),"B. Strong performer",IF(AND(I306&gt;='Read Me &amp; Markers'!$B$22,L306&gt;='Read Me &amp; Markers'!$B$23),"C. Scale workhorse",IF(AND(I306&gt;='Read Me &amp; Markers'!$B$24,I306&lt;'Read Me &amp; Markers'!$B$18,J306&gt;='Read Me &amp; Markers'!$B$25,L306&gt;='Read Me &amp; Markers'!$B$26),"D. Promising (needs more spend)",""))))</f>
        <v/>
      </c>
      <c r="C306" s="4" t="s">
        <v>1288</v>
      </c>
      <c r="D306" s="4" t="s">
        <v>109</v>
      </c>
      <c r="E306" s="4" t="s">
        <v>1112</v>
      </c>
      <c r="F306" s="4" t="s">
        <v>87</v>
      </c>
      <c r="G306" s="4" t="s">
        <v>378</v>
      </c>
      <c r="H306" s="4" t="s">
        <v>1289</v>
      </c>
      <c r="I306" s="5" t="n">
        <v>116.46</v>
      </c>
      <c r="J306" s="7" t="n">
        <v>1</v>
      </c>
      <c r="K306" s="5" t="n">
        <v>39.97</v>
      </c>
      <c r="L306" s="8" t="n">
        <v>0.343208</v>
      </c>
      <c r="M306" s="9" t="n">
        <v>116.46</v>
      </c>
      <c r="N306" s="10" t="n">
        <v>0.05223252</v>
      </c>
      <c r="O306" s="5" t="n">
        <v>98.11</v>
      </c>
      <c r="P306" s="11" t="n">
        <v>1.523748</v>
      </c>
      <c r="Q306" s="7" t="n">
        <v>1187</v>
      </c>
      <c r="R306" s="7" t="n">
        <v>62</v>
      </c>
      <c r="S306" s="7" t="n">
        <v>0</v>
      </c>
      <c r="T306" s="7" t="n">
        <v>3</v>
      </c>
      <c r="U306" s="7" t="n">
        <v>1082</v>
      </c>
      <c r="V306" s="7" t="n">
        <v>510</v>
      </c>
    </row>
    <row r="307" customFormat="false" ht="15" hidden="false" customHeight="false" outlineLevel="0" collapsed="false">
      <c r="A307" s="4" t="s">
        <v>1290</v>
      </c>
      <c r="B307" s="4" t="str">
        <f aca="false">IF(AND(I307&gt;='Read Me &amp; Markers'!$B$18,J307&gt;='Read Me &amp; Markers'!$B$19,L307&gt;='Read Me &amp; Markers'!$B$20),"A. Proven winner",IF(AND(I307&gt;='Read Me &amp; Markers'!$B$18,J307&gt;='Read Me &amp; Markers'!$B$19,L307&gt;='Read Me &amp; Markers'!$B$21),"B. Strong performer",IF(AND(I307&gt;='Read Me &amp; Markers'!$B$22,L307&gt;='Read Me &amp; Markers'!$B$23),"C. Scale workhorse",IF(AND(I307&gt;='Read Me &amp; Markers'!$B$24,I307&lt;'Read Me &amp; Markers'!$B$18,J307&gt;='Read Me &amp; Markers'!$B$25,L307&gt;='Read Me &amp; Markers'!$B$26),"D. Promising (needs more spend)",""))))</f>
        <v/>
      </c>
      <c r="C307" s="4" t="s">
        <v>169</v>
      </c>
      <c r="D307" s="4" t="s">
        <v>100</v>
      </c>
      <c r="E307" s="4" t="s">
        <v>131</v>
      </c>
      <c r="F307" s="4" t="s">
        <v>87</v>
      </c>
      <c r="G307" s="4" t="s">
        <v>132</v>
      </c>
      <c r="H307" s="4" t="s">
        <v>1291</v>
      </c>
      <c r="I307" s="5" t="n">
        <v>116.11</v>
      </c>
      <c r="J307" s="7" t="n">
        <v>1</v>
      </c>
      <c r="K307" s="5" t="n">
        <v>35.96</v>
      </c>
      <c r="L307" s="8" t="n">
        <v>0.309706</v>
      </c>
      <c r="M307" s="9" t="n">
        <v>116.11</v>
      </c>
      <c r="N307" s="10" t="n">
        <v>0.02074074</v>
      </c>
      <c r="O307" s="5" t="n">
        <v>86.01</v>
      </c>
      <c r="P307" s="11" t="n">
        <v>1.140203</v>
      </c>
      <c r="Q307" s="7" t="n">
        <v>1350</v>
      </c>
      <c r="R307" s="7" t="n">
        <v>28</v>
      </c>
      <c r="S307" s="7" t="n">
        <v>2</v>
      </c>
      <c r="T307" s="7" t="n">
        <v>1</v>
      </c>
      <c r="U307" s="7" t="n">
        <v>1154</v>
      </c>
      <c r="V307" s="7" t="n">
        <v>86</v>
      </c>
    </row>
    <row r="308" customFormat="false" ht="15" hidden="false" customHeight="false" outlineLevel="0" collapsed="false">
      <c r="A308" s="4" t="s">
        <v>1292</v>
      </c>
      <c r="B308" s="4" t="str">
        <f aca="false">IF(AND(I308&gt;='Read Me &amp; Markers'!$B$18,J308&gt;='Read Me &amp; Markers'!$B$19,L308&gt;='Read Me &amp; Markers'!$B$20),"A. Proven winner",IF(AND(I308&gt;='Read Me &amp; Markers'!$B$18,J308&gt;='Read Me &amp; Markers'!$B$19,L308&gt;='Read Me &amp; Markers'!$B$21),"B. Strong performer",IF(AND(I308&gt;='Read Me &amp; Markers'!$B$22,L308&gt;='Read Me &amp; Markers'!$B$23),"C. Scale workhorse",IF(AND(I308&gt;='Read Me &amp; Markers'!$B$24,I308&lt;'Read Me &amp; Markers'!$B$18,J308&gt;='Read Me &amp; Markers'!$B$25,L308&gt;='Read Me &amp; Markers'!$B$26),"D. Promising (needs more spend)",""))))</f>
        <v/>
      </c>
      <c r="C308" s="4" t="s">
        <v>169</v>
      </c>
      <c r="D308" s="4" t="s">
        <v>100</v>
      </c>
      <c r="E308" s="4" t="s">
        <v>564</v>
      </c>
      <c r="F308" s="4" t="s">
        <v>87</v>
      </c>
      <c r="G308" s="4" t="s">
        <v>254</v>
      </c>
      <c r="H308" s="4" t="s">
        <v>1293</v>
      </c>
      <c r="I308" s="5" t="n">
        <v>115.9</v>
      </c>
      <c r="J308" s="7" t="n">
        <v>3</v>
      </c>
      <c r="K308" s="5" t="n">
        <v>99.93</v>
      </c>
      <c r="L308" s="8" t="n">
        <v>0.862209</v>
      </c>
      <c r="M308" s="9" t="n">
        <v>38.63</v>
      </c>
      <c r="N308" s="10" t="n">
        <v>0.07730673</v>
      </c>
      <c r="O308" s="5" t="n">
        <v>144.51</v>
      </c>
      <c r="P308" s="11" t="n">
        <v>1.249221</v>
      </c>
      <c r="Q308" s="7" t="n">
        <v>802</v>
      </c>
      <c r="R308" s="7" t="n">
        <v>62</v>
      </c>
      <c r="S308" s="7" t="n">
        <v>11</v>
      </c>
      <c r="T308" s="7" t="n">
        <v>9</v>
      </c>
      <c r="U308" s="7" t="n">
        <v>712</v>
      </c>
      <c r="V308" s="7" t="n">
        <v>188</v>
      </c>
    </row>
    <row r="309" customFormat="false" ht="15" hidden="false" customHeight="false" outlineLevel="0" collapsed="false">
      <c r="A309" s="4" t="s">
        <v>1294</v>
      </c>
      <c r="B309" s="4" t="str">
        <f aca="false">IF(AND(I309&gt;='Read Me &amp; Markers'!$B$18,J309&gt;='Read Me &amp; Markers'!$B$19,L309&gt;='Read Me &amp; Markers'!$B$20),"A. Proven winner",IF(AND(I309&gt;='Read Me &amp; Markers'!$B$18,J309&gt;='Read Me &amp; Markers'!$B$19,L309&gt;='Read Me &amp; Markers'!$B$21),"B. Strong performer",IF(AND(I309&gt;='Read Me &amp; Markers'!$B$22,L309&gt;='Read Me &amp; Markers'!$B$23),"C. Scale workhorse",IF(AND(I309&gt;='Read Me &amp; Markers'!$B$24,I309&lt;'Read Me &amp; Markers'!$B$18,J309&gt;='Read Me &amp; Markers'!$B$25,L309&gt;='Read Me &amp; Markers'!$B$26),"D. Promising (needs more spend)",""))))</f>
        <v/>
      </c>
      <c r="C309" s="4" t="s">
        <v>662</v>
      </c>
      <c r="D309" s="4" t="s">
        <v>228</v>
      </c>
      <c r="E309" s="4" t="s">
        <v>1295</v>
      </c>
      <c r="F309" s="4" t="s">
        <v>230</v>
      </c>
      <c r="G309" s="4" t="s">
        <v>262</v>
      </c>
      <c r="H309" s="4" t="s">
        <v>1296</v>
      </c>
      <c r="I309" s="5" t="n">
        <v>115.46</v>
      </c>
      <c r="J309" s="7" t="n">
        <v>0</v>
      </c>
      <c r="K309" s="5" t="n">
        <v>0</v>
      </c>
      <c r="L309" s="8" t="n">
        <v>0</v>
      </c>
      <c r="M309" s="9" t="n">
        <v>0</v>
      </c>
      <c r="N309" s="10" t="n">
        <v>0.03536184</v>
      </c>
      <c r="O309" s="5" t="n">
        <v>94.95</v>
      </c>
      <c r="P309" s="11" t="n">
        <v>1.275971</v>
      </c>
      <c r="Q309" s="7" t="n">
        <v>1216</v>
      </c>
      <c r="R309" s="7" t="n">
        <v>43</v>
      </c>
      <c r="S309" s="7" t="n">
        <v>3</v>
      </c>
      <c r="T309" s="7" t="n">
        <v>2</v>
      </c>
      <c r="U309" s="7" t="n">
        <v>941</v>
      </c>
      <c r="V309" s="7" t="n">
        <v>255</v>
      </c>
    </row>
    <row r="310" customFormat="false" ht="15" hidden="false" customHeight="false" outlineLevel="0" collapsed="false">
      <c r="A310" s="4" t="s">
        <v>1297</v>
      </c>
      <c r="B310" s="4" t="str">
        <f aca="false">IF(AND(I310&gt;='Read Me &amp; Markers'!$B$18,J310&gt;='Read Me &amp; Markers'!$B$19,L310&gt;='Read Me &amp; Markers'!$B$20),"A. Proven winner",IF(AND(I310&gt;='Read Me &amp; Markers'!$B$18,J310&gt;='Read Me &amp; Markers'!$B$19,L310&gt;='Read Me &amp; Markers'!$B$21),"B. Strong performer",IF(AND(I310&gt;='Read Me &amp; Markers'!$B$22,L310&gt;='Read Me &amp; Markers'!$B$23),"C. Scale workhorse",IF(AND(I310&gt;='Read Me &amp; Markers'!$B$24,I310&lt;'Read Me &amp; Markers'!$B$18,J310&gt;='Read Me &amp; Markers'!$B$25,L310&gt;='Read Me &amp; Markers'!$B$26),"D. Promising (needs more spend)",""))))</f>
        <v/>
      </c>
      <c r="C310" s="4" t="s">
        <v>1298</v>
      </c>
      <c r="D310" s="4" t="s">
        <v>228</v>
      </c>
      <c r="E310" s="4" t="s">
        <v>1299</v>
      </c>
      <c r="F310" s="4" t="s">
        <v>230</v>
      </c>
      <c r="G310" s="4" t="s">
        <v>568</v>
      </c>
      <c r="H310" s="4" t="s">
        <v>1300</v>
      </c>
      <c r="I310" s="5" t="n">
        <v>115.41</v>
      </c>
      <c r="J310" s="7" t="n">
        <v>1</v>
      </c>
      <c r="K310" s="5" t="n">
        <v>45.95</v>
      </c>
      <c r="L310" s="8" t="n">
        <v>0.398146</v>
      </c>
      <c r="M310" s="9" t="n">
        <v>115.41</v>
      </c>
      <c r="N310" s="10" t="n">
        <v>0.02045134</v>
      </c>
      <c r="O310" s="5" t="n">
        <v>81.39</v>
      </c>
      <c r="P310" s="11" t="n">
        <v>1.35954</v>
      </c>
      <c r="Q310" s="7" t="n">
        <v>1418</v>
      </c>
      <c r="R310" s="7" t="n">
        <v>29</v>
      </c>
      <c r="S310" s="7" t="n">
        <v>0</v>
      </c>
      <c r="T310" s="7" t="n">
        <v>2</v>
      </c>
      <c r="U310" s="7" t="n">
        <v>0</v>
      </c>
      <c r="V310" s="7" t="n">
        <v>0</v>
      </c>
    </row>
    <row r="311" customFormat="false" ht="15" hidden="false" customHeight="false" outlineLevel="0" collapsed="false">
      <c r="A311" s="4" t="s">
        <v>1301</v>
      </c>
      <c r="B311" s="4" t="str">
        <f aca="false">IF(AND(I311&gt;='Read Me &amp; Markers'!$B$18,J311&gt;='Read Me &amp; Markers'!$B$19,L311&gt;='Read Me &amp; Markers'!$B$20),"A. Proven winner",IF(AND(I311&gt;='Read Me &amp; Markers'!$B$18,J311&gt;='Read Me &amp; Markers'!$B$19,L311&gt;='Read Me &amp; Markers'!$B$21),"B. Strong performer",IF(AND(I311&gt;='Read Me &amp; Markers'!$B$22,L311&gt;='Read Me &amp; Markers'!$B$23),"C. Scale workhorse",IF(AND(I311&gt;='Read Me &amp; Markers'!$B$24,I311&lt;'Read Me &amp; Markers'!$B$18,J311&gt;='Read Me &amp; Markers'!$B$25,L311&gt;='Read Me &amp; Markers'!$B$26),"D. Promising (needs more spend)",""))))</f>
        <v/>
      </c>
      <c r="C311" s="4" t="s">
        <v>271</v>
      </c>
      <c r="D311" s="4" t="s">
        <v>228</v>
      </c>
      <c r="E311" s="4" t="s">
        <v>1302</v>
      </c>
      <c r="F311" s="4" t="s">
        <v>230</v>
      </c>
      <c r="G311" s="4" t="s">
        <v>262</v>
      </c>
      <c r="H311" s="4" t="s">
        <v>1303</v>
      </c>
      <c r="I311" s="5" t="n">
        <v>115.1</v>
      </c>
      <c r="J311" s="7" t="n">
        <v>2</v>
      </c>
      <c r="K311" s="5" t="n">
        <v>119.94</v>
      </c>
      <c r="L311" s="8" t="n">
        <v>1.04205</v>
      </c>
      <c r="M311" s="9" t="n">
        <v>57.55</v>
      </c>
      <c r="N311" s="10" t="n">
        <v>0.04173355</v>
      </c>
      <c r="O311" s="5" t="n">
        <v>92.38</v>
      </c>
      <c r="P311" s="11" t="n">
        <v>1.216797</v>
      </c>
      <c r="Q311" s="7" t="n">
        <v>1246</v>
      </c>
      <c r="R311" s="7" t="n">
        <v>52</v>
      </c>
      <c r="S311" s="7" t="n">
        <v>3</v>
      </c>
      <c r="T311" s="7" t="n">
        <v>3</v>
      </c>
      <c r="U311" s="7" t="n">
        <v>1154</v>
      </c>
      <c r="V311" s="7" t="n">
        <v>68</v>
      </c>
    </row>
    <row r="312" customFormat="false" ht="15" hidden="false" customHeight="false" outlineLevel="0" collapsed="false">
      <c r="A312" s="4" t="s">
        <v>1304</v>
      </c>
      <c r="B312" s="4" t="str">
        <f aca="false">IF(AND(I312&gt;='Read Me &amp; Markers'!$B$18,J312&gt;='Read Me &amp; Markers'!$B$19,L312&gt;='Read Me &amp; Markers'!$B$20),"A. Proven winner",IF(AND(I312&gt;='Read Me &amp; Markers'!$B$18,J312&gt;='Read Me &amp; Markers'!$B$19,L312&gt;='Read Me &amp; Markers'!$B$21),"B. Strong performer",IF(AND(I312&gt;='Read Me &amp; Markers'!$B$22,L312&gt;='Read Me &amp; Markers'!$B$23),"C. Scale workhorse",IF(AND(I312&gt;='Read Me &amp; Markers'!$B$24,I312&lt;'Read Me &amp; Markers'!$B$18,J312&gt;='Read Me &amp; Markers'!$B$25,L312&gt;='Read Me &amp; Markers'!$B$26),"D. Promising (needs more spend)",""))))</f>
        <v/>
      </c>
      <c r="C312" s="4" t="s">
        <v>1305</v>
      </c>
      <c r="D312" s="4" t="s">
        <v>109</v>
      </c>
      <c r="E312" s="4" t="s">
        <v>474</v>
      </c>
      <c r="F312" s="4" t="s">
        <v>87</v>
      </c>
      <c r="G312" s="4" t="s">
        <v>475</v>
      </c>
      <c r="H312" s="4" t="s">
        <v>1306</v>
      </c>
      <c r="I312" s="5" t="n">
        <v>114.83</v>
      </c>
      <c r="J312" s="7" t="n">
        <v>1</v>
      </c>
      <c r="K312" s="5" t="n">
        <v>99.98</v>
      </c>
      <c r="L312" s="8" t="n">
        <v>0.870678</v>
      </c>
      <c r="M312" s="9" t="n">
        <v>114.83</v>
      </c>
      <c r="N312" s="10" t="n">
        <v>0.01523727</v>
      </c>
      <c r="O312" s="5" t="n">
        <v>49.99</v>
      </c>
      <c r="P312" s="11" t="n">
        <v>1.428483</v>
      </c>
      <c r="Q312" s="7" t="n">
        <v>2297</v>
      </c>
      <c r="R312" s="7" t="n">
        <v>35</v>
      </c>
      <c r="S312" s="7" t="n">
        <v>4</v>
      </c>
      <c r="T312" s="7" t="n">
        <v>5</v>
      </c>
      <c r="U312" s="7" t="n">
        <v>0</v>
      </c>
      <c r="V312" s="7" t="n">
        <v>0</v>
      </c>
    </row>
    <row r="313" customFormat="false" ht="15" hidden="false" customHeight="false" outlineLevel="0" collapsed="false">
      <c r="A313" s="4" t="s">
        <v>1307</v>
      </c>
      <c r="B313" s="4" t="str">
        <f aca="false">IF(AND(I313&gt;='Read Me &amp; Markers'!$B$18,J313&gt;='Read Me &amp; Markers'!$B$19,L313&gt;='Read Me &amp; Markers'!$B$20),"A. Proven winner",IF(AND(I313&gt;='Read Me &amp; Markers'!$B$18,J313&gt;='Read Me &amp; Markers'!$B$19,L313&gt;='Read Me &amp; Markers'!$B$21),"B. Strong performer",IF(AND(I313&gt;='Read Me &amp; Markers'!$B$22,L313&gt;='Read Me &amp; Markers'!$B$23),"C. Scale workhorse",IF(AND(I313&gt;='Read Me &amp; Markers'!$B$24,I313&lt;'Read Me &amp; Markers'!$B$18,J313&gt;='Read Me &amp; Markers'!$B$25,L313&gt;='Read Me &amp; Markers'!$B$26),"D. Promising (needs more spend)",""))))</f>
        <v/>
      </c>
      <c r="C313" s="4" t="s">
        <v>1308</v>
      </c>
      <c r="D313" s="4" t="s">
        <v>109</v>
      </c>
      <c r="E313" s="4" t="s">
        <v>1042</v>
      </c>
      <c r="F313" s="4" t="s">
        <v>87</v>
      </c>
      <c r="G313" s="4" t="s">
        <v>317</v>
      </c>
      <c r="H313" s="4" t="s">
        <v>1309</v>
      </c>
      <c r="I313" s="5" t="n">
        <v>114.63</v>
      </c>
      <c r="J313" s="7" t="n">
        <v>0</v>
      </c>
      <c r="K313" s="5" t="n">
        <v>0</v>
      </c>
      <c r="L313" s="8" t="n">
        <v>0</v>
      </c>
      <c r="M313" s="9" t="n">
        <v>0</v>
      </c>
      <c r="N313" s="10" t="n">
        <v>0.03746878</v>
      </c>
      <c r="O313" s="5" t="n">
        <v>95.45</v>
      </c>
      <c r="P313" s="11" t="n">
        <v>1.321232</v>
      </c>
      <c r="Q313" s="7" t="n">
        <v>1201</v>
      </c>
      <c r="R313" s="7" t="n">
        <v>45</v>
      </c>
      <c r="S313" s="7" t="n">
        <v>2</v>
      </c>
      <c r="T313" s="7" t="n">
        <v>5</v>
      </c>
      <c r="U313" s="7" t="n">
        <v>0</v>
      </c>
      <c r="V313" s="7" t="n">
        <v>0</v>
      </c>
    </row>
    <row r="314" customFormat="false" ht="15" hidden="false" customHeight="false" outlineLevel="0" collapsed="false">
      <c r="A314" s="4" t="s">
        <v>1310</v>
      </c>
      <c r="B314" s="4" t="str">
        <f aca="false">IF(AND(I314&gt;='Read Me &amp; Markers'!$B$18,J314&gt;='Read Me &amp; Markers'!$B$19,L314&gt;='Read Me &amp; Markers'!$B$20),"A. Proven winner",IF(AND(I314&gt;='Read Me &amp; Markers'!$B$18,J314&gt;='Read Me &amp; Markers'!$B$19,L314&gt;='Read Me &amp; Markers'!$B$21),"B. Strong performer",IF(AND(I314&gt;='Read Me &amp; Markers'!$B$22,L314&gt;='Read Me &amp; Markers'!$B$23),"C. Scale workhorse",IF(AND(I314&gt;='Read Me &amp; Markers'!$B$24,I314&lt;'Read Me &amp; Markers'!$B$18,J314&gt;='Read Me &amp; Markers'!$B$25,L314&gt;='Read Me &amp; Markers'!$B$26),"D. Promising (needs more spend)",""))))</f>
        <v/>
      </c>
      <c r="C314" s="4" t="s">
        <v>129</v>
      </c>
      <c r="D314" s="4" t="s">
        <v>100</v>
      </c>
      <c r="E314" s="4" t="s">
        <v>1311</v>
      </c>
      <c r="F314" s="4" t="s">
        <v>87</v>
      </c>
      <c r="G314" s="4" t="s">
        <v>208</v>
      </c>
      <c r="H314" s="4" t="s">
        <v>1312</v>
      </c>
      <c r="I314" s="5" t="n">
        <v>114.04</v>
      </c>
      <c r="J314" s="7" t="n">
        <v>1</v>
      </c>
      <c r="K314" s="5" t="n">
        <v>79.97</v>
      </c>
      <c r="L314" s="8" t="n">
        <v>0.701245</v>
      </c>
      <c r="M314" s="9" t="n">
        <v>114.04</v>
      </c>
      <c r="N314" s="10" t="n">
        <v>0.0339213</v>
      </c>
      <c r="O314" s="5" t="n">
        <v>77.37</v>
      </c>
      <c r="P314" s="11" t="n">
        <v>1.44086</v>
      </c>
      <c r="Q314" s="7" t="n">
        <v>1474</v>
      </c>
      <c r="R314" s="7" t="n">
        <v>50</v>
      </c>
      <c r="S314" s="7" t="n">
        <v>5</v>
      </c>
      <c r="T314" s="7" t="n">
        <v>3</v>
      </c>
      <c r="U314" s="7" t="n">
        <v>1240</v>
      </c>
      <c r="V314" s="7" t="n">
        <v>128</v>
      </c>
    </row>
    <row r="315" customFormat="false" ht="15" hidden="false" customHeight="false" outlineLevel="0" collapsed="false">
      <c r="A315" s="4" t="s">
        <v>1313</v>
      </c>
      <c r="B315" s="4" t="str">
        <f aca="false">IF(AND(I315&gt;='Read Me &amp; Markers'!$B$18,J315&gt;='Read Me &amp; Markers'!$B$19,L315&gt;='Read Me &amp; Markers'!$B$20),"A. Proven winner",IF(AND(I315&gt;='Read Me &amp; Markers'!$B$18,J315&gt;='Read Me &amp; Markers'!$B$19,L315&gt;='Read Me &amp; Markers'!$B$21),"B. Strong performer",IF(AND(I315&gt;='Read Me &amp; Markers'!$B$22,L315&gt;='Read Me &amp; Markers'!$B$23),"C. Scale workhorse",IF(AND(I315&gt;='Read Me &amp; Markers'!$B$24,I315&lt;'Read Me &amp; Markers'!$B$18,J315&gt;='Read Me &amp; Markers'!$B$25,L315&gt;='Read Me &amp; Markers'!$B$26),"D. Promising (needs more spend)",""))))</f>
        <v/>
      </c>
      <c r="C315" s="4" t="s">
        <v>1314</v>
      </c>
      <c r="D315" s="4" t="s">
        <v>100</v>
      </c>
      <c r="E315" s="4" t="s">
        <v>309</v>
      </c>
      <c r="F315" s="4" t="s">
        <v>87</v>
      </c>
      <c r="G315" s="4" t="s">
        <v>310</v>
      </c>
      <c r="H315" s="4" t="s">
        <v>1315</v>
      </c>
      <c r="I315" s="5" t="n">
        <v>113.28</v>
      </c>
      <c r="J315" s="7" t="n">
        <v>1</v>
      </c>
      <c r="K315" s="5" t="n">
        <v>106.21</v>
      </c>
      <c r="L315" s="8" t="n">
        <v>0.937588</v>
      </c>
      <c r="M315" s="9" t="n">
        <v>113.28</v>
      </c>
      <c r="N315" s="10" t="n">
        <v>0.03666667</v>
      </c>
      <c r="O315" s="5" t="n">
        <v>94.4</v>
      </c>
      <c r="P315" s="11" t="n">
        <v>1.311475</v>
      </c>
      <c r="Q315" s="7" t="n">
        <v>1200</v>
      </c>
      <c r="R315" s="7" t="n">
        <v>44</v>
      </c>
      <c r="S315" s="7" t="n">
        <v>4</v>
      </c>
      <c r="T315" s="7" t="n">
        <v>3</v>
      </c>
      <c r="U315" s="7" t="n">
        <v>1062</v>
      </c>
      <c r="V315" s="7" t="n">
        <v>47</v>
      </c>
    </row>
    <row r="316" customFormat="false" ht="15" hidden="false" customHeight="false" outlineLevel="0" collapsed="false">
      <c r="A316" s="4" t="s">
        <v>1316</v>
      </c>
      <c r="B316" s="4" t="str">
        <f aca="false">IF(AND(I316&gt;='Read Me &amp; Markers'!$B$18,J316&gt;='Read Me &amp; Markers'!$B$19,L316&gt;='Read Me &amp; Markers'!$B$20),"A. Proven winner",IF(AND(I316&gt;='Read Me &amp; Markers'!$B$18,J316&gt;='Read Me &amp; Markers'!$B$19,L316&gt;='Read Me &amp; Markers'!$B$21),"B. Strong performer",IF(AND(I316&gt;='Read Me &amp; Markers'!$B$22,L316&gt;='Read Me &amp; Markers'!$B$23),"C. Scale workhorse",IF(AND(I316&gt;='Read Me &amp; Markers'!$B$24,I316&lt;'Read Me &amp; Markers'!$B$18,J316&gt;='Read Me &amp; Markers'!$B$25,L316&gt;='Read Me &amp; Markers'!$B$26),"D. Promising (needs more spend)",""))))</f>
        <v/>
      </c>
      <c r="C316" s="4" t="s">
        <v>1317</v>
      </c>
      <c r="D316" s="4" t="s">
        <v>109</v>
      </c>
      <c r="E316" s="4" t="s">
        <v>1318</v>
      </c>
      <c r="F316" s="4" t="s">
        <v>87</v>
      </c>
      <c r="G316" s="4" t="s">
        <v>599</v>
      </c>
      <c r="H316" s="4" t="s">
        <v>1319</v>
      </c>
      <c r="I316" s="5" t="n">
        <v>113.27</v>
      </c>
      <c r="J316" s="7" t="n">
        <v>1</v>
      </c>
      <c r="K316" s="5" t="n">
        <v>48.35</v>
      </c>
      <c r="L316" s="8" t="n">
        <v>0.426856</v>
      </c>
      <c r="M316" s="9" t="n">
        <v>113.27</v>
      </c>
      <c r="N316" s="10" t="n">
        <v>0.04584882</v>
      </c>
      <c r="O316" s="5" t="n">
        <v>140.36</v>
      </c>
      <c r="P316" s="11" t="n">
        <v>1.176385</v>
      </c>
      <c r="Q316" s="7" t="n">
        <v>807</v>
      </c>
      <c r="R316" s="7" t="n">
        <v>37</v>
      </c>
      <c r="S316" s="7" t="n">
        <v>4</v>
      </c>
      <c r="T316" s="7" t="n">
        <v>2</v>
      </c>
      <c r="U316" s="7" t="n">
        <v>663</v>
      </c>
      <c r="V316" s="7" t="n">
        <v>153</v>
      </c>
    </row>
    <row r="317" customFormat="false" ht="15" hidden="false" customHeight="false" outlineLevel="0" collapsed="false">
      <c r="A317" s="4" t="s">
        <v>1320</v>
      </c>
      <c r="B317" s="4" t="str">
        <f aca="false">IF(AND(I317&gt;='Read Me &amp; Markers'!$B$18,J317&gt;='Read Me &amp; Markers'!$B$19,L317&gt;='Read Me &amp; Markers'!$B$20),"A. Proven winner",IF(AND(I317&gt;='Read Me &amp; Markers'!$B$18,J317&gt;='Read Me &amp; Markers'!$B$19,L317&gt;='Read Me &amp; Markers'!$B$21),"B. Strong performer",IF(AND(I317&gt;='Read Me &amp; Markers'!$B$22,L317&gt;='Read Me &amp; Markers'!$B$23),"C. Scale workhorse",IF(AND(I317&gt;='Read Me &amp; Markers'!$B$24,I317&lt;'Read Me &amp; Markers'!$B$18,J317&gt;='Read Me &amp; Markers'!$B$25,L317&gt;='Read Me &amp; Markers'!$B$26),"D. Promising (needs more spend)",""))))</f>
        <v/>
      </c>
      <c r="C317" s="4" t="s">
        <v>1321</v>
      </c>
      <c r="D317" s="4" t="s">
        <v>528</v>
      </c>
      <c r="E317" s="4" t="s">
        <v>1322</v>
      </c>
      <c r="F317" s="4" t="s">
        <v>87</v>
      </c>
      <c r="G317" s="4" t="s">
        <v>530</v>
      </c>
      <c r="H317" s="4" t="s">
        <v>1323</v>
      </c>
      <c r="I317" s="5" t="n">
        <v>111.36</v>
      </c>
      <c r="J317" s="7" t="n">
        <v>0</v>
      </c>
      <c r="K317" s="5" t="n">
        <v>0</v>
      </c>
      <c r="L317" s="8" t="n">
        <v>0</v>
      </c>
      <c r="M317" s="9" t="n">
        <v>0</v>
      </c>
      <c r="N317" s="10" t="n">
        <v>0.0336497</v>
      </c>
      <c r="O317" s="5" t="n">
        <v>96.08</v>
      </c>
      <c r="P317" s="11" t="n">
        <v>1.131836</v>
      </c>
      <c r="Q317" s="7" t="n">
        <v>1159</v>
      </c>
      <c r="R317" s="7" t="n">
        <v>39</v>
      </c>
      <c r="S317" s="7" t="n">
        <v>1</v>
      </c>
      <c r="T317" s="7" t="n">
        <v>0</v>
      </c>
      <c r="U317" s="7" t="n">
        <v>1069</v>
      </c>
      <c r="V317" s="7" t="n">
        <v>82</v>
      </c>
    </row>
    <row r="318" customFormat="false" ht="15" hidden="false" customHeight="false" outlineLevel="0" collapsed="false">
      <c r="A318" s="4" t="s">
        <v>1324</v>
      </c>
      <c r="B318" s="4" t="str">
        <f aca="false">IF(AND(I318&gt;='Read Me &amp; Markers'!$B$18,J318&gt;='Read Me &amp; Markers'!$B$19,L318&gt;='Read Me &amp; Markers'!$B$20),"A. Proven winner",IF(AND(I318&gt;='Read Me &amp; Markers'!$B$18,J318&gt;='Read Me &amp; Markers'!$B$19,L318&gt;='Read Me &amp; Markers'!$B$21),"B. Strong performer",IF(AND(I318&gt;='Read Me &amp; Markers'!$B$22,L318&gt;='Read Me &amp; Markers'!$B$23),"C. Scale workhorse",IF(AND(I318&gt;='Read Me &amp; Markers'!$B$24,I318&lt;'Read Me &amp; Markers'!$B$18,J318&gt;='Read Me &amp; Markers'!$B$25,L318&gt;='Read Me &amp; Markers'!$B$26),"D. Promising (needs more spend)",""))))</f>
        <v/>
      </c>
      <c r="C318" s="4" t="s">
        <v>226</v>
      </c>
      <c r="D318" s="4" t="s">
        <v>228</v>
      </c>
      <c r="E318" s="4" t="s">
        <v>1325</v>
      </c>
      <c r="F318" s="4" t="s">
        <v>230</v>
      </c>
      <c r="G318" s="4" t="s">
        <v>583</v>
      </c>
      <c r="H318" s="4" t="s">
        <v>1326</v>
      </c>
      <c r="I318" s="5" t="n">
        <v>108.8</v>
      </c>
      <c r="J318" s="7" t="n">
        <v>1</v>
      </c>
      <c r="K318" s="5" t="n">
        <v>45.95</v>
      </c>
      <c r="L318" s="8" t="n">
        <v>0.422335</v>
      </c>
      <c r="M318" s="9" t="n">
        <v>108.8</v>
      </c>
      <c r="N318" s="10" t="n">
        <v>0.03429355</v>
      </c>
      <c r="O318" s="5" t="n">
        <v>149.25</v>
      </c>
      <c r="P318" s="11" t="n">
        <v>1.130233</v>
      </c>
      <c r="Q318" s="7" t="n">
        <v>729</v>
      </c>
      <c r="R318" s="7" t="n">
        <v>25</v>
      </c>
      <c r="S318" s="7" t="n">
        <v>1</v>
      </c>
      <c r="T318" s="7" t="n">
        <v>2</v>
      </c>
      <c r="U318" s="7" t="n">
        <v>626</v>
      </c>
      <c r="V318" s="7" t="n">
        <v>94</v>
      </c>
    </row>
    <row r="319" customFormat="false" ht="15" hidden="false" customHeight="false" outlineLevel="0" collapsed="false">
      <c r="A319" s="4" t="s">
        <v>1327</v>
      </c>
      <c r="B319" s="4" t="str">
        <f aca="false">IF(AND(I319&gt;='Read Me &amp; Markers'!$B$18,J319&gt;='Read Me &amp; Markers'!$B$19,L319&gt;='Read Me &amp; Markers'!$B$20),"A. Proven winner",IF(AND(I319&gt;='Read Me &amp; Markers'!$B$18,J319&gt;='Read Me &amp; Markers'!$B$19,L319&gt;='Read Me &amp; Markers'!$B$21),"B. Strong performer",IF(AND(I319&gt;='Read Me &amp; Markers'!$B$22,L319&gt;='Read Me &amp; Markers'!$B$23),"C. Scale workhorse",IF(AND(I319&gt;='Read Me &amp; Markers'!$B$24,I319&lt;'Read Me &amp; Markers'!$B$18,J319&gt;='Read Me &amp; Markers'!$B$25,L319&gt;='Read Me &amp; Markers'!$B$26),"D. Promising (needs more spend)",""))))</f>
        <v/>
      </c>
      <c r="C319" s="4" t="s">
        <v>1328</v>
      </c>
      <c r="D319" s="4" t="s">
        <v>109</v>
      </c>
      <c r="E319" s="4" t="s">
        <v>1329</v>
      </c>
      <c r="F319" s="4" t="s">
        <v>87</v>
      </c>
      <c r="G319" s="4" t="s">
        <v>599</v>
      </c>
      <c r="H319" s="4" t="s">
        <v>1330</v>
      </c>
      <c r="I319" s="5" t="n">
        <v>107.33</v>
      </c>
      <c r="J319" s="7" t="n">
        <v>1</v>
      </c>
      <c r="K319" s="5" t="n">
        <v>45.95</v>
      </c>
      <c r="L319" s="8" t="n">
        <v>0.428119</v>
      </c>
      <c r="M319" s="9" t="n">
        <v>107.33</v>
      </c>
      <c r="N319" s="10" t="n">
        <v>0.02961672</v>
      </c>
      <c r="O319" s="5" t="n">
        <v>186.99</v>
      </c>
      <c r="P319" s="11" t="n">
        <v>1.127701</v>
      </c>
      <c r="Q319" s="7" t="n">
        <v>574</v>
      </c>
      <c r="R319" s="7" t="n">
        <v>17</v>
      </c>
      <c r="S319" s="7" t="n">
        <v>0</v>
      </c>
      <c r="T319" s="7" t="n">
        <v>1</v>
      </c>
      <c r="U319" s="7" t="n">
        <v>500</v>
      </c>
      <c r="V319" s="7" t="n">
        <v>64</v>
      </c>
    </row>
    <row r="320" customFormat="false" ht="15" hidden="false" customHeight="false" outlineLevel="0" collapsed="false">
      <c r="A320" s="4" t="s">
        <v>1331</v>
      </c>
      <c r="B320" s="4" t="str">
        <f aca="false">IF(AND(I320&gt;='Read Me &amp; Markers'!$B$18,J320&gt;='Read Me &amp; Markers'!$B$19,L320&gt;='Read Me &amp; Markers'!$B$20),"A. Proven winner",IF(AND(I320&gt;='Read Me &amp; Markers'!$B$18,J320&gt;='Read Me &amp; Markers'!$B$19,L320&gt;='Read Me &amp; Markers'!$B$21),"B. Strong performer",IF(AND(I320&gt;='Read Me &amp; Markers'!$B$22,L320&gt;='Read Me &amp; Markers'!$B$23),"C. Scale workhorse",IF(AND(I320&gt;='Read Me &amp; Markers'!$B$24,I320&lt;'Read Me &amp; Markers'!$B$18,J320&gt;='Read Me &amp; Markers'!$B$25,L320&gt;='Read Me &amp; Markers'!$B$26),"D. Promising (needs more spend)",""))))</f>
        <v/>
      </c>
      <c r="C320" s="4" t="s">
        <v>169</v>
      </c>
      <c r="D320" s="4" t="s">
        <v>100</v>
      </c>
      <c r="E320" s="4" t="s">
        <v>1332</v>
      </c>
      <c r="F320" s="4" t="s">
        <v>87</v>
      </c>
      <c r="G320" s="4" t="s">
        <v>254</v>
      </c>
      <c r="H320" s="4" t="s">
        <v>1333</v>
      </c>
      <c r="I320" s="5" t="n">
        <v>107.03</v>
      </c>
      <c r="J320" s="7" t="n">
        <v>1</v>
      </c>
      <c r="K320" s="5" t="n">
        <v>63.14</v>
      </c>
      <c r="L320" s="8" t="n">
        <v>0.589928</v>
      </c>
      <c r="M320" s="9" t="n">
        <v>107.03</v>
      </c>
      <c r="N320" s="10" t="n">
        <v>0.04648649</v>
      </c>
      <c r="O320" s="5" t="n">
        <v>115.71</v>
      </c>
      <c r="P320" s="11" t="n">
        <v>1.193548</v>
      </c>
      <c r="Q320" s="7" t="n">
        <v>925</v>
      </c>
      <c r="R320" s="7" t="n">
        <v>43</v>
      </c>
      <c r="S320" s="7" t="n">
        <v>2</v>
      </c>
      <c r="T320" s="7" t="n">
        <v>4</v>
      </c>
      <c r="U320" s="7" t="n">
        <v>892</v>
      </c>
      <c r="V320" s="7" t="n">
        <v>206</v>
      </c>
    </row>
    <row r="321" customFormat="false" ht="15" hidden="false" customHeight="false" outlineLevel="0" collapsed="false">
      <c r="A321" s="4" t="s">
        <v>1334</v>
      </c>
      <c r="B321" s="4" t="str">
        <f aca="false">IF(AND(I321&gt;='Read Me &amp; Markers'!$B$18,J321&gt;='Read Me &amp; Markers'!$B$19,L321&gt;='Read Me &amp; Markers'!$B$20),"A. Proven winner",IF(AND(I321&gt;='Read Me &amp; Markers'!$B$18,J321&gt;='Read Me &amp; Markers'!$B$19,L321&gt;='Read Me &amp; Markers'!$B$21),"B. Strong performer",IF(AND(I321&gt;='Read Me &amp; Markers'!$B$22,L321&gt;='Read Me &amp; Markers'!$B$23),"C. Scale workhorse",IF(AND(I321&gt;='Read Me &amp; Markers'!$B$24,I321&lt;'Read Me &amp; Markers'!$B$18,J321&gt;='Read Me &amp; Markers'!$B$25,L321&gt;='Read Me &amp; Markers'!$B$26),"D. Promising (needs more spend)",""))))</f>
        <v/>
      </c>
      <c r="C321" s="4" t="s">
        <v>83</v>
      </c>
      <c r="D321" s="4" t="s">
        <v>228</v>
      </c>
      <c r="E321" s="4" t="s">
        <v>1335</v>
      </c>
      <c r="F321" s="4" t="s">
        <v>230</v>
      </c>
      <c r="G321" s="4" t="s">
        <v>583</v>
      </c>
      <c r="H321" s="4" t="s">
        <v>1336</v>
      </c>
      <c r="I321" s="5" t="n">
        <v>106.8</v>
      </c>
      <c r="J321" s="7" t="n">
        <v>0</v>
      </c>
      <c r="K321" s="5" t="n">
        <v>0</v>
      </c>
      <c r="L321" s="8" t="n">
        <v>0</v>
      </c>
      <c r="M321" s="9" t="n">
        <v>0</v>
      </c>
      <c r="N321" s="10" t="n">
        <v>0.03933747</v>
      </c>
      <c r="O321" s="5" t="n">
        <v>73.71</v>
      </c>
      <c r="P321" s="11" t="n">
        <v>1.297225</v>
      </c>
      <c r="Q321" s="7" t="n">
        <v>1449</v>
      </c>
      <c r="R321" s="7" t="n">
        <v>57</v>
      </c>
      <c r="S321" s="7" t="n">
        <v>1</v>
      </c>
      <c r="T321" s="7" t="n">
        <v>1</v>
      </c>
      <c r="U321" s="7" t="n">
        <v>1404</v>
      </c>
      <c r="V321" s="7" t="n">
        <v>360</v>
      </c>
    </row>
    <row r="322" customFormat="false" ht="15" hidden="false" customHeight="false" outlineLevel="0" collapsed="false">
      <c r="A322" s="4" t="s">
        <v>1337</v>
      </c>
      <c r="B322" s="4" t="str">
        <f aca="false">IF(AND(I322&gt;='Read Me &amp; Markers'!$B$18,J322&gt;='Read Me &amp; Markers'!$B$19,L322&gt;='Read Me &amp; Markers'!$B$20),"A. Proven winner",IF(AND(I322&gt;='Read Me &amp; Markers'!$B$18,J322&gt;='Read Me &amp; Markers'!$B$19,L322&gt;='Read Me &amp; Markers'!$B$21),"B. Strong performer",IF(AND(I322&gt;='Read Me &amp; Markers'!$B$22,L322&gt;='Read Me &amp; Markers'!$B$23),"C. Scale workhorse",IF(AND(I322&gt;='Read Me &amp; Markers'!$B$24,I322&lt;'Read Me &amp; Markers'!$B$18,J322&gt;='Read Me &amp; Markers'!$B$25,L322&gt;='Read Me &amp; Markers'!$B$26),"D. Promising (needs more spend)",""))))</f>
        <v/>
      </c>
      <c r="C322" s="4" t="s">
        <v>1338</v>
      </c>
      <c r="D322" s="4" t="s">
        <v>109</v>
      </c>
      <c r="E322" s="4" t="s">
        <v>1220</v>
      </c>
      <c r="F322" s="4" t="s">
        <v>87</v>
      </c>
      <c r="G322" s="4" t="s">
        <v>588</v>
      </c>
      <c r="H322" s="4" t="s">
        <v>1339</v>
      </c>
      <c r="I322" s="5" t="n">
        <v>106.41</v>
      </c>
      <c r="J322" s="7" t="n">
        <v>0</v>
      </c>
      <c r="K322" s="5" t="n">
        <v>0</v>
      </c>
      <c r="L322" s="8" t="n">
        <v>0</v>
      </c>
      <c r="M322" s="9" t="n">
        <v>0</v>
      </c>
      <c r="N322" s="10" t="n">
        <v>0.05429418</v>
      </c>
      <c r="O322" s="5" t="n">
        <v>105.04</v>
      </c>
      <c r="P322" s="11" t="n">
        <v>1.274214</v>
      </c>
      <c r="Q322" s="7" t="n">
        <v>1013</v>
      </c>
      <c r="R322" s="7" t="n">
        <v>55</v>
      </c>
      <c r="S322" s="7" t="n">
        <v>0</v>
      </c>
      <c r="T322" s="7" t="n">
        <v>0</v>
      </c>
      <c r="U322" s="7" t="n">
        <v>791</v>
      </c>
      <c r="V322" s="7" t="n">
        <v>236</v>
      </c>
    </row>
    <row r="323" customFormat="false" ht="15" hidden="false" customHeight="false" outlineLevel="0" collapsed="false">
      <c r="A323" s="4" t="s">
        <v>1340</v>
      </c>
      <c r="B323" s="4" t="str">
        <f aca="false">IF(AND(I323&gt;='Read Me &amp; Markers'!$B$18,J323&gt;='Read Me &amp; Markers'!$B$19,L323&gt;='Read Me &amp; Markers'!$B$20),"A. Proven winner",IF(AND(I323&gt;='Read Me &amp; Markers'!$B$18,J323&gt;='Read Me &amp; Markers'!$B$19,L323&gt;='Read Me &amp; Markers'!$B$21),"B. Strong performer",IF(AND(I323&gt;='Read Me &amp; Markers'!$B$22,L323&gt;='Read Me &amp; Markers'!$B$23),"C. Scale workhorse",IF(AND(I323&gt;='Read Me &amp; Markers'!$B$24,I323&lt;'Read Me &amp; Markers'!$B$18,J323&gt;='Read Me &amp; Markers'!$B$25,L323&gt;='Read Me &amp; Markers'!$B$26),"D. Promising (needs more spend)",""))))</f>
        <v/>
      </c>
      <c r="C323" s="4" t="s">
        <v>1341</v>
      </c>
      <c r="D323" s="4" t="s">
        <v>109</v>
      </c>
      <c r="E323" s="4" t="s">
        <v>859</v>
      </c>
      <c r="F323" s="4" t="s">
        <v>87</v>
      </c>
      <c r="G323" s="4" t="s">
        <v>508</v>
      </c>
      <c r="H323" s="4" t="s">
        <v>1342</v>
      </c>
      <c r="I323" s="5" t="n">
        <v>106.41</v>
      </c>
      <c r="J323" s="7" t="n">
        <v>0</v>
      </c>
      <c r="K323" s="5" t="n">
        <v>0</v>
      </c>
      <c r="L323" s="8" t="n">
        <v>0</v>
      </c>
      <c r="M323" s="9" t="n">
        <v>0</v>
      </c>
      <c r="N323" s="10" t="n">
        <v>0.01594388</v>
      </c>
      <c r="O323" s="5" t="n">
        <v>67.86</v>
      </c>
      <c r="P323" s="11" t="n">
        <v>1.459963</v>
      </c>
      <c r="Q323" s="7" t="n">
        <v>1568</v>
      </c>
      <c r="R323" s="7" t="n">
        <v>25</v>
      </c>
      <c r="S323" s="7" t="n">
        <v>0</v>
      </c>
      <c r="T323" s="7" t="n">
        <v>0</v>
      </c>
      <c r="U323" s="7" t="n">
        <v>0</v>
      </c>
      <c r="V323" s="7" t="n">
        <v>0</v>
      </c>
    </row>
    <row r="324" customFormat="false" ht="15" hidden="false" customHeight="false" outlineLevel="0" collapsed="false">
      <c r="A324" s="4" t="s">
        <v>1343</v>
      </c>
      <c r="B324" s="4" t="str">
        <f aca="false">IF(AND(I324&gt;='Read Me &amp; Markers'!$B$18,J324&gt;='Read Me &amp; Markers'!$B$19,L324&gt;='Read Me &amp; Markers'!$B$20),"A. Proven winner",IF(AND(I324&gt;='Read Me &amp; Markers'!$B$18,J324&gt;='Read Me &amp; Markers'!$B$19,L324&gt;='Read Me &amp; Markers'!$B$21),"B. Strong performer",IF(AND(I324&gt;='Read Me &amp; Markers'!$B$22,L324&gt;='Read Me &amp; Markers'!$B$23),"C. Scale workhorse",IF(AND(I324&gt;='Read Me &amp; Markers'!$B$24,I324&lt;'Read Me &amp; Markers'!$B$18,J324&gt;='Read Me &amp; Markers'!$B$25,L324&gt;='Read Me &amp; Markers'!$B$26),"D. Promising (needs more spend)",""))))</f>
        <v/>
      </c>
      <c r="C324" s="4" t="s">
        <v>1344</v>
      </c>
      <c r="D324" s="4" t="s">
        <v>100</v>
      </c>
      <c r="E324" s="4" t="s">
        <v>1345</v>
      </c>
      <c r="F324" s="4" t="s">
        <v>253</v>
      </c>
      <c r="G324" s="4" t="s">
        <v>984</v>
      </c>
      <c r="H324" s="4" t="s">
        <v>1346</v>
      </c>
      <c r="I324" s="5" t="n">
        <v>106.33</v>
      </c>
      <c r="J324" s="7" t="n">
        <v>2</v>
      </c>
      <c r="K324" s="5" t="n">
        <v>125.92</v>
      </c>
      <c r="L324" s="8" t="n">
        <v>1.184238</v>
      </c>
      <c r="M324" s="9" t="n">
        <v>53.17</v>
      </c>
      <c r="N324" s="10" t="n">
        <v>0.011563</v>
      </c>
      <c r="O324" s="5" t="n">
        <v>42.4</v>
      </c>
      <c r="P324" s="11" t="n">
        <v>1.257143</v>
      </c>
      <c r="Q324" s="7" t="n">
        <v>2508</v>
      </c>
      <c r="R324" s="7" t="n">
        <v>29</v>
      </c>
      <c r="S324" s="7" t="n">
        <v>2</v>
      </c>
      <c r="T324" s="7" t="n">
        <v>8</v>
      </c>
      <c r="U324" s="7" t="n">
        <v>0</v>
      </c>
      <c r="V324" s="7" t="n">
        <v>0</v>
      </c>
    </row>
    <row r="325" customFormat="false" ht="15" hidden="false" customHeight="false" outlineLevel="0" collapsed="false">
      <c r="A325" s="4" t="s">
        <v>1347</v>
      </c>
      <c r="B325" s="4" t="str">
        <f aca="false">IF(AND(I325&gt;='Read Me &amp; Markers'!$B$18,J325&gt;='Read Me &amp; Markers'!$B$19,L325&gt;='Read Me &amp; Markers'!$B$20),"A. Proven winner",IF(AND(I325&gt;='Read Me &amp; Markers'!$B$18,J325&gt;='Read Me &amp; Markers'!$B$19,L325&gt;='Read Me &amp; Markers'!$B$21),"B. Strong performer",IF(AND(I325&gt;='Read Me &amp; Markers'!$B$22,L325&gt;='Read Me &amp; Markers'!$B$23),"C. Scale workhorse",IF(AND(I325&gt;='Read Me &amp; Markers'!$B$24,I325&lt;'Read Me &amp; Markers'!$B$18,J325&gt;='Read Me &amp; Markers'!$B$25,L325&gt;='Read Me &amp; Markers'!$B$26),"D. Promising (needs more spend)",""))))</f>
        <v/>
      </c>
      <c r="C325" s="4" t="s">
        <v>1348</v>
      </c>
      <c r="D325" s="4" t="s">
        <v>109</v>
      </c>
      <c r="E325" s="4" t="s">
        <v>474</v>
      </c>
      <c r="F325" s="4" t="s">
        <v>172</v>
      </c>
      <c r="G325" s="4" t="s">
        <v>475</v>
      </c>
      <c r="H325" s="4" t="s">
        <v>1349</v>
      </c>
      <c r="I325" s="5" t="n">
        <v>106.24</v>
      </c>
      <c r="J325" s="7" t="n">
        <v>0</v>
      </c>
      <c r="K325" s="5" t="n">
        <v>0</v>
      </c>
      <c r="L325" s="8" t="n">
        <v>0</v>
      </c>
      <c r="M325" s="9" t="n">
        <v>0</v>
      </c>
      <c r="N325" s="10" t="n">
        <v>0.01779535</v>
      </c>
      <c r="O325" s="5" t="n">
        <v>52.52</v>
      </c>
      <c r="P325" s="11" t="n">
        <v>1.278761</v>
      </c>
      <c r="Q325" s="7" t="n">
        <v>2023</v>
      </c>
      <c r="R325" s="7" t="n">
        <v>36</v>
      </c>
      <c r="S325" s="7" t="n">
        <v>1</v>
      </c>
      <c r="T325" s="7" t="n">
        <v>0</v>
      </c>
      <c r="U325" s="7" t="n">
        <v>0</v>
      </c>
      <c r="V325" s="7" t="n">
        <v>0</v>
      </c>
    </row>
    <row r="326" customFormat="false" ht="15" hidden="false" customHeight="false" outlineLevel="0" collapsed="false">
      <c r="A326" s="4" t="s">
        <v>1350</v>
      </c>
      <c r="B326" s="4" t="str">
        <f aca="false">IF(AND(I326&gt;='Read Me &amp; Markers'!$B$18,J326&gt;='Read Me &amp; Markers'!$B$19,L326&gt;='Read Me &amp; Markers'!$B$20),"A. Proven winner",IF(AND(I326&gt;='Read Me &amp; Markers'!$B$18,J326&gt;='Read Me &amp; Markers'!$B$19,L326&gt;='Read Me &amp; Markers'!$B$21),"B. Strong performer",IF(AND(I326&gt;='Read Me &amp; Markers'!$B$22,L326&gt;='Read Me &amp; Markers'!$B$23),"C. Scale workhorse",IF(AND(I326&gt;='Read Me &amp; Markers'!$B$24,I326&lt;'Read Me &amp; Markers'!$B$18,J326&gt;='Read Me &amp; Markers'!$B$25,L326&gt;='Read Me &amp; Markers'!$B$26),"D. Promising (needs more spend)",""))))</f>
        <v/>
      </c>
      <c r="C326" s="4" t="s">
        <v>1351</v>
      </c>
      <c r="D326" s="4" t="s">
        <v>109</v>
      </c>
      <c r="E326" s="4" t="s">
        <v>822</v>
      </c>
      <c r="F326" s="4" t="s">
        <v>87</v>
      </c>
      <c r="G326" s="4" t="s">
        <v>361</v>
      </c>
      <c r="H326" s="4" t="s">
        <v>1352</v>
      </c>
      <c r="I326" s="5" t="n">
        <v>106.07</v>
      </c>
      <c r="J326" s="7" t="n">
        <v>1</v>
      </c>
      <c r="K326" s="5" t="n">
        <v>35.96</v>
      </c>
      <c r="L326" s="8" t="n">
        <v>0.339021</v>
      </c>
      <c r="M326" s="9" t="n">
        <v>106.07</v>
      </c>
      <c r="N326" s="10" t="n">
        <v>0.0573913</v>
      </c>
      <c r="O326" s="5" t="n">
        <v>184.47</v>
      </c>
      <c r="P326" s="11" t="n">
        <v>1.078799</v>
      </c>
      <c r="Q326" s="7" t="n">
        <v>575</v>
      </c>
      <c r="R326" s="7" t="n">
        <v>33</v>
      </c>
      <c r="S326" s="7" t="n">
        <v>2</v>
      </c>
      <c r="T326" s="7" t="n">
        <v>2</v>
      </c>
      <c r="U326" s="7" t="n">
        <v>545</v>
      </c>
      <c r="V326" s="7" t="n">
        <v>126</v>
      </c>
    </row>
    <row r="327" customFormat="false" ht="15" hidden="false" customHeight="false" outlineLevel="0" collapsed="false">
      <c r="A327" s="4" t="s">
        <v>1353</v>
      </c>
      <c r="B327" s="4" t="str">
        <f aca="false">IF(AND(I327&gt;='Read Me &amp; Markers'!$B$18,J327&gt;='Read Me &amp; Markers'!$B$19,L327&gt;='Read Me &amp; Markers'!$B$20),"A. Proven winner",IF(AND(I327&gt;='Read Me &amp; Markers'!$B$18,J327&gt;='Read Me &amp; Markers'!$B$19,L327&gt;='Read Me &amp; Markers'!$B$21),"B. Strong performer",IF(AND(I327&gt;='Read Me &amp; Markers'!$B$22,L327&gt;='Read Me &amp; Markers'!$B$23),"C. Scale workhorse",IF(AND(I327&gt;='Read Me &amp; Markers'!$B$24,I327&lt;'Read Me &amp; Markers'!$B$18,J327&gt;='Read Me &amp; Markers'!$B$25,L327&gt;='Read Me &amp; Markers'!$B$26),"D. Promising (needs more spend)",""))))</f>
        <v/>
      </c>
      <c r="C327" s="4" t="s">
        <v>1354</v>
      </c>
      <c r="D327" s="4" t="s">
        <v>228</v>
      </c>
      <c r="E327" s="4" t="s">
        <v>1355</v>
      </c>
      <c r="F327" s="4" t="s">
        <v>230</v>
      </c>
      <c r="G327" s="4" t="s">
        <v>568</v>
      </c>
      <c r="H327" s="4" t="s">
        <v>1356</v>
      </c>
      <c r="I327" s="5" t="n">
        <v>105.99</v>
      </c>
      <c r="J327" s="7" t="n">
        <v>0</v>
      </c>
      <c r="K327" s="5" t="n">
        <v>0</v>
      </c>
      <c r="L327" s="8" t="n">
        <v>0</v>
      </c>
      <c r="M327" s="9" t="n">
        <v>0</v>
      </c>
      <c r="N327" s="10" t="n">
        <v>0.02994012</v>
      </c>
      <c r="O327" s="5" t="n">
        <v>90.67</v>
      </c>
      <c r="P327" s="11" t="n">
        <v>1.496799</v>
      </c>
      <c r="Q327" s="7" t="n">
        <v>1169</v>
      </c>
      <c r="R327" s="7" t="n">
        <v>35</v>
      </c>
      <c r="S327" s="7" t="n">
        <v>2</v>
      </c>
      <c r="T327" s="7" t="n">
        <v>1</v>
      </c>
      <c r="U327" s="7" t="n">
        <v>0</v>
      </c>
      <c r="V327" s="7" t="n">
        <v>0</v>
      </c>
    </row>
    <row r="328" customFormat="false" ht="15" hidden="false" customHeight="false" outlineLevel="0" collapsed="false">
      <c r="A328" s="4" t="s">
        <v>1357</v>
      </c>
      <c r="B328" s="4" t="str">
        <f aca="false">IF(AND(I328&gt;='Read Me &amp; Markers'!$B$18,J328&gt;='Read Me &amp; Markers'!$B$19,L328&gt;='Read Me &amp; Markers'!$B$20),"A. Proven winner",IF(AND(I328&gt;='Read Me &amp; Markers'!$B$18,J328&gt;='Read Me &amp; Markers'!$B$19,L328&gt;='Read Me &amp; Markers'!$B$21),"B. Strong performer",IF(AND(I328&gt;='Read Me &amp; Markers'!$B$22,L328&gt;='Read Me &amp; Markers'!$B$23),"C. Scale workhorse",IF(AND(I328&gt;='Read Me &amp; Markers'!$B$24,I328&lt;'Read Me &amp; Markers'!$B$18,J328&gt;='Read Me &amp; Markers'!$B$25,L328&gt;='Read Me &amp; Markers'!$B$26),"D. Promising (needs more spend)",""))))</f>
        <v/>
      </c>
      <c r="C328" s="4" t="s">
        <v>321</v>
      </c>
      <c r="D328" s="4" t="s">
        <v>528</v>
      </c>
      <c r="E328" s="4" t="s">
        <v>1358</v>
      </c>
      <c r="F328" s="4" t="s">
        <v>230</v>
      </c>
      <c r="G328" s="4" t="s">
        <v>530</v>
      </c>
      <c r="H328" s="4" t="s">
        <v>1359</v>
      </c>
      <c r="I328" s="5" t="n">
        <v>105.95</v>
      </c>
      <c r="J328" s="7" t="n">
        <v>0</v>
      </c>
      <c r="K328" s="5" t="n">
        <v>0</v>
      </c>
      <c r="L328" s="8" t="n">
        <v>0</v>
      </c>
      <c r="M328" s="9" t="n">
        <v>0</v>
      </c>
      <c r="N328" s="10" t="n">
        <v>0.03288063</v>
      </c>
      <c r="O328" s="5" t="n">
        <v>75.73</v>
      </c>
      <c r="P328" s="11" t="n">
        <v>1.207075</v>
      </c>
      <c r="Q328" s="7" t="n">
        <v>1399</v>
      </c>
      <c r="R328" s="7" t="n">
        <v>46</v>
      </c>
      <c r="S328" s="7" t="n">
        <v>5</v>
      </c>
      <c r="T328" s="7" t="n">
        <v>3</v>
      </c>
      <c r="U328" s="7" t="n">
        <v>1254</v>
      </c>
      <c r="V328" s="7" t="n">
        <v>70</v>
      </c>
    </row>
    <row r="329" customFormat="false" ht="15" hidden="false" customHeight="false" outlineLevel="0" collapsed="false">
      <c r="A329" s="4" t="s">
        <v>1360</v>
      </c>
      <c r="B329" s="4" t="str">
        <f aca="false">IF(AND(I329&gt;='Read Me &amp; Markers'!$B$18,J329&gt;='Read Me &amp; Markers'!$B$19,L329&gt;='Read Me &amp; Markers'!$B$20),"A. Proven winner",IF(AND(I329&gt;='Read Me &amp; Markers'!$B$18,J329&gt;='Read Me &amp; Markers'!$B$19,L329&gt;='Read Me &amp; Markers'!$B$21),"B. Strong performer",IF(AND(I329&gt;='Read Me &amp; Markers'!$B$22,L329&gt;='Read Me &amp; Markers'!$B$23),"C. Scale workhorse",IF(AND(I329&gt;='Read Me &amp; Markers'!$B$24,I329&lt;'Read Me &amp; Markers'!$B$18,J329&gt;='Read Me &amp; Markers'!$B$25,L329&gt;='Read Me &amp; Markers'!$B$26),"D. Promising (needs more spend)",""))))</f>
        <v/>
      </c>
      <c r="C329" s="4" t="s">
        <v>1361</v>
      </c>
      <c r="D329" s="4" t="s">
        <v>206</v>
      </c>
      <c r="E329" s="4" t="s">
        <v>1362</v>
      </c>
      <c r="F329" s="4" t="s">
        <v>87</v>
      </c>
      <c r="G329" s="4" t="s">
        <v>1363</v>
      </c>
      <c r="H329" s="4" t="s">
        <v>1364</v>
      </c>
      <c r="I329" s="5" t="n">
        <v>105.84</v>
      </c>
      <c r="J329" s="7" t="n">
        <v>1</v>
      </c>
      <c r="K329" s="5" t="n">
        <v>45.95</v>
      </c>
      <c r="L329" s="8" t="n">
        <v>0.434146</v>
      </c>
      <c r="M329" s="9" t="n">
        <v>105.84</v>
      </c>
      <c r="N329" s="10" t="n">
        <v>0.01583333</v>
      </c>
      <c r="O329" s="5" t="n">
        <v>44.1</v>
      </c>
      <c r="P329" s="11" t="n">
        <v>1.387283</v>
      </c>
      <c r="Q329" s="7" t="n">
        <v>2400</v>
      </c>
      <c r="R329" s="7" t="n">
        <v>38</v>
      </c>
      <c r="S329" s="7" t="n">
        <v>7</v>
      </c>
      <c r="T329" s="7" t="n">
        <v>8</v>
      </c>
      <c r="U329" s="7" t="n">
        <v>0</v>
      </c>
      <c r="V329" s="7" t="n">
        <v>0</v>
      </c>
    </row>
    <row r="330" customFormat="false" ht="15" hidden="false" customHeight="false" outlineLevel="0" collapsed="false">
      <c r="A330" s="4" t="s">
        <v>1365</v>
      </c>
      <c r="B330" s="4" t="str">
        <f aca="false">IF(AND(I330&gt;='Read Me &amp; Markers'!$B$18,J330&gt;='Read Me &amp; Markers'!$B$19,L330&gt;='Read Me &amp; Markers'!$B$20),"A. Proven winner",IF(AND(I330&gt;='Read Me &amp; Markers'!$B$18,J330&gt;='Read Me &amp; Markers'!$B$19,L330&gt;='Read Me &amp; Markers'!$B$21),"B. Strong performer",IF(AND(I330&gt;='Read Me &amp; Markers'!$B$22,L330&gt;='Read Me &amp; Markers'!$B$23),"C. Scale workhorse",IF(AND(I330&gt;='Read Me &amp; Markers'!$B$24,I330&lt;'Read Me &amp; Markers'!$B$18,J330&gt;='Read Me &amp; Markers'!$B$25,L330&gt;='Read Me &amp; Markers'!$B$26),"D. Promising (needs more spend)",""))))</f>
        <v/>
      </c>
      <c r="C330" s="4" t="s">
        <v>169</v>
      </c>
      <c r="D330" s="4" t="s">
        <v>100</v>
      </c>
      <c r="E330" s="4" t="s">
        <v>1366</v>
      </c>
      <c r="F330" s="4" t="s">
        <v>87</v>
      </c>
      <c r="G330" s="4" t="s">
        <v>279</v>
      </c>
      <c r="H330" s="4" t="s">
        <v>1367</v>
      </c>
      <c r="I330" s="5" t="n">
        <v>105.29</v>
      </c>
      <c r="J330" s="7" t="n">
        <v>1</v>
      </c>
      <c r="K330" s="5" t="n">
        <v>35.96</v>
      </c>
      <c r="L330" s="8" t="n">
        <v>0.341533</v>
      </c>
      <c r="M330" s="9" t="n">
        <v>105.29</v>
      </c>
      <c r="N330" s="10" t="n">
        <v>0.07662464</v>
      </c>
      <c r="O330" s="5" t="n">
        <v>102.12</v>
      </c>
      <c r="P330" s="11" t="n">
        <v>1.257317</v>
      </c>
      <c r="Q330" s="7" t="n">
        <v>1031</v>
      </c>
      <c r="R330" s="7" t="n">
        <v>79</v>
      </c>
      <c r="S330" s="7" t="n">
        <v>4</v>
      </c>
      <c r="T330" s="7" t="n">
        <v>2</v>
      </c>
      <c r="U330" s="7" t="n">
        <v>903</v>
      </c>
      <c r="V330" s="7" t="n">
        <v>241</v>
      </c>
    </row>
    <row r="331" customFormat="false" ht="15" hidden="false" customHeight="false" outlineLevel="0" collapsed="false">
      <c r="A331" s="4" t="s">
        <v>1368</v>
      </c>
      <c r="B331" s="4" t="str">
        <f aca="false">IF(AND(I331&gt;='Read Me &amp; Markers'!$B$18,J331&gt;='Read Me &amp; Markers'!$B$19,L331&gt;='Read Me &amp; Markers'!$B$20),"A. Proven winner",IF(AND(I331&gt;='Read Me &amp; Markers'!$B$18,J331&gt;='Read Me &amp; Markers'!$B$19,L331&gt;='Read Me &amp; Markers'!$B$21),"B. Strong performer",IF(AND(I331&gt;='Read Me &amp; Markers'!$B$22,L331&gt;='Read Me &amp; Markers'!$B$23),"C. Scale workhorse",IF(AND(I331&gt;='Read Me &amp; Markers'!$B$24,I331&lt;'Read Me &amp; Markers'!$B$18,J331&gt;='Read Me &amp; Markers'!$B$25,L331&gt;='Read Me &amp; Markers'!$B$26),"D. Promising (needs more spend)",""))))</f>
        <v/>
      </c>
      <c r="C331" s="4" t="s">
        <v>169</v>
      </c>
      <c r="D331" s="4" t="s">
        <v>206</v>
      </c>
      <c r="E331" s="4" t="s">
        <v>1369</v>
      </c>
      <c r="F331" s="4" t="s">
        <v>253</v>
      </c>
      <c r="G331" s="4" t="s">
        <v>254</v>
      </c>
      <c r="H331" s="4" t="s">
        <v>1370</v>
      </c>
      <c r="I331" s="5" t="n">
        <v>105.18</v>
      </c>
      <c r="J331" s="7" t="n">
        <v>1</v>
      </c>
      <c r="K331" s="5" t="n">
        <v>35.93</v>
      </c>
      <c r="L331" s="8" t="n">
        <v>0.341605</v>
      </c>
      <c r="M331" s="9" t="n">
        <v>105.18</v>
      </c>
      <c r="N331" s="10" t="n">
        <v>0.02913453</v>
      </c>
      <c r="O331" s="5" t="n">
        <v>90.13</v>
      </c>
      <c r="P331" s="11" t="n">
        <v>1.283828</v>
      </c>
      <c r="Q331" s="7" t="n">
        <v>1167</v>
      </c>
      <c r="R331" s="7" t="n">
        <v>34</v>
      </c>
      <c r="S331" s="7" t="n">
        <v>1</v>
      </c>
      <c r="T331" s="7" t="n">
        <v>1</v>
      </c>
      <c r="U331" s="7" t="n">
        <v>986</v>
      </c>
      <c r="V331" s="7" t="n">
        <v>140</v>
      </c>
    </row>
    <row r="332" customFormat="false" ht="15" hidden="false" customHeight="false" outlineLevel="0" collapsed="false">
      <c r="A332" s="4" t="s">
        <v>1371</v>
      </c>
      <c r="B332" s="4" t="str">
        <f aca="false">IF(AND(I332&gt;='Read Me &amp; Markers'!$B$18,J332&gt;='Read Me &amp; Markers'!$B$19,L332&gt;='Read Me &amp; Markers'!$B$20),"A. Proven winner",IF(AND(I332&gt;='Read Me &amp; Markers'!$B$18,J332&gt;='Read Me &amp; Markers'!$B$19,L332&gt;='Read Me &amp; Markers'!$B$21),"B. Strong performer",IF(AND(I332&gt;='Read Me &amp; Markers'!$B$22,L332&gt;='Read Me &amp; Markers'!$B$23),"C. Scale workhorse",IF(AND(I332&gt;='Read Me &amp; Markers'!$B$24,I332&lt;'Read Me &amp; Markers'!$B$18,J332&gt;='Read Me &amp; Markers'!$B$25,L332&gt;='Read Me &amp; Markers'!$B$26),"D. Promising (needs more spend)",""))))</f>
        <v/>
      </c>
      <c r="C332" s="4" t="s">
        <v>1372</v>
      </c>
      <c r="D332" s="4" t="s">
        <v>109</v>
      </c>
      <c r="E332" s="4" t="s">
        <v>474</v>
      </c>
      <c r="F332" s="4" t="s">
        <v>111</v>
      </c>
      <c r="G332" s="4" t="s">
        <v>475</v>
      </c>
      <c r="H332" s="4" t="s">
        <v>1373</v>
      </c>
      <c r="I332" s="5" t="n">
        <v>105.09</v>
      </c>
      <c r="J332" s="7" t="n">
        <v>0</v>
      </c>
      <c r="K332" s="5" t="n">
        <v>0</v>
      </c>
      <c r="L332" s="8" t="n">
        <v>0</v>
      </c>
      <c r="M332" s="9" t="n">
        <v>0</v>
      </c>
      <c r="N332" s="10" t="n">
        <v>0.0101846</v>
      </c>
      <c r="O332" s="5" t="n">
        <v>66.89</v>
      </c>
      <c r="P332" s="11" t="n">
        <v>1.424297</v>
      </c>
      <c r="Q332" s="7" t="n">
        <v>1571</v>
      </c>
      <c r="R332" s="7" t="n">
        <v>16</v>
      </c>
      <c r="S332" s="7" t="n">
        <v>0</v>
      </c>
      <c r="T332" s="7" t="n">
        <v>2</v>
      </c>
      <c r="U332" s="7" t="n">
        <v>0</v>
      </c>
      <c r="V332" s="7" t="n">
        <v>0</v>
      </c>
    </row>
    <row r="333" customFormat="false" ht="15" hidden="false" customHeight="false" outlineLevel="0" collapsed="false">
      <c r="A333" s="4" t="s">
        <v>1374</v>
      </c>
      <c r="B333" s="4" t="str">
        <f aca="false">IF(AND(I333&gt;='Read Me &amp; Markers'!$B$18,J333&gt;='Read Me &amp; Markers'!$B$19,L333&gt;='Read Me &amp; Markers'!$B$20),"A. Proven winner",IF(AND(I333&gt;='Read Me &amp; Markers'!$B$18,J333&gt;='Read Me &amp; Markers'!$B$19,L333&gt;='Read Me &amp; Markers'!$B$21),"B. Strong performer",IF(AND(I333&gt;='Read Me &amp; Markers'!$B$22,L333&gt;='Read Me &amp; Markers'!$B$23),"C. Scale workhorse",IF(AND(I333&gt;='Read Me &amp; Markers'!$B$24,I333&lt;'Read Me &amp; Markers'!$B$18,J333&gt;='Read Me &amp; Markers'!$B$25,L333&gt;='Read Me &amp; Markers'!$B$26),"D. Promising (needs more spend)",""))))</f>
        <v/>
      </c>
      <c r="C333" s="4" t="s">
        <v>169</v>
      </c>
      <c r="D333" s="4" t="s">
        <v>100</v>
      </c>
      <c r="E333" s="4" t="s">
        <v>937</v>
      </c>
      <c r="F333" s="4" t="s">
        <v>87</v>
      </c>
      <c r="G333" s="4" t="s">
        <v>208</v>
      </c>
      <c r="H333" s="4" t="s">
        <v>1375</v>
      </c>
      <c r="I333" s="5" t="n">
        <v>104.92</v>
      </c>
      <c r="J333" s="7" t="n">
        <v>1</v>
      </c>
      <c r="K333" s="5" t="n">
        <v>45.95</v>
      </c>
      <c r="L333" s="8" t="n">
        <v>0.437953</v>
      </c>
      <c r="M333" s="9" t="n">
        <v>104.92</v>
      </c>
      <c r="N333" s="10" t="n">
        <v>0.06008969</v>
      </c>
      <c r="O333" s="5" t="n">
        <v>94.1</v>
      </c>
      <c r="P333" s="11" t="n">
        <v>1.286044</v>
      </c>
      <c r="Q333" s="7" t="n">
        <v>1115</v>
      </c>
      <c r="R333" s="7" t="n">
        <v>67</v>
      </c>
      <c r="S333" s="7" t="n">
        <v>6</v>
      </c>
      <c r="T333" s="7" t="n">
        <v>3</v>
      </c>
      <c r="U333" s="7" t="n">
        <v>991</v>
      </c>
      <c r="V333" s="7" t="n">
        <v>242</v>
      </c>
    </row>
    <row r="334" customFormat="false" ht="15" hidden="false" customHeight="false" outlineLevel="0" collapsed="false">
      <c r="A334" s="4" t="s">
        <v>1376</v>
      </c>
      <c r="B334" s="4" t="str">
        <f aca="false">IF(AND(I334&gt;='Read Me &amp; Markers'!$B$18,J334&gt;='Read Me &amp; Markers'!$B$19,L334&gt;='Read Me &amp; Markers'!$B$20),"A. Proven winner",IF(AND(I334&gt;='Read Me &amp; Markers'!$B$18,J334&gt;='Read Me &amp; Markers'!$B$19,L334&gt;='Read Me &amp; Markers'!$B$21),"B. Strong performer",IF(AND(I334&gt;='Read Me &amp; Markers'!$B$22,L334&gt;='Read Me &amp; Markers'!$B$23),"C. Scale workhorse",IF(AND(I334&gt;='Read Me &amp; Markers'!$B$24,I334&lt;'Read Me &amp; Markers'!$B$18,J334&gt;='Read Me &amp; Markers'!$B$25,L334&gt;='Read Me &amp; Markers'!$B$26),"D. Promising (needs more spend)",""))))</f>
        <v/>
      </c>
      <c r="C334" s="4" t="s">
        <v>98</v>
      </c>
      <c r="D334" s="4" t="s">
        <v>100</v>
      </c>
      <c r="E334" s="4" t="s">
        <v>1377</v>
      </c>
      <c r="F334" s="4" t="s">
        <v>87</v>
      </c>
      <c r="G334" s="4" t="s">
        <v>142</v>
      </c>
      <c r="H334" s="4" t="s">
        <v>1378</v>
      </c>
      <c r="I334" s="5" t="n">
        <v>104.72</v>
      </c>
      <c r="J334" s="7" t="n">
        <v>1</v>
      </c>
      <c r="K334" s="5" t="n">
        <v>37.83</v>
      </c>
      <c r="L334" s="8" t="n">
        <v>0.361249</v>
      </c>
      <c r="M334" s="9" t="n">
        <v>104.72</v>
      </c>
      <c r="N334" s="10" t="n">
        <v>0.01806641</v>
      </c>
      <c r="O334" s="5" t="n">
        <v>51.13</v>
      </c>
      <c r="P334" s="11" t="n">
        <v>1.606275</v>
      </c>
      <c r="Q334" s="7" t="n">
        <v>2048</v>
      </c>
      <c r="R334" s="7" t="n">
        <v>37</v>
      </c>
      <c r="S334" s="7" t="n">
        <v>5</v>
      </c>
      <c r="T334" s="7" t="n">
        <v>4</v>
      </c>
      <c r="U334" s="7" t="n">
        <v>1309</v>
      </c>
      <c r="V334" s="7" t="n">
        <v>140</v>
      </c>
    </row>
    <row r="335" customFormat="false" ht="15" hidden="false" customHeight="false" outlineLevel="0" collapsed="false">
      <c r="A335" s="4" t="s">
        <v>1379</v>
      </c>
      <c r="B335" s="4" t="str">
        <f aca="false">IF(AND(I335&gt;='Read Me &amp; Markers'!$B$18,J335&gt;='Read Me &amp; Markers'!$B$19,L335&gt;='Read Me &amp; Markers'!$B$20),"A. Proven winner",IF(AND(I335&gt;='Read Me &amp; Markers'!$B$18,J335&gt;='Read Me &amp; Markers'!$B$19,L335&gt;='Read Me &amp; Markers'!$B$21),"B. Strong performer",IF(AND(I335&gt;='Read Me &amp; Markers'!$B$22,L335&gt;='Read Me &amp; Markers'!$B$23),"C. Scale workhorse",IF(AND(I335&gt;='Read Me &amp; Markers'!$B$24,I335&lt;'Read Me &amp; Markers'!$B$18,J335&gt;='Read Me &amp; Markers'!$B$25,L335&gt;='Read Me &amp; Markers'!$B$26),"D. Promising (needs more spend)",""))))</f>
        <v/>
      </c>
      <c r="C335" s="4" t="s">
        <v>1380</v>
      </c>
      <c r="D335" s="4" t="s">
        <v>109</v>
      </c>
      <c r="E335" s="4" t="s">
        <v>859</v>
      </c>
      <c r="F335" s="4" t="s">
        <v>87</v>
      </c>
      <c r="G335" s="4" t="s">
        <v>508</v>
      </c>
      <c r="H335" s="4" t="s">
        <v>1381</v>
      </c>
      <c r="I335" s="5" t="n">
        <v>104.33</v>
      </c>
      <c r="J335" s="7" t="n">
        <v>1</v>
      </c>
      <c r="K335" s="5" t="n">
        <v>69.95</v>
      </c>
      <c r="L335" s="8" t="n">
        <v>0.670469</v>
      </c>
      <c r="M335" s="9" t="n">
        <v>104.33</v>
      </c>
      <c r="N335" s="10" t="n">
        <v>0.01956947</v>
      </c>
      <c r="O335" s="5" t="n">
        <v>68.06</v>
      </c>
      <c r="P335" s="11" t="n">
        <v>1.513327</v>
      </c>
      <c r="Q335" s="7" t="n">
        <v>1533</v>
      </c>
      <c r="R335" s="7" t="n">
        <v>30</v>
      </c>
      <c r="S335" s="7" t="n">
        <v>3</v>
      </c>
      <c r="T335" s="7" t="n">
        <v>1</v>
      </c>
      <c r="U335" s="7" t="n">
        <v>0</v>
      </c>
      <c r="V335" s="7" t="n">
        <v>0</v>
      </c>
    </row>
    <row r="336" customFormat="false" ht="15" hidden="false" customHeight="false" outlineLevel="0" collapsed="false">
      <c r="A336" s="4" t="s">
        <v>1382</v>
      </c>
      <c r="B336" s="4" t="str">
        <f aca="false">IF(AND(I336&gt;='Read Me &amp; Markers'!$B$18,J336&gt;='Read Me &amp; Markers'!$B$19,L336&gt;='Read Me &amp; Markers'!$B$20),"A. Proven winner",IF(AND(I336&gt;='Read Me &amp; Markers'!$B$18,J336&gt;='Read Me &amp; Markers'!$B$19,L336&gt;='Read Me &amp; Markers'!$B$21),"B. Strong performer",IF(AND(I336&gt;='Read Me &amp; Markers'!$B$22,L336&gt;='Read Me &amp; Markers'!$B$23),"C. Scale workhorse",IF(AND(I336&gt;='Read Me &amp; Markers'!$B$24,I336&lt;'Read Me &amp; Markers'!$B$18,J336&gt;='Read Me &amp; Markers'!$B$25,L336&gt;='Read Me &amp; Markers'!$B$26),"D. Promising (needs more spend)",""))))</f>
        <v/>
      </c>
      <c r="C336" s="4" t="s">
        <v>1383</v>
      </c>
      <c r="D336" s="4" t="s">
        <v>109</v>
      </c>
      <c r="E336" s="4" t="s">
        <v>552</v>
      </c>
      <c r="F336" s="4" t="s">
        <v>87</v>
      </c>
      <c r="G336" s="4" t="s">
        <v>361</v>
      </c>
      <c r="H336" s="4" t="s">
        <v>1384</v>
      </c>
      <c r="I336" s="5" t="n">
        <v>104.27</v>
      </c>
      <c r="J336" s="7" t="n">
        <v>1</v>
      </c>
      <c r="K336" s="5" t="n">
        <v>99.98</v>
      </c>
      <c r="L336" s="8" t="n">
        <v>0.958857</v>
      </c>
      <c r="M336" s="9" t="n">
        <v>104.27</v>
      </c>
      <c r="N336" s="10" t="n">
        <v>0.05797101</v>
      </c>
      <c r="O336" s="5" t="n">
        <v>125.93</v>
      </c>
      <c r="P336" s="11" t="n">
        <v>1.16129</v>
      </c>
      <c r="Q336" s="7" t="n">
        <v>828</v>
      </c>
      <c r="R336" s="7" t="n">
        <v>48</v>
      </c>
      <c r="S336" s="7" t="n">
        <v>4</v>
      </c>
      <c r="T336" s="7" t="n">
        <v>4</v>
      </c>
      <c r="U336" s="7" t="n">
        <v>793</v>
      </c>
      <c r="V336" s="7" t="n">
        <v>176</v>
      </c>
    </row>
    <row r="337" customFormat="false" ht="15" hidden="false" customHeight="false" outlineLevel="0" collapsed="false">
      <c r="A337" s="4" t="s">
        <v>1385</v>
      </c>
      <c r="B337" s="4" t="str">
        <f aca="false">IF(AND(I337&gt;='Read Me &amp; Markers'!$B$18,J337&gt;='Read Me &amp; Markers'!$B$19,L337&gt;='Read Me &amp; Markers'!$B$20),"A. Proven winner",IF(AND(I337&gt;='Read Me &amp; Markers'!$B$18,J337&gt;='Read Me &amp; Markers'!$B$19,L337&gt;='Read Me &amp; Markers'!$B$21),"B. Strong performer",IF(AND(I337&gt;='Read Me &amp; Markers'!$B$22,L337&gt;='Read Me &amp; Markers'!$B$23),"C. Scale workhorse",IF(AND(I337&gt;='Read Me &amp; Markers'!$B$24,I337&lt;'Read Me &amp; Markers'!$B$18,J337&gt;='Read Me &amp; Markers'!$B$25,L337&gt;='Read Me &amp; Markers'!$B$26),"D. Promising (needs more spend)",""))))</f>
        <v/>
      </c>
      <c r="C337" s="4" t="s">
        <v>1386</v>
      </c>
      <c r="D337" s="4" t="s">
        <v>228</v>
      </c>
      <c r="E337" s="4" t="s">
        <v>1387</v>
      </c>
      <c r="F337" s="4" t="s">
        <v>230</v>
      </c>
      <c r="G337" s="4" t="s">
        <v>1388</v>
      </c>
      <c r="H337" s="4" t="s">
        <v>1389</v>
      </c>
      <c r="I337" s="5" t="n">
        <v>104.11</v>
      </c>
      <c r="J337" s="7" t="n">
        <v>0</v>
      </c>
      <c r="K337" s="5" t="n">
        <v>0</v>
      </c>
      <c r="L337" s="8" t="n">
        <v>0</v>
      </c>
      <c r="M337" s="9" t="n">
        <v>0</v>
      </c>
      <c r="N337" s="10" t="n">
        <v>0.08616505</v>
      </c>
      <c r="O337" s="5" t="n">
        <v>126.35</v>
      </c>
      <c r="P337" s="11" t="n">
        <v>1.158931</v>
      </c>
      <c r="Q337" s="7" t="n">
        <v>824</v>
      </c>
      <c r="R337" s="7" t="n">
        <v>71</v>
      </c>
      <c r="S337" s="7" t="n">
        <v>3</v>
      </c>
      <c r="T337" s="7" t="n">
        <v>2</v>
      </c>
      <c r="U337" s="7" t="n">
        <v>760</v>
      </c>
      <c r="V337" s="7" t="n">
        <v>123</v>
      </c>
    </row>
    <row r="338" customFormat="false" ht="15" hidden="false" customHeight="false" outlineLevel="0" collapsed="false">
      <c r="A338" s="4" t="s">
        <v>1390</v>
      </c>
      <c r="B338" s="4" t="str">
        <f aca="false">IF(AND(I338&gt;='Read Me &amp; Markers'!$B$18,J338&gt;='Read Me &amp; Markers'!$B$19,L338&gt;='Read Me &amp; Markers'!$B$20),"A. Proven winner",IF(AND(I338&gt;='Read Me &amp; Markers'!$B$18,J338&gt;='Read Me &amp; Markers'!$B$19,L338&gt;='Read Me &amp; Markers'!$B$21),"B. Strong performer",IF(AND(I338&gt;='Read Me &amp; Markers'!$B$22,L338&gt;='Read Me &amp; Markers'!$B$23),"C. Scale workhorse",IF(AND(I338&gt;='Read Me &amp; Markers'!$B$24,I338&lt;'Read Me &amp; Markers'!$B$18,J338&gt;='Read Me &amp; Markers'!$B$25,L338&gt;='Read Me &amp; Markers'!$B$26),"D. Promising (needs more spend)",""))))</f>
        <v/>
      </c>
      <c r="C338" s="4" t="s">
        <v>1391</v>
      </c>
      <c r="D338" s="4" t="s">
        <v>109</v>
      </c>
      <c r="E338" s="4" t="s">
        <v>429</v>
      </c>
      <c r="F338" s="4" t="s">
        <v>87</v>
      </c>
      <c r="G338" s="4" t="s">
        <v>431</v>
      </c>
      <c r="H338" s="4" t="s">
        <v>1392</v>
      </c>
      <c r="I338" s="5" t="n">
        <v>103.83</v>
      </c>
      <c r="J338" s="7" t="n">
        <v>0</v>
      </c>
      <c r="K338" s="5" t="n">
        <v>0</v>
      </c>
      <c r="L338" s="8" t="n">
        <v>0</v>
      </c>
      <c r="M338" s="9" t="n">
        <v>0</v>
      </c>
      <c r="N338" s="10" t="n">
        <v>0.02738095</v>
      </c>
      <c r="O338" s="5" t="n">
        <v>123.61</v>
      </c>
      <c r="P338" s="11" t="n">
        <v>1.286371</v>
      </c>
      <c r="Q338" s="7" t="n">
        <v>840</v>
      </c>
      <c r="R338" s="7" t="n">
        <v>23</v>
      </c>
      <c r="S338" s="7" t="n">
        <v>1</v>
      </c>
      <c r="T338" s="7" t="n">
        <v>5</v>
      </c>
      <c r="U338" s="7" t="n">
        <v>728</v>
      </c>
      <c r="V338" s="7" t="n">
        <v>47</v>
      </c>
    </row>
    <row r="339" customFormat="false" ht="15" hidden="false" customHeight="false" outlineLevel="0" collapsed="false">
      <c r="A339" s="4" t="s">
        <v>1393</v>
      </c>
      <c r="B339" s="4" t="str">
        <f aca="false">IF(AND(I339&gt;='Read Me &amp; Markers'!$B$18,J339&gt;='Read Me &amp; Markers'!$B$19,L339&gt;='Read Me &amp; Markers'!$B$20),"A. Proven winner",IF(AND(I339&gt;='Read Me &amp; Markers'!$B$18,J339&gt;='Read Me &amp; Markers'!$B$19,L339&gt;='Read Me &amp; Markers'!$B$21),"B. Strong performer",IF(AND(I339&gt;='Read Me &amp; Markers'!$B$22,L339&gt;='Read Me &amp; Markers'!$B$23),"C. Scale workhorse",IF(AND(I339&gt;='Read Me &amp; Markers'!$B$24,I339&lt;'Read Me &amp; Markers'!$B$18,J339&gt;='Read Me &amp; Markers'!$B$25,L339&gt;='Read Me &amp; Markers'!$B$26),"D. Promising (needs more spend)",""))))</f>
        <v/>
      </c>
      <c r="C339" s="4" t="s">
        <v>1394</v>
      </c>
      <c r="D339" s="4" t="s">
        <v>109</v>
      </c>
      <c r="E339" s="4" t="s">
        <v>1329</v>
      </c>
      <c r="F339" s="4" t="s">
        <v>87</v>
      </c>
      <c r="G339" s="4" t="s">
        <v>599</v>
      </c>
      <c r="H339" s="4" t="s">
        <v>1395</v>
      </c>
      <c r="I339" s="5" t="n">
        <v>103.74</v>
      </c>
      <c r="J339" s="7" t="n">
        <v>3</v>
      </c>
      <c r="K339" s="5" t="n">
        <v>215.88</v>
      </c>
      <c r="L339" s="8" t="n">
        <v>2.080972</v>
      </c>
      <c r="M339" s="9" t="n">
        <v>34.58</v>
      </c>
      <c r="N339" s="10" t="n">
        <v>0.03913043</v>
      </c>
      <c r="O339" s="5" t="n">
        <v>112.76</v>
      </c>
      <c r="P339" s="11" t="n">
        <v>1.430793</v>
      </c>
      <c r="Q339" s="7" t="n">
        <v>920</v>
      </c>
      <c r="R339" s="7" t="n">
        <v>36</v>
      </c>
      <c r="S339" s="7" t="n">
        <v>2</v>
      </c>
      <c r="T339" s="7" t="n">
        <v>6</v>
      </c>
      <c r="U339" s="7" t="n">
        <v>660</v>
      </c>
      <c r="V339" s="7" t="n">
        <v>189</v>
      </c>
    </row>
    <row r="340" customFormat="false" ht="15" hidden="false" customHeight="false" outlineLevel="0" collapsed="false">
      <c r="A340" s="4" t="s">
        <v>1396</v>
      </c>
      <c r="B340" s="4" t="str">
        <f aca="false">IF(AND(I340&gt;='Read Me &amp; Markers'!$B$18,J340&gt;='Read Me &amp; Markers'!$B$19,L340&gt;='Read Me &amp; Markers'!$B$20),"A. Proven winner",IF(AND(I340&gt;='Read Me &amp; Markers'!$B$18,J340&gt;='Read Me &amp; Markers'!$B$19,L340&gt;='Read Me &amp; Markers'!$B$21),"B. Strong performer",IF(AND(I340&gt;='Read Me &amp; Markers'!$B$22,L340&gt;='Read Me &amp; Markers'!$B$23),"C. Scale workhorse",IF(AND(I340&gt;='Read Me &amp; Markers'!$B$24,I340&lt;'Read Me &amp; Markers'!$B$18,J340&gt;='Read Me &amp; Markers'!$B$25,L340&gt;='Read Me &amp; Markers'!$B$26),"D. Promising (needs more spend)",""))))</f>
        <v/>
      </c>
      <c r="C340" s="4" t="s">
        <v>121</v>
      </c>
      <c r="D340" s="4" t="s">
        <v>100</v>
      </c>
      <c r="E340" s="4" t="s">
        <v>1227</v>
      </c>
      <c r="F340" s="4" t="s">
        <v>87</v>
      </c>
      <c r="G340" s="4" t="s">
        <v>538</v>
      </c>
      <c r="H340" s="4" t="s">
        <v>1397</v>
      </c>
      <c r="I340" s="5" t="n">
        <v>103.6</v>
      </c>
      <c r="J340" s="7" t="n">
        <v>0</v>
      </c>
      <c r="K340" s="5" t="n">
        <v>0</v>
      </c>
      <c r="L340" s="8" t="n">
        <v>0</v>
      </c>
      <c r="M340" s="9" t="n">
        <v>0</v>
      </c>
      <c r="N340" s="10" t="n">
        <v>0.04766734</v>
      </c>
      <c r="O340" s="5" t="n">
        <v>105.07</v>
      </c>
      <c r="P340" s="11" t="n">
        <v>1.0883</v>
      </c>
      <c r="Q340" s="7" t="n">
        <v>986</v>
      </c>
      <c r="R340" s="7" t="n">
        <v>47</v>
      </c>
      <c r="S340" s="7" t="n">
        <v>2</v>
      </c>
      <c r="T340" s="7" t="n">
        <v>2</v>
      </c>
      <c r="U340" s="7" t="n">
        <v>914</v>
      </c>
      <c r="V340" s="7" t="n">
        <v>220</v>
      </c>
    </row>
    <row r="341" customFormat="false" ht="15" hidden="false" customHeight="false" outlineLevel="0" collapsed="false">
      <c r="A341" s="4" t="s">
        <v>1398</v>
      </c>
      <c r="B341" s="4" t="str">
        <f aca="false">IF(AND(I341&gt;='Read Me &amp; Markers'!$B$18,J341&gt;='Read Me &amp; Markers'!$B$19,L341&gt;='Read Me &amp; Markers'!$B$20),"A. Proven winner",IF(AND(I341&gt;='Read Me &amp; Markers'!$B$18,J341&gt;='Read Me &amp; Markers'!$B$19,L341&gt;='Read Me &amp; Markers'!$B$21),"B. Strong performer",IF(AND(I341&gt;='Read Me &amp; Markers'!$B$22,L341&gt;='Read Me &amp; Markers'!$B$23),"C. Scale workhorse",IF(AND(I341&gt;='Read Me &amp; Markers'!$B$24,I341&lt;'Read Me &amp; Markers'!$B$18,J341&gt;='Read Me &amp; Markers'!$B$25,L341&gt;='Read Me &amp; Markers'!$B$26),"D. Promising (needs more spend)",""))))</f>
        <v/>
      </c>
      <c r="C341" s="4" t="s">
        <v>192</v>
      </c>
      <c r="D341" s="4" t="s">
        <v>228</v>
      </c>
      <c r="E341" s="4" t="s">
        <v>1399</v>
      </c>
      <c r="F341" s="4" t="s">
        <v>230</v>
      </c>
      <c r="G341" s="4" t="s">
        <v>262</v>
      </c>
      <c r="H341" s="4" t="s">
        <v>1400</v>
      </c>
      <c r="I341" s="5" t="n">
        <v>103.09</v>
      </c>
      <c r="J341" s="7" t="n">
        <v>1</v>
      </c>
      <c r="K341" s="5" t="n">
        <v>39.97</v>
      </c>
      <c r="L341" s="8" t="n">
        <v>0.387719</v>
      </c>
      <c r="M341" s="9" t="n">
        <v>103.09</v>
      </c>
      <c r="N341" s="10" t="n">
        <v>0.04437401</v>
      </c>
      <c r="O341" s="5" t="n">
        <v>81.69</v>
      </c>
      <c r="P341" s="11" t="n">
        <v>1.342553</v>
      </c>
      <c r="Q341" s="7" t="n">
        <v>1262</v>
      </c>
      <c r="R341" s="7" t="n">
        <v>56</v>
      </c>
      <c r="S341" s="7" t="n">
        <v>5</v>
      </c>
      <c r="T341" s="7" t="n">
        <v>2</v>
      </c>
      <c r="U341" s="7" t="n">
        <v>1135</v>
      </c>
      <c r="V341" s="7" t="n">
        <v>76</v>
      </c>
    </row>
    <row r="342" customFormat="false" ht="15" hidden="false" customHeight="false" outlineLevel="0" collapsed="false">
      <c r="A342" s="4" t="s">
        <v>1401</v>
      </c>
      <c r="B342" s="4" t="str">
        <f aca="false">IF(AND(I342&gt;='Read Me &amp; Markers'!$B$18,J342&gt;='Read Me &amp; Markers'!$B$19,L342&gt;='Read Me &amp; Markers'!$B$20),"A. Proven winner",IF(AND(I342&gt;='Read Me &amp; Markers'!$B$18,J342&gt;='Read Me &amp; Markers'!$B$19,L342&gt;='Read Me &amp; Markers'!$B$21),"B. Strong performer",IF(AND(I342&gt;='Read Me &amp; Markers'!$B$22,L342&gt;='Read Me &amp; Markers'!$B$23),"C. Scale workhorse",IF(AND(I342&gt;='Read Me &amp; Markers'!$B$24,I342&lt;'Read Me &amp; Markers'!$B$18,J342&gt;='Read Me &amp; Markers'!$B$25,L342&gt;='Read Me &amp; Markers'!$B$26),"D. Promising (needs more spend)",""))))</f>
        <v/>
      </c>
      <c r="C342" s="4" t="s">
        <v>121</v>
      </c>
      <c r="D342" s="4" t="s">
        <v>100</v>
      </c>
      <c r="E342" s="4" t="s">
        <v>830</v>
      </c>
      <c r="F342" s="4" t="s">
        <v>87</v>
      </c>
      <c r="G342" s="4" t="s">
        <v>538</v>
      </c>
      <c r="H342" s="4" t="s">
        <v>1402</v>
      </c>
      <c r="I342" s="5" t="n">
        <v>102.9</v>
      </c>
      <c r="J342" s="7" t="n">
        <v>2</v>
      </c>
      <c r="K342" s="5" t="n">
        <v>130.7</v>
      </c>
      <c r="L342" s="8" t="n">
        <v>1.270165</v>
      </c>
      <c r="M342" s="9" t="n">
        <v>51.45</v>
      </c>
      <c r="N342" s="10" t="n">
        <v>0.0531804</v>
      </c>
      <c r="O342" s="5" t="n">
        <v>107.3</v>
      </c>
      <c r="P342" s="11" t="n">
        <v>1.051535</v>
      </c>
      <c r="Q342" s="7" t="n">
        <v>959</v>
      </c>
      <c r="R342" s="7" t="n">
        <v>51</v>
      </c>
      <c r="S342" s="7" t="n">
        <v>7</v>
      </c>
      <c r="T342" s="7" t="n">
        <v>8</v>
      </c>
      <c r="U342" s="7" t="n">
        <v>858</v>
      </c>
      <c r="V342" s="7" t="n">
        <v>149</v>
      </c>
    </row>
    <row r="343" customFormat="false" ht="15" hidden="false" customHeight="false" outlineLevel="0" collapsed="false">
      <c r="A343" s="4" t="s">
        <v>1403</v>
      </c>
      <c r="B343" s="4" t="str">
        <f aca="false">IF(AND(I343&gt;='Read Me &amp; Markers'!$B$18,J343&gt;='Read Me &amp; Markers'!$B$19,L343&gt;='Read Me &amp; Markers'!$B$20),"A. Proven winner",IF(AND(I343&gt;='Read Me &amp; Markers'!$B$18,J343&gt;='Read Me &amp; Markers'!$B$19,L343&gt;='Read Me &amp; Markers'!$B$21),"B. Strong performer",IF(AND(I343&gt;='Read Me &amp; Markers'!$B$22,L343&gt;='Read Me &amp; Markers'!$B$23),"C. Scale workhorse",IF(AND(I343&gt;='Read Me &amp; Markers'!$B$24,I343&lt;'Read Me &amp; Markers'!$B$18,J343&gt;='Read Me &amp; Markers'!$B$25,L343&gt;='Read Me &amp; Markers'!$B$26),"D. Promising (needs more spend)",""))))</f>
        <v/>
      </c>
      <c r="C343" s="4" t="s">
        <v>169</v>
      </c>
      <c r="D343" s="4" t="s">
        <v>100</v>
      </c>
      <c r="E343" s="4" t="s">
        <v>884</v>
      </c>
      <c r="F343" s="4" t="s">
        <v>253</v>
      </c>
      <c r="G343" s="4" t="s">
        <v>208</v>
      </c>
      <c r="H343" s="4" t="s">
        <v>1404</v>
      </c>
      <c r="I343" s="5" t="n">
        <v>102.77</v>
      </c>
      <c r="J343" s="7" t="n">
        <v>1</v>
      </c>
      <c r="K343" s="5" t="n">
        <v>39.97</v>
      </c>
      <c r="L343" s="8" t="n">
        <v>0.388927</v>
      </c>
      <c r="M343" s="9" t="n">
        <v>102.77</v>
      </c>
      <c r="N343" s="10" t="n">
        <v>0.05124451</v>
      </c>
      <c r="O343" s="5" t="n">
        <v>150.47</v>
      </c>
      <c r="P343" s="11" t="n">
        <v>1.310941</v>
      </c>
      <c r="Q343" s="7" t="n">
        <v>683</v>
      </c>
      <c r="R343" s="7" t="n">
        <v>35</v>
      </c>
      <c r="S343" s="7" t="n">
        <v>1</v>
      </c>
      <c r="T343" s="7" t="n">
        <v>4</v>
      </c>
      <c r="U343" s="7" t="n">
        <v>507</v>
      </c>
      <c r="V343" s="7" t="n">
        <v>111</v>
      </c>
    </row>
    <row r="344" customFormat="false" ht="15" hidden="false" customHeight="false" outlineLevel="0" collapsed="false">
      <c r="A344" s="4" t="s">
        <v>1405</v>
      </c>
      <c r="B344" s="4" t="str">
        <f aca="false">IF(AND(I344&gt;='Read Me &amp; Markers'!$B$18,J344&gt;='Read Me &amp; Markers'!$B$19,L344&gt;='Read Me &amp; Markers'!$B$20),"A. Proven winner",IF(AND(I344&gt;='Read Me &amp; Markers'!$B$18,J344&gt;='Read Me &amp; Markers'!$B$19,L344&gt;='Read Me &amp; Markers'!$B$21),"B. Strong performer",IF(AND(I344&gt;='Read Me &amp; Markers'!$B$22,L344&gt;='Read Me &amp; Markers'!$B$23),"C. Scale workhorse",IF(AND(I344&gt;='Read Me &amp; Markers'!$B$24,I344&lt;'Read Me &amp; Markers'!$B$18,J344&gt;='Read Me &amp; Markers'!$B$25,L344&gt;='Read Me &amp; Markers'!$B$26),"D. Promising (needs more spend)",""))))</f>
        <v/>
      </c>
      <c r="C344" s="4" t="s">
        <v>1406</v>
      </c>
      <c r="D344" s="4" t="s">
        <v>109</v>
      </c>
      <c r="E344" s="4" t="s">
        <v>888</v>
      </c>
      <c r="F344" s="4" t="s">
        <v>87</v>
      </c>
      <c r="G344" s="4" t="s">
        <v>317</v>
      </c>
      <c r="H344" s="4" t="s">
        <v>1407</v>
      </c>
      <c r="I344" s="5" t="n">
        <v>101.48</v>
      </c>
      <c r="J344" s="7" t="n">
        <v>1</v>
      </c>
      <c r="K344" s="5" t="n">
        <v>48.35</v>
      </c>
      <c r="L344" s="8" t="n">
        <v>0.476449</v>
      </c>
      <c r="M344" s="9" t="n">
        <v>101.48</v>
      </c>
      <c r="N344" s="10" t="n">
        <v>0.0639413</v>
      </c>
      <c r="O344" s="5" t="n">
        <v>106.37</v>
      </c>
      <c r="P344" s="11" t="n">
        <v>1.47907</v>
      </c>
      <c r="Q344" s="7" t="n">
        <v>954</v>
      </c>
      <c r="R344" s="7" t="n">
        <v>61</v>
      </c>
      <c r="S344" s="7" t="n">
        <v>2</v>
      </c>
      <c r="T344" s="7" t="n">
        <v>6</v>
      </c>
      <c r="U344" s="7" t="n">
        <v>840</v>
      </c>
      <c r="V344" s="7" t="n">
        <v>233</v>
      </c>
    </row>
    <row r="345" customFormat="false" ht="15" hidden="false" customHeight="false" outlineLevel="0" collapsed="false">
      <c r="A345" s="4" t="s">
        <v>1408</v>
      </c>
      <c r="B345" s="4" t="str">
        <f aca="false">IF(AND(I345&gt;='Read Me &amp; Markers'!$B$18,J345&gt;='Read Me &amp; Markers'!$B$19,L345&gt;='Read Me &amp; Markers'!$B$20),"A. Proven winner",IF(AND(I345&gt;='Read Me &amp; Markers'!$B$18,J345&gt;='Read Me &amp; Markers'!$B$19,L345&gt;='Read Me &amp; Markers'!$B$21),"B. Strong performer",IF(AND(I345&gt;='Read Me &amp; Markers'!$B$22,L345&gt;='Read Me &amp; Markers'!$B$23),"C. Scale workhorse",IF(AND(I345&gt;='Read Me &amp; Markers'!$B$24,I345&lt;'Read Me &amp; Markers'!$B$18,J345&gt;='Read Me &amp; Markers'!$B$25,L345&gt;='Read Me &amp; Markers'!$B$26),"D. Promising (needs more spend)",""))))</f>
        <v/>
      </c>
      <c r="C345" s="4" t="s">
        <v>1409</v>
      </c>
      <c r="D345" s="4" t="s">
        <v>109</v>
      </c>
      <c r="E345" s="4" t="s">
        <v>751</v>
      </c>
      <c r="F345" s="4" t="s">
        <v>111</v>
      </c>
      <c r="G345" s="4" t="s">
        <v>286</v>
      </c>
      <c r="H345" s="4" t="s">
        <v>1410</v>
      </c>
      <c r="I345" s="5" t="n">
        <v>101.43</v>
      </c>
      <c r="J345" s="7" t="n">
        <v>1</v>
      </c>
      <c r="K345" s="5" t="n">
        <v>45.95</v>
      </c>
      <c r="L345" s="8" t="n">
        <v>0.453022</v>
      </c>
      <c r="M345" s="9" t="n">
        <v>101.43</v>
      </c>
      <c r="N345" s="10" t="n">
        <v>0.01324503</v>
      </c>
      <c r="O345" s="5" t="n">
        <v>44.78</v>
      </c>
      <c r="P345" s="11" t="n">
        <v>1.770915</v>
      </c>
      <c r="Q345" s="7" t="n">
        <v>2265</v>
      </c>
      <c r="R345" s="7" t="n">
        <v>30</v>
      </c>
      <c r="S345" s="7" t="n">
        <v>2</v>
      </c>
      <c r="T345" s="7" t="n">
        <v>5</v>
      </c>
      <c r="U345" s="7" t="n">
        <v>12</v>
      </c>
      <c r="V345" s="7" t="n">
        <v>0</v>
      </c>
    </row>
    <row r="346" customFormat="false" ht="15" hidden="false" customHeight="false" outlineLevel="0" collapsed="false">
      <c r="A346" s="4" t="s">
        <v>1411</v>
      </c>
      <c r="B346" s="4" t="str">
        <f aca="false">IF(AND(I346&gt;='Read Me &amp; Markers'!$B$18,J346&gt;='Read Me &amp; Markers'!$B$19,L346&gt;='Read Me &amp; Markers'!$B$20),"A. Proven winner",IF(AND(I346&gt;='Read Me &amp; Markers'!$B$18,J346&gt;='Read Me &amp; Markers'!$B$19,L346&gt;='Read Me &amp; Markers'!$B$21),"B. Strong performer",IF(AND(I346&gt;='Read Me &amp; Markers'!$B$22,L346&gt;='Read Me &amp; Markers'!$B$23),"C. Scale workhorse",IF(AND(I346&gt;='Read Me &amp; Markers'!$B$24,I346&lt;'Read Me &amp; Markers'!$B$18,J346&gt;='Read Me &amp; Markers'!$B$25,L346&gt;='Read Me &amp; Markers'!$B$26),"D. Promising (needs more spend)",""))))</f>
        <v/>
      </c>
      <c r="C346" s="4" t="s">
        <v>1412</v>
      </c>
      <c r="D346" s="4" t="s">
        <v>109</v>
      </c>
      <c r="E346" s="4" t="s">
        <v>1413</v>
      </c>
      <c r="F346" s="4" t="s">
        <v>87</v>
      </c>
      <c r="G346" s="4" t="s">
        <v>317</v>
      </c>
      <c r="H346" s="4" t="s">
        <v>1414</v>
      </c>
      <c r="I346" s="5" t="n">
        <v>101.29</v>
      </c>
      <c r="J346" s="7" t="n">
        <v>0</v>
      </c>
      <c r="K346" s="5" t="n">
        <v>0</v>
      </c>
      <c r="L346" s="8" t="n">
        <v>0</v>
      </c>
      <c r="M346" s="9" t="n">
        <v>0</v>
      </c>
      <c r="N346" s="10" t="n">
        <v>0.03096985</v>
      </c>
      <c r="O346" s="5" t="n">
        <v>82.55</v>
      </c>
      <c r="P346" s="11" t="n">
        <v>1.349835</v>
      </c>
      <c r="Q346" s="7" t="n">
        <v>1227</v>
      </c>
      <c r="R346" s="7" t="n">
        <v>38</v>
      </c>
      <c r="S346" s="7" t="n">
        <v>5</v>
      </c>
      <c r="T346" s="7" t="n">
        <v>5</v>
      </c>
      <c r="U346" s="7" t="n">
        <v>0</v>
      </c>
      <c r="V346" s="7" t="n">
        <v>0</v>
      </c>
    </row>
    <row r="347" customFormat="false" ht="15" hidden="false" customHeight="false" outlineLevel="0" collapsed="false">
      <c r="A347" s="4" t="s">
        <v>1415</v>
      </c>
      <c r="B347" s="4" t="str">
        <f aca="false">IF(AND(I347&gt;='Read Me &amp; Markers'!$B$18,J347&gt;='Read Me &amp; Markers'!$B$19,L347&gt;='Read Me &amp; Markers'!$B$20),"A. Proven winner",IF(AND(I347&gt;='Read Me &amp; Markers'!$B$18,J347&gt;='Read Me &amp; Markers'!$B$19,L347&gt;='Read Me &amp; Markers'!$B$21),"B. Strong performer",IF(AND(I347&gt;='Read Me &amp; Markers'!$B$22,L347&gt;='Read Me &amp; Markers'!$B$23),"C. Scale workhorse",IF(AND(I347&gt;='Read Me &amp; Markers'!$B$24,I347&lt;'Read Me &amp; Markers'!$B$18,J347&gt;='Read Me &amp; Markers'!$B$25,L347&gt;='Read Me &amp; Markers'!$B$26),"D. Promising (needs more spend)",""))))</f>
        <v/>
      </c>
      <c r="C347" s="4" t="s">
        <v>169</v>
      </c>
      <c r="D347" s="4" t="s">
        <v>100</v>
      </c>
      <c r="E347" s="4" t="s">
        <v>1081</v>
      </c>
      <c r="F347" s="4" t="s">
        <v>87</v>
      </c>
      <c r="G347" s="4" t="s">
        <v>132</v>
      </c>
      <c r="H347" s="4" t="s">
        <v>1416</v>
      </c>
      <c r="I347" s="5" t="n">
        <v>100.92</v>
      </c>
      <c r="J347" s="7" t="n">
        <v>0</v>
      </c>
      <c r="K347" s="5" t="n">
        <v>0</v>
      </c>
      <c r="L347" s="8" t="n">
        <v>0</v>
      </c>
      <c r="M347" s="9" t="n">
        <v>0</v>
      </c>
      <c r="N347" s="10" t="n">
        <v>0.04160475</v>
      </c>
      <c r="O347" s="5" t="n">
        <v>74.98</v>
      </c>
      <c r="P347" s="11" t="n">
        <v>1.396266</v>
      </c>
      <c r="Q347" s="7" t="n">
        <v>1346</v>
      </c>
      <c r="R347" s="7" t="n">
        <v>56</v>
      </c>
      <c r="S347" s="7" t="n">
        <v>6</v>
      </c>
      <c r="T347" s="7" t="n">
        <v>5</v>
      </c>
      <c r="U347" s="7" t="n">
        <v>1015</v>
      </c>
      <c r="V347" s="7" t="n">
        <v>144</v>
      </c>
    </row>
    <row r="348" customFormat="false" ht="15" hidden="false" customHeight="false" outlineLevel="0" collapsed="false">
      <c r="A348" s="4" t="s">
        <v>1417</v>
      </c>
      <c r="B348" s="4" t="str">
        <f aca="false">IF(AND(I348&gt;='Read Me &amp; Markers'!$B$18,J348&gt;='Read Me &amp; Markers'!$B$19,L348&gt;='Read Me &amp; Markers'!$B$20),"A. Proven winner",IF(AND(I348&gt;='Read Me &amp; Markers'!$B$18,J348&gt;='Read Me &amp; Markers'!$B$19,L348&gt;='Read Me &amp; Markers'!$B$21),"B. Strong performer",IF(AND(I348&gt;='Read Me &amp; Markers'!$B$22,L348&gt;='Read Me &amp; Markers'!$B$23),"C. Scale workhorse",IF(AND(I348&gt;='Read Me &amp; Markers'!$B$24,I348&lt;'Read Me &amp; Markers'!$B$18,J348&gt;='Read Me &amp; Markers'!$B$25,L348&gt;='Read Me &amp; Markers'!$B$26),"D. Promising (needs more spend)",""))))</f>
        <v/>
      </c>
      <c r="C348" s="4" t="s">
        <v>1418</v>
      </c>
      <c r="D348" s="4" t="s">
        <v>109</v>
      </c>
      <c r="E348" s="4" t="s">
        <v>110</v>
      </c>
      <c r="F348" s="4" t="s">
        <v>111</v>
      </c>
      <c r="G348" s="4" t="s">
        <v>112</v>
      </c>
      <c r="H348" s="4" t="s">
        <v>1419</v>
      </c>
      <c r="I348" s="5" t="n">
        <v>100.6</v>
      </c>
      <c r="J348" s="7" t="n">
        <v>1</v>
      </c>
      <c r="K348" s="5" t="n">
        <v>79.97</v>
      </c>
      <c r="L348" s="8" t="n">
        <v>0.79493</v>
      </c>
      <c r="M348" s="9" t="n">
        <v>100.6</v>
      </c>
      <c r="N348" s="10" t="n">
        <v>0.02356688</v>
      </c>
      <c r="O348" s="5" t="n">
        <v>64.08</v>
      </c>
      <c r="P348" s="11" t="n">
        <v>1.548323</v>
      </c>
      <c r="Q348" s="7" t="n">
        <v>1570</v>
      </c>
      <c r="R348" s="7" t="n">
        <v>37</v>
      </c>
      <c r="S348" s="7" t="n">
        <v>5</v>
      </c>
      <c r="T348" s="7" t="n">
        <v>3</v>
      </c>
      <c r="U348" s="7" t="n">
        <v>0</v>
      </c>
      <c r="V348" s="7" t="n">
        <v>0</v>
      </c>
    </row>
    <row r="349" customFormat="false" ht="15" hidden="false" customHeight="false" outlineLevel="0" collapsed="false">
      <c r="A349" s="4" t="s">
        <v>1420</v>
      </c>
      <c r="B349" s="4" t="str">
        <f aca="false">IF(AND(I349&gt;='Read Me &amp; Markers'!$B$18,J349&gt;='Read Me &amp; Markers'!$B$19,L349&gt;='Read Me &amp; Markers'!$B$20),"A. Proven winner",IF(AND(I349&gt;='Read Me &amp; Markers'!$B$18,J349&gt;='Read Me &amp; Markers'!$B$19,L349&gt;='Read Me &amp; Markers'!$B$21),"B. Strong performer",IF(AND(I349&gt;='Read Me &amp; Markers'!$B$22,L349&gt;='Read Me &amp; Markers'!$B$23),"C. Scale workhorse",IF(AND(I349&gt;='Read Me &amp; Markers'!$B$24,I349&lt;'Read Me &amp; Markers'!$B$18,J349&gt;='Read Me &amp; Markers'!$B$25,L349&gt;='Read Me &amp; Markers'!$B$26),"D. Promising (needs more spend)",""))))</f>
        <v/>
      </c>
      <c r="C349" s="4" t="s">
        <v>129</v>
      </c>
      <c r="D349" s="4" t="s">
        <v>100</v>
      </c>
      <c r="E349" s="4" t="s">
        <v>1177</v>
      </c>
      <c r="F349" s="4" t="s">
        <v>87</v>
      </c>
      <c r="G349" s="4" t="s">
        <v>342</v>
      </c>
      <c r="H349" s="4" t="s">
        <v>1421</v>
      </c>
      <c r="I349" s="5" t="n">
        <v>100.19</v>
      </c>
      <c r="J349" s="7" t="n">
        <v>2</v>
      </c>
      <c r="K349" s="5" t="n">
        <v>153.15</v>
      </c>
      <c r="L349" s="8" t="n">
        <v>1.528596</v>
      </c>
      <c r="M349" s="9" t="n">
        <v>50.1</v>
      </c>
      <c r="N349" s="10" t="n">
        <v>0.02404207</v>
      </c>
      <c r="O349" s="5" t="n">
        <v>75.27</v>
      </c>
      <c r="P349" s="11" t="n">
        <v>1.10091</v>
      </c>
      <c r="Q349" s="7" t="n">
        <v>1331</v>
      </c>
      <c r="R349" s="7" t="n">
        <v>32</v>
      </c>
      <c r="S349" s="7" t="n">
        <v>3</v>
      </c>
      <c r="T349" s="7" t="n">
        <v>3</v>
      </c>
      <c r="U349" s="7" t="n">
        <v>1151</v>
      </c>
      <c r="V349" s="7" t="n">
        <v>52</v>
      </c>
    </row>
    <row r="350" customFormat="false" ht="15" hidden="false" customHeight="false" outlineLevel="0" collapsed="false">
      <c r="A350" s="4" t="s">
        <v>1422</v>
      </c>
      <c r="B350" s="4" t="str">
        <f aca="false">IF(AND(I350&gt;='Read Me &amp; Markers'!$B$18,J350&gt;='Read Me &amp; Markers'!$B$19,L350&gt;='Read Me &amp; Markers'!$B$20),"A. Proven winner",IF(AND(I350&gt;='Read Me &amp; Markers'!$B$18,J350&gt;='Read Me &amp; Markers'!$B$19,L350&gt;='Read Me &amp; Markers'!$B$21),"B. Strong performer",IF(AND(I350&gt;='Read Me &amp; Markers'!$B$22,L350&gt;='Read Me &amp; Markers'!$B$23),"C. Scale workhorse",IF(AND(I350&gt;='Read Me &amp; Markers'!$B$24,I350&lt;'Read Me &amp; Markers'!$B$18,J350&gt;='Read Me &amp; Markers'!$B$25,L350&gt;='Read Me &amp; Markers'!$B$26),"D. Promising (needs more spend)",""))))</f>
        <v/>
      </c>
      <c r="C350" s="4" t="s">
        <v>169</v>
      </c>
      <c r="D350" s="4" t="s">
        <v>100</v>
      </c>
      <c r="E350" s="4" t="s">
        <v>1423</v>
      </c>
      <c r="F350" s="4" t="s">
        <v>87</v>
      </c>
      <c r="G350" s="4" t="s">
        <v>310</v>
      </c>
      <c r="H350" s="4" t="s">
        <v>1424</v>
      </c>
      <c r="I350" s="5" t="n">
        <v>100.13</v>
      </c>
      <c r="J350" s="7" t="n">
        <v>1</v>
      </c>
      <c r="K350" s="5" t="n">
        <v>48.34</v>
      </c>
      <c r="L350" s="8" t="n">
        <v>0.482772</v>
      </c>
      <c r="M350" s="9" t="n">
        <v>100.13</v>
      </c>
      <c r="N350" s="10" t="n">
        <v>0.02252747</v>
      </c>
      <c r="O350" s="5" t="n">
        <v>55.02</v>
      </c>
      <c r="P350" s="11" t="n">
        <v>1.313131</v>
      </c>
      <c r="Q350" s="7" t="n">
        <v>1820</v>
      </c>
      <c r="R350" s="7" t="n">
        <v>41</v>
      </c>
      <c r="S350" s="7" t="n">
        <v>8</v>
      </c>
      <c r="T350" s="7" t="n">
        <v>5</v>
      </c>
      <c r="U350" s="7" t="n">
        <v>1612</v>
      </c>
      <c r="V350" s="7" t="n">
        <v>82</v>
      </c>
    </row>
    <row r="351" customFormat="false" ht="15" hidden="false" customHeight="false" outlineLevel="0" collapsed="false">
      <c r="A351" s="4" t="s">
        <v>1425</v>
      </c>
      <c r="B351" s="4" t="str">
        <f aca="false">IF(AND(I351&gt;='Read Me &amp; Markers'!$B$18,J351&gt;='Read Me &amp; Markers'!$B$19,L351&gt;='Read Me &amp; Markers'!$B$20),"A. Proven winner",IF(AND(I351&gt;='Read Me &amp; Markers'!$B$18,J351&gt;='Read Me &amp; Markers'!$B$19,L351&gt;='Read Me &amp; Markers'!$B$21),"B. Strong performer",IF(AND(I351&gt;='Read Me &amp; Markers'!$B$22,L351&gt;='Read Me &amp; Markers'!$B$23),"C. Scale workhorse",IF(AND(I351&gt;='Read Me &amp; Markers'!$B$24,I351&lt;'Read Me &amp; Markers'!$B$18,J351&gt;='Read Me &amp; Markers'!$B$25,L351&gt;='Read Me &amp; Markers'!$B$26),"D. Promising (needs more spend)",""))))</f>
        <v/>
      </c>
      <c r="C351" s="4" t="s">
        <v>121</v>
      </c>
      <c r="D351" s="4" t="s">
        <v>100</v>
      </c>
      <c r="E351" s="4" t="s">
        <v>1426</v>
      </c>
      <c r="F351" s="4" t="s">
        <v>87</v>
      </c>
      <c r="G351" s="4" t="s">
        <v>348</v>
      </c>
      <c r="H351" s="4" t="s">
        <v>1427</v>
      </c>
      <c r="I351" s="5" t="n">
        <v>99.77</v>
      </c>
      <c r="J351" s="7" t="n">
        <v>0</v>
      </c>
      <c r="K351" s="5" t="n">
        <v>0</v>
      </c>
      <c r="L351" s="8" t="n">
        <v>0</v>
      </c>
      <c r="M351" s="9" t="n">
        <v>0</v>
      </c>
      <c r="N351" s="10" t="n">
        <v>0.0231931</v>
      </c>
      <c r="O351" s="5" t="n">
        <v>53.81</v>
      </c>
      <c r="P351" s="11" t="n">
        <v>1.561921</v>
      </c>
      <c r="Q351" s="7" t="n">
        <v>1854</v>
      </c>
      <c r="R351" s="7" t="n">
        <v>43</v>
      </c>
      <c r="S351" s="7" t="n">
        <v>2</v>
      </c>
      <c r="T351" s="7" t="n">
        <v>2</v>
      </c>
      <c r="U351" s="7" t="n">
        <v>1355</v>
      </c>
      <c r="V351" s="7" t="n">
        <v>89</v>
      </c>
    </row>
    <row r="352" customFormat="false" ht="15" hidden="false" customHeight="false" outlineLevel="0" collapsed="false">
      <c r="A352" s="4" t="s">
        <v>1428</v>
      </c>
      <c r="B352" s="4" t="str">
        <f aca="false">IF(AND(I352&gt;='Read Me &amp; Markers'!$B$18,J352&gt;='Read Me &amp; Markers'!$B$19,L352&gt;='Read Me &amp; Markers'!$B$20),"A. Proven winner",IF(AND(I352&gt;='Read Me &amp; Markers'!$B$18,J352&gt;='Read Me &amp; Markers'!$B$19,L352&gt;='Read Me &amp; Markers'!$B$21),"B. Strong performer",IF(AND(I352&gt;='Read Me &amp; Markers'!$B$22,L352&gt;='Read Me &amp; Markers'!$B$23),"C. Scale workhorse",IF(AND(I352&gt;='Read Me &amp; Markers'!$B$24,I352&lt;'Read Me &amp; Markers'!$B$18,J352&gt;='Read Me &amp; Markers'!$B$25,L352&gt;='Read Me &amp; Markers'!$B$26),"D. Promising (needs more spend)",""))))</f>
        <v/>
      </c>
      <c r="C352" s="4" t="s">
        <v>1429</v>
      </c>
      <c r="D352" s="4" t="s">
        <v>1204</v>
      </c>
      <c r="E352" s="4" t="s">
        <v>1430</v>
      </c>
      <c r="F352" s="4" t="s">
        <v>253</v>
      </c>
      <c r="G352" s="4" t="s">
        <v>1206</v>
      </c>
      <c r="H352" s="4" t="s">
        <v>1431</v>
      </c>
      <c r="I352" s="5" t="n">
        <v>97.23</v>
      </c>
      <c r="J352" s="7" t="n">
        <v>0</v>
      </c>
      <c r="K352" s="5" t="n">
        <v>0</v>
      </c>
      <c r="L352" s="8" t="n">
        <v>0</v>
      </c>
      <c r="M352" s="9" t="n">
        <v>0</v>
      </c>
      <c r="N352" s="10" t="n">
        <v>0.06711409</v>
      </c>
      <c r="O352" s="5" t="n">
        <v>163.14</v>
      </c>
      <c r="P352" s="11" t="n">
        <v>1.13308</v>
      </c>
      <c r="Q352" s="7" t="n">
        <v>596</v>
      </c>
      <c r="R352" s="7" t="n">
        <v>40</v>
      </c>
      <c r="S352" s="7" t="n">
        <v>0</v>
      </c>
      <c r="T352" s="7" t="n">
        <v>0</v>
      </c>
      <c r="U352" s="7" t="n">
        <v>562</v>
      </c>
      <c r="V352" s="7" t="n">
        <v>88</v>
      </c>
    </row>
    <row r="353" customFormat="false" ht="15" hidden="false" customHeight="false" outlineLevel="0" collapsed="false">
      <c r="A353" s="4" t="s">
        <v>1432</v>
      </c>
      <c r="B353" s="4" t="str">
        <f aca="false">IF(AND(I353&gt;='Read Me &amp; Markers'!$B$18,J353&gt;='Read Me &amp; Markers'!$B$19,L353&gt;='Read Me &amp; Markers'!$B$20),"A. Proven winner",IF(AND(I353&gt;='Read Me &amp; Markers'!$B$18,J353&gt;='Read Me &amp; Markers'!$B$19,L353&gt;='Read Me &amp; Markers'!$B$21),"B. Strong performer",IF(AND(I353&gt;='Read Me &amp; Markers'!$B$22,L353&gt;='Read Me &amp; Markers'!$B$23),"C. Scale workhorse",IF(AND(I353&gt;='Read Me &amp; Markers'!$B$24,I353&lt;'Read Me &amp; Markers'!$B$18,J353&gt;='Read Me &amp; Markers'!$B$25,L353&gt;='Read Me &amp; Markers'!$B$26),"D. Promising (needs more spend)",""))))</f>
        <v/>
      </c>
      <c r="C353" s="4" t="s">
        <v>169</v>
      </c>
      <c r="D353" s="4" t="s">
        <v>206</v>
      </c>
      <c r="E353" s="4" t="s">
        <v>1433</v>
      </c>
      <c r="F353" s="4" t="s">
        <v>230</v>
      </c>
      <c r="G353" s="4" t="s">
        <v>743</v>
      </c>
      <c r="H353" s="4" t="s">
        <v>1434</v>
      </c>
      <c r="I353" s="5" t="n">
        <v>97.07</v>
      </c>
      <c r="J353" s="7" t="n">
        <v>1</v>
      </c>
      <c r="K353" s="5" t="n">
        <v>45.95</v>
      </c>
      <c r="L353" s="8" t="n">
        <v>0.47337</v>
      </c>
      <c r="M353" s="9" t="n">
        <v>97.07</v>
      </c>
      <c r="N353" s="10" t="n">
        <v>0.05091384</v>
      </c>
      <c r="O353" s="5" t="n">
        <v>126.72</v>
      </c>
      <c r="P353" s="11" t="n">
        <v>1.200627</v>
      </c>
      <c r="Q353" s="7" t="n">
        <v>766</v>
      </c>
      <c r="R353" s="7" t="n">
        <v>39</v>
      </c>
      <c r="S353" s="7" t="n">
        <v>6</v>
      </c>
      <c r="T353" s="7" t="n">
        <v>5</v>
      </c>
      <c r="U353" s="7" t="n">
        <v>654</v>
      </c>
      <c r="V353" s="7" t="n">
        <v>142</v>
      </c>
    </row>
    <row r="354" customFormat="false" ht="15" hidden="false" customHeight="false" outlineLevel="0" collapsed="false">
      <c r="A354" s="4" t="s">
        <v>1435</v>
      </c>
      <c r="B354" s="4" t="str">
        <f aca="false">IF(AND(I354&gt;='Read Me &amp; Markers'!$B$18,J354&gt;='Read Me &amp; Markers'!$B$19,L354&gt;='Read Me &amp; Markers'!$B$20),"A. Proven winner",IF(AND(I354&gt;='Read Me &amp; Markers'!$B$18,J354&gt;='Read Me &amp; Markers'!$B$19,L354&gt;='Read Me &amp; Markers'!$B$21),"B. Strong performer",IF(AND(I354&gt;='Read Me &amp; Markers'!$B$22,L354&gt;='Read Me &amp; Markers'!$B$23),"C. Scale workhorse",IF(AND(I354&gt;='Read Me &amp; Markers'!$B$24,I354&lt;'Read Me &amp; Markers'!$B$18,J354&gt;='Read Me &amp; Markers'!$B$25,L354&gt;='Read Me &amp; Markers'!$B$26),"D. Promising (needs more spend)",""))))</f>
        <v/>
      </c>
      <c r="C354" s="4" t="s">
        <v>121</v>
      </c>
      <c r="D354" s="4" t="s">
        <v>206</v>
      </c>
      <c r="E354" s="4" t="s">
        <v>515</v>
      </c>
      <c r="F354" s="4" t="s">
        <v>253</v>
      </c>
      <c r="G354" s="4" t="s">
        <v>254</v>
      </c>
      <c r="H354" s="4" t="s">
        <v>1436</v>
      </c>
      <c r="I354" s="5" t="n">
        <v>96.14</v>
      </c>
      <c r="J354" s="7" t="n">
        <v>3</v>
      </c>
      <c r="K354" s="5" t="n">
        <v>284.73</v>
      </c>
      <c r="L354" s="8" t="n">
        <v>2.961618</v>
      </c>
      <c r="M354" s="9" t="n">
        <v>32.05</v>
      </c>
      <c r="N354" s="10" t="n">
        <v>0.04700855</v>
      </c>
      <c r="O354" s="5" t="n">
        <v>102.71</v>
      </c>
      <c r="P354" s="11" t="n">
        <v>1.226737</v>
      </c>
      <c r="Q354" s="7" t="n">
        <v>936</v>
      </c>
      <c r="R354" s="7" t="n">
        <v>44</v>
      </c>
      <c r="S354" s="7" t="n">
        <v>9</v>
      </c>
      <c r="T354" s="7" t="n">
        <v>9</v>
      </c>
      <c r="U354" s="7" t="n">
        <v>764</v>
      </c>
      <c r="V354" s="7" t="n">
        <v>93</v>
      </c>
    </row>
    <row r="355" customFormat="false" ht="15" hidden="false" customHeight="false" outlineLevel="0" collapsed="false">
      <c r="A355" s="4" t="s">
        <v>1437</v>
      </c>
      <c r="B355" s="4" t="str">
        <f aca="false">IF(AND(I355&gt;='Read Me &amp; Markers'!$B$18,J355&gt;='Read Me &amp; Markers'!$B$19,L355&gt;='Read Me &amp; Markers'!$B$20),"A. Proven winner",IF(AND(I355&gt;='Read Me &amp; Markers'!$B$18,J355&gt;='Read Me &amp; Markers'!$B$19,L355&gt;='Read Me &amp; Markers'!$B$21),"B. Strong performer",IF(AND(I355&gt;='Read Me &amp; Markers'!$B$22,L355&gt;='Read Me &amp; Markers'!$B$23),"C. Scale workhorse",IF(AND(I355&gt;='Read Me &amp; Markers'!$B$24,I355&lt;'Read Me &amp; Markers'!$B$18,J355&gt;='Read Me &amp; Markers'!$B$25,L355&gt;='Read Me &amp; Markers'!$B$26),"D. Promising (needs more spend)",""))))</f>
        <v/>
      </c>
      <c r="C355" s="4" t="s">
        <v>121</v>
      </c>
      <c r="D355" s="4" t="s">
        <v>206</v>
      </c>
      <c r="E355" s="4" t="s">
        <v>1438</v>
      </c>
      <c r="F355" s="4" t="s">
        <v>253</v>
      </c>
      <c r="G355" s="4" t="s">
        <v>208</v>
      </c>
      <c r="H355" s="4" t="s">
        <v>1439</v>
      </c>
      <c r="I355" s="5" t="n">
        <v>96.05</v>
      </c>
      <c r="J355" s="7" t="n">
        <v>0</v>
      </c>
      <c r="K355" s="5" t="n">
        <v>0</v>
      </c>
      <c r="L355" s="8" t="n">
        <v>0</v>
      </c>
      <c r="M355" s="9" t="n">
        <v>0</v>
      </c>
      <c r="N355" s="10" t="n">
        <v>0.01639344</v>
      </c>
      <c r="O355" s="5" t="n">
        <v>74.98</v>
      </c>
      <c r="P355" s="11" t="n">
        <v>1.287437</v>
      </c>
      <c r="Q355" s="7" t="n">
        <v>1281</v>
      </c>
      <c r="R355" s="7" t="n">
        <v>21</v>
      </c>
      <c r="S355" s="7" t="n">
        <v>2</v>
      </c>
      <c r="T355" s="7" t="n">
        <v>2</v>
      </c>
      <c r="U355" s="7" t="n">
        <v>1026</v>
      </c>
      <c r="V355" s="7" t="n">
        <v>48</v>
      </c>
    </row>
    <row r="356" customFormat="false" ht="15" hidden="false" customHeight="false" outlineLevel="0" collapsed="false">
      <c r="A356" s="4" t="s">
        <v>1440</v>
      </c>
      <c r="B356" s="4" t="str">
        <f aca="false">IF(AND(I356&gt;='Read Me &amp; Markers'!$B$18,J356&gt;='Read Me &amp; Markers'!$B$19,L356&gt;='Read Me &amp; Markers'!$B$20),"A. Proven winner",IF(AND(I356&gt;='Read Me &amp; Markers'!$B$18,J356&gt;='Read Me &amp; Markers'!$B$19,L356&gt;='Read Me &amp; Markers'!$B$21),"B. Strong performer",IF(AND(I356&gt;='Read Me &amp; Markers'!$B$22,L356&gt;='Read Me &amp; Markers'!$B$23),"C. Scale workhorse",IF(AND(I356&gt;='Read Me &amp; Markers'!$B$24,I356&lt;'Read Me &amp; Markers'!$B$18,J356&gt;='Read Me &amp; Markers'!$B$25,L356&gt;='Read Me &amp; Markers'!$B$26),"D. Promising (needs more spend)",""))))</f>
        <v/>
      </c>
      <c r="C356" s="4" t="s">
        <v>527</v>
      </c>
      <c r="D356" s="4" t="s">
        <v>528</v>
      </c>
      <c r="E356" s="4" t="s">
        <v>1441</v>
      </c>
      <c r="F356" s="4" t="s">
        <v>230</v>
      </c>
      <c r="G356" s="4" t="s">
        <v>530</v>
      </c>
      <c r="H356" s="4" t="s">
        <v>1442</v>
      </c>
      <c r="I356" s="5" t="n">
        <v>95.73</v>
      </c>
      <c r="J356" s="7" t="n">
        <v>0</v>
      </c>
      <c r="K356" s="5" t="n">
        <v>0</v>
      </c>
      <c r="L356" s="8" t="n">
        <v>0</v>
      </c>
      <c r="M356" s="9" t="n">
        <v>0</v>
      </c>
      <c r="N356" s="10" t="n">
        <v>0.06157355</v>
      </c>
      <c r="O356" s="5" t="n">
        <v>109.16</v>
      </c>
      <c r="P356" s="11" t="n">
        <v>1.207989</v>
      </c>
      <c r="Q356" s="7" t="n">
        <v>877</v>
      </c>
      <c r="R356" s="7" t="n">
        <v>54</v>
      </c>
      <c r="S356" s="7" t="n">
        <v>3</v>
      </c>
      <c r="T356" s="7" t="n">
        <v>0</v>
      </c>
      <c r="U356" s="7" t="n">
        <v>805</v>
      </c>
      <c r="V356" s="7" t="n">
        <v>77</v>
      </c>
    </row>
    <row r="357" customFormat="false" ht="15" hidden="false" customHeight="false" outlineLevel="0" collapsed="false">
      <c r="A357" s="4" t="s">
        <v>1443</v>
      </c>
      <c r="B357" s="4" t="str">
        <f aca="false">IF(AND(I357&gt;='Read Me &amp; Markers'!$B$18,J357&gt;='Read Me &amp; Markers'!$B$19,L357&gt;='Read Me &amp; Markers'!$B$20),"A. Proven winner",IF(AND(I357&gt;='Read Me &amp; Markers'!$B$18,J357&gt;='Read Me &amp; Markers'!$B$19,L357&gt;='Read Me &amp; Markers'!$B$21),"B. Strong performer",IF(AND(I357&gt;='Read Me &amp; Markers'!$B$22,L357&gt;='Read Me &amp; Markers'!$B$23),"C. Scale workhorse",IF(AND(I357&gt;='Read Me &amp; Markers'!$B$24,I357&lt;'Read Me &amp; Markers'!$B$18,J357&gt;='Read Me &amp; Markers'!$B$25,L357&gt;='Read Me &amp; Markers'!$B$26),"D. Promising (needs more spend)",""))))</f>
        <v/>
      </c>
      <c r="C357" s="4" t="s">
        <v>1444</v>
      </c>
      <c r="D357" s="4" t="s">
        <v>109</v>
      </c>
      <c r="E357" s="4" t="s">
        <v>1445</v>
      </c>
      <c r="F357" s="4" t="s">
        <v>87</v>
      </c>
      <c r="G357" s="4" t="s">
        <v>599</v>
      </c>
      <c r="H357" s="4" t="s">
        <v>1446</v>
      </c>
      <c r="I357" s="5" t="n">
        <v>95.63</v>
      </c>
      <c r="J357" s="7" t="n">
        <v>0</v>
      </c>
      <c r="K357" s="5" t="n">
        <v>0</v>
      </c>
      <c r="L357" s="8" t="n">
        <v>0</v>
      </c>
      <c r="M357" s="9" t="n">
        <v>0</v>
      </c>
      <c r="N357" s="10" t="n">
        <v>0.06420765</v>
      </c>
      <c r="O357" s="5" t="n">
        <v>130.64</v>
      </c>
      <c r="P357" s="11" t="n">
        <v>1.22</v>
      </c>
      <c r="Q357" s="7" t="n">
        <v>732</v>
      </c>
      <c r="R357" s="7" t="n">
        <v>47</v>
      </c>
      <c r="S357" s="7" t="n">
        <v>1</v>
      </c>
      <c r="T357" s="7" t="n">
        <v>0</v>
      </c>
      <c r="U357" s="7" t="n">
        <v>614</v>
      </c>
      <c r="V357" s="7" t="n">
        <v>129</v>
      </c>
    </row>
    <row r="358" customFormat="false" ht="15" hidden="false" customHeight="false" outlineLevel="0" collapsed="false">
      <c r="A358" s="4" t="s">
        <v>1447</v>
      </c>
      <c r="B358" s="4" t="str">
        <f aca="false">IF(AND(I358&gt;='Read Me &amp; Markers'!$B$18,J358&gt;='Read Me &amp; Markers'!$B$19,L358&gt;='Read Me &amp; Markers'!$B$20),"A. Proven winner",IF(AND(I358&gt;='Read Me &amp; Markers'!$B$18,J358&gt;='Read Me &amp; Markers'!$B$19,L358&gt;='Read Me &amp; Markers'!$B$21),"B. Strong performer",IF(AND(I358&gt;='Read Me &amp; Markers'!$B$22,L358&gt;='Read Me &amp; Markers'!$B$23),"C. Scale workhorse",IF(AND(I358&gt;='Read Me &amp; Markers'!$B$24,I358&lt;'Read Me &amp; Markers'!$B$18,J358&gt;='Read Me &amp; Markers'!$B$25,L358&gt;='Read Me &amp; Markers'!$B$26),"D. Promising (needs more spend)",""))))</f>
        <v/>
      </c>
      <c r="C358" s="4" t="s">
        <v>1448</v>
      </c>
      <c r="D358" s="4" t="s">
        <v>109</v>
      </c>
      <c r="E358" s="4" t="s">
        <v>482</v>
      </c>
      <c r="F358" s="4" t="s">
        <v>87</v>
      </c>
      <c r="G358" s="4" t="s">
        <v>483</v>
      </c>
      <c r="H358" s="4" t="s">
        <v>1449</v>
      </c>
      <c r="I358" s="5" t="n">
        <v>94.85</v>
      </c>
      <c r="J358" s="7" t="n">
        <v>1</v>
      </c>
      <c r="K358" s="5" t="n">
        <v>45.95</v>
      </c>
      <c r="L358" s="8" t="n">
        <v>0.484449</v>
      </c>
      <c r="M358" s="9" t="n">
        <v>94.85</v>
      </c>
      <c r="N358" s="10" t="n">
        <v>0.0591716</v>
      </c>
      <c r="O358" s="5" t="n">
        <v>187.08</v>
      </c>
      <c r="P358" s="11" t="n">
        <v>1.248768</v>
      </c>
      <c r="Q358" s="7" t="n">
        <v>507</v>
      </c>
      <c r="R358" s="7" t="n">
        <v>30</v>
      </c>
      <c r="S358" s="7" t="n">
        <v>0</v>
      </c>
      <c r="T358" s="7" t="n">
        <v>2</v>
      </c>
      <c r="U358" s="7" t="n">
        <v>474</v>
      </c>
      <c r="V358" s="7" t="n">
        <v>104</v>
      </c>
    </row>
    <row r="359" customFormat="false" ht="15" hidden="false" customHeight="false" outlineLevel="0" collapsed="false">
      <c r="A359" s="4" t="s">
        <v>1450</v>
      </c>
      <c r="B359" s="4" t="str">
        <f aca="false">IF(AND(I359&gt;='Read Me &amp; Markers'!$B$18,J359&gt;='Read Me &amp; Markers'!$B$19,L359&gt;='Read Me &amp; Markers'!$B$20),"A. Proven winner",IF(AND(I359&gt;='Read Me &amp; Markers'!$B$18,J359&gt;='Read Me &amp; Markers'!$B$19,L359&gt;='Read Me &amp; Markers'!$B$21),"B. Strong performer",IF(AND(I359&gt;='Read Me &amp; Markers'!$B$22,L359&gt;='Read Me &amp; Markers'!$B$23),"C. Scale workhorse",IF(AND(I359&gt;='Read Me &amp; Markers'!$B$24,I359&lt;'Read Me &amp; Markers'!$B$18,J359&gt;='Read Me &amp; Markers'!$B$25,L359&gt;='Read Me &amp; Markers'!$B$26),"D. Promising (needs more spend)",""))))</f>
        <v/>
      </c>
      <c r="C359" s="4" t="s">
        <v>169</v>
      </c>
      <c r="D359" s="4" t="s">
        <v>100</v>
      </c>
      <c r="E359" s="4" t="s">
        <v>1451</v>
      </c>
      <c r="F359" s="4" t="s">
        <v>253</v>
      </c>
      <c r="G359" s="4" t="s">
        <v>132</v>
      </c>
      <c r="H359" s="4" t="s">
        <v>1452</v>
      </c>
      <c r="I359" s="5" t="n">
        <v>94.25</v>
      </c>
      <c r="J359" s="7" t="n">
        <v>1</v>
      </c>
      <c r="K359" s="5" t="n">
        <v>45.95</v>
      </c>
      <c r="L359" s="8" t="n">
        <v>0.487533</v>
      </c>
      <c r="M359" s="9" t="n">
        <v>94.25</v>
      </c>
      <c r="N359" s="10" t="n">
        <v>0.06291391</v>
      </c>
      <c r="O359" s="5" t="n">
        <v>104.03</v>
      </c>
      <c r="P359" s="11" t="n">
        <v>1.314949</v>
      </c>
      <c r="Q359" s="7" t="n">
        <v>906</v>
      </c>
      <c r="R359" s="7" t="n">
        <v>57</v>
      </c>
      <c r="S359" s="7" t="n">
        <v>1</v>
      </c>
      <c r="T359" s="7" t="n">
        <v>1</v>
      </c>
      <c r="U359" s="7" t="n">
        <v>738</v>
      </c>
      <c r="V359" s="7" t="n">
        <v>102</v>
      </c>
    </row>
    <row r="360" customFormat="false" ht="15" hidden="false" customHeight="false" outlineLevel="0" collapsed="false">
      <c r="A360" s="4" t="s">
        <v>1453</v>
      </c>
      <c r="B360" s="4" t="str">
        <f aca="false">IF(AND(I360&gt;='Read Me &amp; Markers'!$B$18,J360&gt;='Read Me &amp; Markers'!$B$19,L360&gt;='Read Me &amp; Markers'!$B$20),"A. Proven winner",IF(AND(I360&gt;='Read Me &amp; Markers'!$B$18,J360&gt;='Read Me &amp; Markers'!$B$19,L360&gt;='Read Me &amp; Markers'!$B$21),"B. Strong performer",IF(AND(I360&gt;='Read Me &amp; Markers'!$B$22,L360&gt;='Read Me &amp; Markers'!$B$23),"C. Scale workhorse",IF(AND(I360&gt;='Read Me &amp; Markers'!$B$24,I360&lt;'Read Me &amp; Markers'!$B$18,J360&gt;='Read Me &amp; Markers'!$B$25,L360&gt;='Read Me &amp; Markers'!$B$26),"D. Promising (needs more spend)",""))))</f>
        <v/>
      </c>
      <c r="C360" s="4" t="s">
        <v>169</v>
      </c>
      <c r="D360" s="4" t="s">
        <v>100</v>
      </c>
      <c r="E360" s="4" t="s">
        <v>1454</v>
      </c>
      <c r="F360" s="4" t="s">
        <v>87</v>
      </c>
      <c r="G360" s="4" t="s">
        <v>538</v>
      </c>
      <c r="H360" s="4" t="s">
        <v>1455</v>
      </c>
      <c r="I360" s="5" t="n">
        <v>93.94</v>
      </c>
      <c r="J360" s="7" t="n">
        <v>2</v>
      </c>
      <c r="K360" s="5" t="n">
        <v>137.34</v>
      </c>
      <c r="L360" s="8" t="n">
        <v>1.461997</v>
      </c>
      <c r="M360" s="9" t="n">
        <v>46.97</v>
      </c>
      <c r="N360" s="10" t="n">
        <v>0.04897494</v>
      </c>
      <c r="O360" s="5" t="n">
        <v>106.99</v>
      </c>
      <c r="P360" s="11" t="n">
        <v>1.135834</v>
      </c>
      <c r="Q360" s="7" t="n">
        <v>878</v>
      </c>
      <c r="R360" s="7" t="n">
        <v>43</v>
      </c>
      <c r="S360" s="7" t="n">
        <v>3</v>
      </c>
      <c r="T360" s="7" t="n">
        <v>2</v>
      </c>
      <c r="U360" s="7" t="n">
        <v>785</v>
      </c>
      <c r="V360" s="7" t="n">
        <v>109</v>
      </c>
    </row>
    <row r="361" customFormat="false" ht="15" hidden="false" customHeight="false" outlineLevel="0" collapsed="false">
      <c r="A361" s="4" t="s">
        <v>1456</v>
      </c>
      <c r="B361" s="4" t="str">
        <f aca="false">IF(AND(I361&gt;='Read Me &amp; Markers'!$B$18,J361&gt;='Read Me &amp; Markers'!$B$19,L361&gt;='Read Me &amp; Markers'!$B$20),"A. Proven winner",IF(AND(I361&gt;='Read Me &amp; Markers'!$B$18,J361&gt;='Read Me &amp; Markers'!$B$19,L361&gt;='Read Me &amp; Markers'!$B$21),"B. Strong performer",IF(AND(I361&gt;='Read Me &amp; Markers'!$B$22,L361&gt;='Read Me &amp; Markers'!$B$23),"C. Scale workhorse",IF(AND(I361&gt;='Read Me &amp; Markers'!$B$24,I361&lt;'Read Me &amp; Markers'!$B$18,J361&gt;='Read Me &amp; Markers'!$B$25,L361&gt;='Read Me &amp; Markers'!$B$26),"D. Promising (needs more spend)",""))))</f>
        <v/>
      </c>
      <c r="C361" s="4" t="s">
        <v>169</v>
      </c>
      <c r="D361" s="4" t="s">
        <v>528</v>
      </c>
      <c r="E361" s="4" t="s">
        <v>1457</v>
      </c>
      <c r="F361" s="4" t="s">
        <v>87</v>
      </c>
      <c r="G361" s="4" t="s">
        <v>530</v>
      </c>
      <c r="H361" s="4" t="s">
        <v>1458</v>
      </c>
      <c r="I361" s="5" t="n">
        <v>92.81</v>
      </c>
      <c r="J361" s="7" t="n">
        <v>0</v>
      </c>
      <c r="K361" s="5" t="n">
        <v>0</v>
      </c>
      <c r="L361" s="8" t="n">
        <v>0</v>
      </c>
      <c r="M361" s="9" t="n">
        <v>0</v>
      </c>
      <c r="N361" s="10" t="n">
        <v>0.02578797</v>
      </c>
      <c r="O361" s="5" t="n">
        <v>88.64</v>
      </c>
      <c r="P361" s="11" t="n">
        <v>1.155629</v>
      </c>
      <c r="Q361" s="7" t="n">
        <v>1047</v>
      </c>
      <c r="R361" s="7" t="n">
        <v>27</v>
      </c>
      <c r="S361" s="7" t="n">
        <v>2</v>
      </c>
      <c r="T361" s="7" t="n">
        <v>0</v>
      </c>
      <c r="U361" s="7" t="n">
        <v>887</v>
      </c>
      <c r="V361" s="7" t="n">
        <v>48</v>
      </c>
    </row>
    <row r="362" customFormat="false" ht="15" hidden="false" customHeight="false" outlineLevel="0" collapsed="false">
      <c r="A362" s="4" t="s">
        <v>1459</v>
      </c>
      <c r="B362" s="4" t="str">
        <f aca="false">IF(AND(I362&gt;='Read Me &amp; Markers'!$B$18,J362&gt;='Read Me &amp; Markers'!$B$19,L362&gt;='Read Me &amp; Markers'!$B$20),"A. Proven winner",IF(AND(I362&gt;='Read Me &amp; Markers'!$B$18,J362&gt;='Read Me &amp; Markers'!$B$19,L362&gt;='Read Me &amp; Markers'!$B$21),"B. Strong performer",IF(AND(I362&gt;='Read Me &amp; Markers'!$B$22,L362&gt;='Read Me &amp; Markers'!$B$23),"C. Scale workhorse",IF(AND(I362&gt;='Read Me &amp; Markers'!$B$24,I362&lt;'Read Me &amp; Markers'!$B$18,J362&gt;='Read Me &amp; Markers'!$B$25,L362&gt;='Read Me &amp; Markers'!$B$26),"D. Promising (needs more spend)",""))))</f>
        <v/>
      </c>
      <c r="C362" s="4" t="s">
        <v>1460</v>
      </c>
      <c r="D362" s="4" t="s">
        <v>154</v>
      </c>
      <c r="E362" s="4" t="s">
        <v>1461</v>
      </c>
      <c r="F362" s="4" t="s">
        <v>87</v>
      </c>
      <c r="G362" s="4" t="s">
        <v>156</v>
      </c>
      <c r="H362" s="4" t="s">
        <v>1462</v>
      </c>
      <c r="I362" s="5" t="n">
        <v>91.92</v>
      </c>
      <c r="J362" s="7" t="n">
        <v>3</v>
      </c>
      <c r="K362" s="5" t="n">
        <v>205.49</v>
      </c>
      <c r="L362" s="8" t="n">
        <v>2.235531</v>
      </c>
      <c r="M362" s="9" t="n">
        <v>30.64</v>
      </c>
      <c r="N362" s="10" t="n">
        <v>0.06338553</v>
      </c>
      <c r="O362" s="5" t="n">
        <v>68.55</v>
      </c>
      <c r="P362" s="11" t="n">
        <v>1.36558</v>
      </c>
      <c r="Q362" s="7" t="n">
        <v>1341</v>
      </c>
      <c r="R362" s="7" t="n">
        <v>85</v>
      </c>
      <c r="S362" s="7" t="n">
        <v>5</v>
      </c>
      <c r="T362" s="7" t="n">
        <v>4</v>
      </c>
      <c r="U362" s="7" t="n">
        <v>1169</v>
      </c>
      <c r="V362" s="7" t="n">
        <v>100</v>
      </c>
    </row>
    <row r="363" customFormat="false" ht="15" hidden="false" customHeight="false" outlineLevel="0" collapsed="false">
      <c r="A363" s="4" t="s">
        <v>1463</v>
      </c>
      <c r="B363" s="4" t="str">
        <f aca="false">IF(AND(I363&gt;='Read Me &amp; Markers'!$B$18,J363&gt;='Read Me &amp; Markers'!$B$19,L363&gt;='Read Me &amp; Markers'!$B$20),"A. Proven winner",IF(AND(I363&gt;='Read Me &amp; Markers'!$B$18,J363&gt;='Read Me &amp; Markers'!$B$19,L363&gt;='Read Me &amp; Markers'!$B$21),"B. Strong performer",IF(AND(I363&gt;='Read Me &amp; Markers'!$B$22,L363&gt;='Read Me &amp; Markers'!$B$23),"C. Scale workhorse",IF(AND(I363&gt;='Read Me &amp; Markers'!$B$24,I363&lt;'Read Me &amp; Markers'!$B$18,J363&gt;='Read Me &amp; Markers'!$B$25,L363&gt;='Read Me &amp; Markers'!$B$26),"D. Promising (needs more spend)",""))))</f>
        <v/>
      </c>
      <c r="C363" s="4" t="s">
        <v>302</v>
      </c>
      <c r="D363" s="4" t="s">
        <v>369</v>
      </c>
      <c r="E363" s="4" t="s">
        <v>1464</v>
      </c>
      <c r="F363" s="4" t="s">
        <v>87</v>
      </c>
      <c r="G363" s="4" t="s">
        <v>1465</v>
      </c>
      <c r="H363" s="4" t="s">
        <v>1466</v>
      </c>
      <c r="I363" s="5" t="n">
        <v>91.74</v>
      </c>
      <c r="J363" s="7" t="n">
        <v>0</v>
      </c>
      <c r="K363" s="5" t="n">
        <v>0</v>
      </c>
      <c r="L363" s="8" t="n">
        <v>0</v>
      </c>
      <c r="M363" s="9" t="n">
        <v>0</v>
      </c>
      <c r="N363" s="10" t="n">
        <v>0.07243243</v>
      </c>
      <c r="O363" s="5" t="n">
        <v>99.18</v>
      </c>
      <c r="P363" s="11" t="n">
        <v>1.036996</v>
      </c>
      <c r="Q363" s="7" t="n">
        <v>925</v>
      </c>
      <c r="R363" s="7" t="n">
        <v>67</v>
      </c>
      <c r="S363" s="7" t="n">
        <v>6</v>
      </c>
      <c r="T363" s="7" t="n">
        <v>5</v>
      </c>
      <c r="U363" s="7" t="n">
        <v>875</v>
      </c>
      <c r="V363" s="7" t="n">
        <v>183</v>
      </c>
    </row>
    <row r="364" customFormat="false" ht="15" hidden="false" customHeight="false" outlineLevel="0" collapsed="false">
      <c r="A364" s="4" t="s">
        <v>1467</v>
      </c>
      <c r="B364" s="4" t="str">
        <f aca="false">IF(AND(I364&gt;='Read Me &amp; Markers'!$B$18,J364&gt;='Read Me &amp; Markers'!$B$19,L364&gt;='Read Me &amp; Markers'!$B$20),"A. Proven winner",IF(AND(I364&gt;='Read Me &amp; Markers'!$B$18,J364&gt;='Read Me &amp; Markers'!$B$19,L364&gt;='Read Me &amp; Markers'!$B$21),"B. Strong performer",IF(AND(I364&gt;='Read Me &amp; Markers'!$B$22,L364&gt;='Read Me &amp; Markers'!$B$23),"C. Scale workhorse",IF(AND(I364&gt;='Read Me &amp; Markers'!$B$24,I364&lt;'Read Me &amp; Markers'!$B$18,J364&gt;='Read Me &amp; Markers'!$B$25,L364&gt;='Read Me &amp; Markers'!$B$26),"D. Promising (needs more spend)",""))))</f>
        <v/>
      </c>
      <c r="C364" s="4" t="s">
        <v>121</v>
      </c>
      <c r="D364" s="4" t="s">
        <v>206</v>
      </c>
      <c r="E364" s="4" t="s">
        <v>1468</v>
      </c>
      <c r="F364" s="4" t="s">
        <v>87</v>
      </c>
      <c r="G364" s="4" t="s">
        <v>743</v>
      </c>
      <c r="H364" s="4" t="s">
        <v>1469</v>
      </c>
      <c r="I364" s="5" t="n">
        <v>91.47</v>
      </c>
      <c r="J364" s="7" t="n">
        <v>0</v>
      </c>
      <c r="K364" s="5" t="n">
        <v>0</v>
      </c>
      <c r="L364" s="8" t="n">
        <v>0</v>
      </c>
      <c r="M364" s="9" t="n">
        <v>0</v>
      </c>
      <c r="N364" s="10" t="n">
        <v>0.02915682</v>
      </c>
      <c r="O364" s="5" t="n">
        <v>72.08</v>
      </c>
      <c r="P364" s="11" t="n">
        <v>1.294898</v>
      </c>
      <c r="Q364" s="7" t="n">
        <v>1269</v>
      </c>
      <c r="R364" s="7" t="n">
        <v>37</v>
      </c>
      <c r="S364" s="7" t="n">
        <v>2</v>
      </c>
      <c r="T364" s="7" t="n">
        <v>3</v>
      </c>
      <c r="U364" s="7" t="n">
        <v>1004</v>
      </c>
      <c r="V364" s="7" t="n">
        <v>51</v>
      </c>
    </row>
    <row r="365" customFormat="false" ht="15" hidden="false" customHeight="false" outlineLevel="0" collapsed="false">
      <c r="A365" s="4" t="s">
        <v>1470</v>
      </c>
      <c r="B365" s="4" t="str">
        <f aca="false">IF(AND(I365&gt;='Read Me &amp; Markers'!$B$18,J365&gt;='Read Me &amp; Markers'!$B$19,L365&gt;='Read Me &amp; Markers'!$B$20),"A. Proven winner",IF(AND(I365&gt;='Read Me &amp; Markers'!$B$18,J365&gt;='Read Me &amp; Markers'!$B$19,L365&gt;='Read Me &amp; Markers'!$B$21),"B. Strong performer",IF(AND(I365&gt;='Read Me &amp; Markers'!$B$22,L365&gt;='Read Me &amp; Markers'!$B$23),"C. Scale workhorse",IF(AND(I365&gt;='Read Me &amp; Markers'!$B$24,I365&lt;'Read Me &amp; Markers'!$B$18,J365&gt;='Read Me &amp; Markers'!$B$25,L365&gt;='Read Me &amp; Markers'!$B$26),"D. Promising (needs more spend)",""))))</f>
        <v/>
      </c>
      <c r="C365" s="4" t="s">
        <v>1471</v>
      </c>
      <c r="D365" s="4" t="s">
        <v>109</v>
      </c>
      <c r="E365" s="4" t="s">
        <v>1472</v>
      </c>
      <c r="F365" s="4" t="s">
        <v>87</v>
      </c>
      <c r="G365" s="4" t="s">
        <v>599</v>
      </c>
      <c r="H365" s="4" t="s">
        <v>1473</v>
      </c>
      <c r="I365" s="5" t="n">
        <v>91.06</v>
      </c>
      <c r="J365" s="7" t="n">
        <v>0</v>
      </c>
      <c r="K365" s="5" t="n">
        <v>0</v>
      </c>
      <c r="L365" s="8" t="n">
        <v>0</v>
      </c>
      <c r="M365" s="9" t="n">
        <v>0</v>
      </c>
      <c r="N365" s="10" t="n">
        <v>0.04335664</v>
      </c>
      <c r="O365" s="5" t="n">
        <v>127.36</v>
      </c>
      <c r="P365" s="11" t="n">
        <v>1.155089</v>
      </c>
      <c r="Q365" s="7" t="n">
        <v>715</v>
      </c>
      <c r="R365" s="7" t="n">
        <v>31</v>
      </c>
      <c r="S365" s="7" t="n">
        <v>1</v>
      </c>
      <c r="T365" s="7" t="n">
        <v>1</v>
      </c>
      <c r="U365" s="7" t="n">
        <v>615</v>
      </c>
      <c r="V365" s="7" t="n">
        <v>104</v>
      </c>
    </row>
    <row r="366" customFormat="false" ht="15" hidden="false" customHeight="false" outlineLevel="0" collapsed="false">
      <c r="A366" s="4" t="s">
        <v>1474</v>
      </c>
      <c r="B366" s="4" t="str">
        <f aca="false">IF(AND(I366&gt;='Read Me &amp; Markers'!$B$18,J366&gt;='Read Me &amp; Markers'!$B$19,L366&gt;='Read Me &amp; Markers'!$B$20),"A. Proven winner",IF(AND(I366&gt;='Read Me &amp; Markers'!$B$18,J366&gt;='Read Me &amp; Markers'!$B$19,L366&gt;='Read Me &amp; Markers'!$B$21),"B. Strong performer",IF(AND(I366&gt;='Read Me &amp; Markers'!$B$22,L366&gt;='Read Me &amp; Markers'!$B$23),"C. Scale workhorse",IF(AND(I366&gt;='Read Me &amp; Markers'!$B$24,I366&lt;'Read Me &amp; Markers'!$B$18,J366&gt;='Read Me &amp; Markers'!$B$25,L366&gt;='Read Me &amp; Markers'!$B$26),"D. Promising (needs more spend)",""))))</f>
        <v/>
      </c>
      <c r="C366" s="4" t="s">
        <v>645</v>
      </c>
      <c r="D366" s="4" t="s">
        <v>369</v>
      </c>
      <c r="E366" s="4" t="s">
        <v>1475</v>
      </c>
      <c r="F366" s="4" t="s">
        <v>87</v>
      </c>
      <c r="G366" s="4" t="s">
        <v>371</v>
      </c>
      <c r="H366" s="4" t="s">
        <v>1476</v>
      </c>
      <c r="I366" s="5" t="n">
        <v>89.95</v>
      </c>
      <c r="J366" s="7" t="n">
        <v>2</v>
      </c>
      <c r="K366" s="5" t="n">
        <v>81.92</v>
      </c>
      <c r="L366" s="8" t="n">
        <v>0.910728</v>
      </c>
      <c r="M366" s="9" t="n">
        <v>44.98</v>
      </c>
      <c r="N366" s="10" t="n">
        <v>0.03534778</v>
      </c>
      <c r="O366" s="5" t="n">
        <v>51.28</v>
      </c>
      <c r="P366" s="11" t="n">
        <v>1.171677</v>
      </c>
      <c r="Q366" s="7" t="n">
        <v>1754</v>
      </c>
      <c r="R366" s="7" t="n">
        <v>62</v>
      </c>
      <c r="S366" s="7" t="n">
        <v>8</v>
      </c>
      <c r="T366" s="7" t="n">
        <v>4</v>
      </c>
      <c r="U366" s="7" t="n">
        <v>1497</v>
      </c>
      <c r="V366" s="7" t="n">
        <v>137</v>
      </c>
    </row>
    <row r="367" customFormat="false" ht="15" hidden="false" customHeight="false" outlineLevel="0" collapsed="false">
      <c r="A367" s="4" t="s">
        <v>1477</v>
      </c>
      <c r="B367" s="4" t="str">
        <f aca="false">IF(AND(I367&gt;='Read Me &amp; Markers'!$B$18,J367&gt;='Read Me &amp; Markers'!$B$19,L367&gt;='Read Me &amp; Markers'!$B$20),"A. Proven winner",IF(AND(I367&gt;='Read Me &amp; Markers'!$B$18,J367&gt;='Read Me &amp; Markers'!$B$19,L367&gt;='Read Me &amp; Markers'!$B$21),"B. Strong performer",IF(AND(I367&gt;='Read Me &amp; Markers'!$B$22,L367&gt;='Read Me &amp; Markers'!$B$23),"C. Scale workhorse",IF(AND(I367&gt;='Read Me &amp; Markers'!$B$24,I367&lt;'Read Me &amp; Markers'!$B$18,J367&gt;='Read Me &amp; Markers'!$B$25,L367&gt;='Read Me &amp; Markers'!$B$26),"D. Promising (needs more spend)",""))))</f>
        <v/>
      </c>
      <c r="C367" s="4" t="s">
        <v>1478</v>
      </c>
      <c r="D367" s="4" t="s">
        <v>528</v>
      </c>
      <c r="E367" s="4" t="s">
        <v>724</v>
      </c>
      <c r="F367" s="4" t="s">
        <v>230</v>
      </c>
      <c r="G367" s="4" t="s">
        <v>378</v>
      </c>
      <c r="H367" s="4" t="s">
        <v>1479</v>
      </c>
      <c r="I367" s="5" t="n">
        <v>88.96</v>
      </c>
      <c r="J367" s="7" t="n">
        <v>0</v>
      </c>
      <c r="K367" s="5" t="n">
        <v>0</v>
      </c>
      <c r="L367" s="8" t="n">
        <v>0</v>
      </c>
      <c r="M367" s="9" t="n">
        <v>0</v>
      </c>
      <c r="N367" s="10" t="n">
        <v>0.08844765</v>
      </c>
      <c r="O367" s="5" t="n">
        <v>160.58</v>
      </c>
      <c r="P367" s="11" t="n">
        <v>1.053232</v>
      </c>
      <c r="Q367" s="7" t="n">
        <v>554</v>
      </c>
      <c r="R367" s="7" t="n">
        <v>49</v>
      </c>
      <c r="S367" s="7" t="n">
        <v>3</v>
      </c>
      <c r="T367" s="7" t="n">
        <v>0</v>
      </c>
      <c r="U367" s="7" t="n">
        <v>524</v>
      </c>
      <c r="V367" s="7" t="n">
        <v>72</v>
      </c>
    </row>
    <row r="368" customFormat="false" ht="15" hidden="false" customHeight="false" outlineLevel="0" collapsed="false">
      <c r="A368" s="4" t="s">
        <v>1480</v>
      </c>
      <c r="B368" s="4" t="str">
        <f aca="false">IF(AND(I368&gt;='Read Me &amp; Markers'!$B$18,J368&gt;='Read Me &amp; Markers'!$B$19,L368&gt;='Read Me &amp; Markers'!$B$20),"A. Proven winner",IF(AND(I368&gt;='Read Me &amp; Markers'!$B$18,J368&gt;='Read Me &amp; Markers'!$B$19,L368&gt;='Read Me &amp; Markers'!$B$21),"B. Strong performer",IF(AND(I368&gt;='Read Me &amp; Markers'!$B$22,L368&gt;='Read Me &amp; Markers'!$B$23),"C. Scale workhorse",IF(AND(I368&gt;='Read Me &amp; Markers'!$B$24,I368&lt;'Read Me &amp; Markers'!$B$18,J368&gt;='Read Me &amp; Markers'!$B$25,L368&gt;='Read Me &amp; Markers'!$B$26),"D. Promising (needs more spend)",""))))</f>
        <v/>
      </c>
      <c r="C368" s="4" t="s">
        <v>121</v>
      </c>
      <c r="D368" s="4" t="s">
        <v>206</v>
      </c>
      <c r="E368" s="4" t="s">
        <v>1481</v>
      </c>
      <c r="F368" s="4" t="s">
        <v>87</v>
      </c>
      <c r="G368" s="4" t="s">
        <v>743</v>
      </c>
      <c r="H368" s="4" t="s">
        <v>1482</v>
      </c>
      <c r="I368" s="5" t="n">
        <v>87.52</v>
      </c>
      <c r="J368" s="7" t="n">
        <v>0</v>
      </c>
      <c r="K368" s="5" t="n">
        <v>0</v>
      </c>
      <c r="L368" s="8" t="n">
        <v>0</v>
      </c>
      <c r="M368" s="9" t="n">
        <v>0</v>
      </c>
      <c r="N368" s="10" t="n">
        <v>0.03304904</v>
      </c>
      <c r="O368" s="5" t="n">
        <v>93.3</v>
      </c>
      <c r="P368" s="11" t="n">
        <v>1.185841</v>
      </c>
      <c r="Q368" s="7" t="n">
        <v>938</v>
      </c>
      <c r="R368" s="7" t="n">
        <v>31</v>
      </c>
      <c r="S368" s="7" t="n">
        <v>2</v>
      </c>
      <c r="T368" s="7" t="n">
        <v>1</v>
      </c>
      <c r="U368" s="7" t="n">
        <v>776</v>
      </c>
      <c r="V368" s="7" t="n">
        <v>117</v>
      </c>
    </row>
    <row r="369" customFormat="false" ht="15" hidden="false" customHeight="false" outlineLevel="0" collapsed="false">
      <c r="A369" s="4" t="s">
        <v>1483</v>
      </c>
      <c r="B369" s="4" t="str">
        <f aca="false">IF(AND(I369&gt;='Read Me &amp; Markers'!$B$18,J369&gt;='Read Me &amp; Markers'!$B$19,L369&gt;='Read Me &amp; Markers'!$B$20),"A. Proven winner",IF(AND(I369&gt;='Read Me &amp; Markers'!$B$18,J369&gt;='Read Me &amp; Markers'!$B$19,L369&gt;='Read Me &amp; Markers'!$B$21),"B. Strong performer",IF(AND(I369&gt;='Read Me &amp; Markers'!$B$22,L369&gt;='Read Me &amp; Markers'!$B$23),"C. Scale workhorse",IF(AND(I369&gt;='Read Me &amp; Markers'!$B$24,I369&lt;'Read Me &amp; Markers'!$B$18,J369&gt;='Read Me &amp; Markers'!$B$25,L369&gt;='Read Me &amp; Markers'!$B$26),"D. Promising (needs more spend)",""))))</f>
        <v/>
      </c>
      <c r="C369" s="4" t="s">
        <v>169</v>
      </c>
      <c r="D369" s="4" t="s">
        <v>100</v>
      </c>
      <c r="E369" s="4" t="s">
        <v>478</v>
      </c>
      <c r="F369" s="4" t="s">
        <v>87</v>
      </c>
      <c r="G369" s="4" t="s">
        <v>124</v>
      </c>
      <c r="H369" s="4" t="s">
        <v>1484</v>
      </c>
      <c r="I369" s="5" t="n">
        <v>87.41</v>
      </c>
      <c r="J369" s="7" t="n">
        <v>0</v>
      </c>
      <c r="K369" s="5" t="n">
        <v>0</v>
      </c>
      <c r="L369" s="8" t="n">
        <v>0</v>
      </c>
      <c r="M369" s="9" t="n">
        <v>0</v>
      </c>
      <c r="N369" s="10" t="n">
        <v>0.06040268</v>
      </c>
      <c r="O369" s="5" t="n">
        <v>146.66</v>
      </c>
      <c r="P369" s="11" t="n">
        <v>1.025818</v>
      </c>
      <c r="Q369" s="7" t="n">
        <v>596</v>
      </c>
      <c r="R369" s="7" t="n">
        <v>36</v>
      </c>
      <c r="S369" s="7" t="n">
        <v>0</v>
      </c>
      <c r="T369" s="7" t="n">
        <v>1</v>
      </c>
      <c r="U369" s="7" t="n">
        <v>567</v>
      </c>
      <c r="V369" s="7" t="n">
        <v>204</v>
      </c>
    </row>
    <row r="370" customFormat="false" ht="15" hidden="false" customHeight="false" outlineLevel="0" collapsed="false">
      <c r="A370" s="4" t="s">
        <v>1485</v>
      </c>
      <c r="B370" s="4" t="str">
        <f aca="false">IF(AND(I370&gt;='Read Me &amp; Markers'!$B$18,J370&gt;='Read Me &amp; Markers'!$B$19,L370&gt;='Read Me &amp; Markers'!$B$20),"A. Proven winner",IF(AND(I370&gt;='Read Me &amp; Markers'!$B$18,J370&gt;='Read Me &amp; Markers'!$B$19,L370&gt;='Read Me &amp; Markers'!$B$21),"B. Strong performer",IF(AND(I370&gt;='Read Me &amp; Markers'!$B$22,L370&gt;='Read Me &amp; Markers'!$B$23),"C. Scale workhorse",IF(AND(I370&gt;='Read Me &amp; Markers'!$B$24,I370&lt;'Read Me &amp; Markers'!$B$18,J370&gt;='Read Me &amp; Markers'!$B$25,L370&gt;='Read Me &amp; Markers'!$B$26),"D. Promising (needs more spend)",""))))</f>
        <v/>
      </c>
      <c r="C370" s="4" t="s">
        <v>129</v>
      </c>
      <c r="D370" s="4" t="s">
        <v>100</v>
      </c>
      <c r="E370" s="4" t="s">
        <v>1486</v>
      </c>
      <c r="F370" s="4" t="s">
        <v>87</v>
      </c>
      <c r="G370" s="4" t="s">
        <v>132</v>
      </c>
      <c r="H370" s="4" t="s">
        <v>1487</v>
      </c>
      <c r="I370" s="5" t="n">
        <v>86.07</v>
      </c>
      <c r="J370" s="7" t="n">
        <v>0</v>
      </c>
      <c r="K370" s="5" t="n">
        <v>0</v>
      </c>
      <c r="L370" s="8" t="n">
        <v>0</v>
      </c>
      <c r="M370" s="9" t="n">
        <v>0</v>
      </c>
      <c r="N370" s="10" t="n">
        <v>0.0547588</v>
      </c>
      <c r="O370" s="5" t="n">
        <v>112.22</v>
      </c>
      <c r="P370" s="11" t="n">
        <v>1.15861</v>
      </c>
      <c r="Q370" s="7" t="n">
        <v>767</v>
      </c>
      <c r="R370" s="7" t="n">
        <v>42</v>
      </c>
      <c r="S370" s="7" t="n">
        <v>5</v>
      </c>
      <c r="T370" s="7" t="n">
        <v>2</v>
      </c>
      <c r="U370" s="7" t="n">
        <v>617</v>
      </c>
      <c r="V370" s="7" t="n">
        <v>86</v>
      </c>
    </row>
    <row r="371" customFormat="false" ht="15" hidden="false" customHeight="false" outlineLevel="0" collapsed="false">
      <c r="A371" s="4" t="s">
        <v>1488</v>
      </c>
      <c r="B371" s="4" t="str">
        <f aca="false">IF(AND(I371&gt;='Read Me &amp; Markers'!$B$18,J371&gt;='Read Me &amp; Markers'!$B$19,L371&gt;='Read Me &amp; Markers'!$B$20),"A. Proven winner",IF(AND(I371&gt;='Read Me &amp; Markers'!$B$18,J371&gt;='Read Me &amp; Markers'!$B$19,L371&gt;='Read Me &amp; Markers'!$B$21),"B. Strong performer",IF(AND(I371&gt;='Read Me &amp; Markers'!$B$22,L371&gt;='Read Me &amp; Markers'!$B$23),"C. Scale workhorse",IF(AND(I371&gt;='Read Me &amp; Markers'!$B$24,I371&lt;'Read Me &amp; Markers'!$B$18,J371&gt;='Read Me &amp; Markers'!$B$25,L371&gt;='Read Me &amp; Markers'!$B$26),"D. Promising (needs more spend)",""))))</f>
        <v/>
      </c>
      <c r="C371" s="4" t="s">
        <v>169</v>
      </c>
      <c r="D371" s="4" t="s">
        <v>154</v>
      </c>
      <c r="E371" s="4" t="s">
        <v>1489</v>
      </c>
      <c r="F371" s="4" t="s">
        <v>87</v>
      </c>
      <c r="G371" s="4" t="s">
        <v>1085</v>
      </c>
      <c r="H371" s="4" t="s">
        <v>1490</v>
      </c>
      <c r="I371" s="5" t="n">
        <v>85.7</v>
      </c>
      <c r="J371" s="7" t="n">
        <v>1</v>
      </c>
      <c r="K371" s="5" t="n">
        <v>37.76</v>
      </c>
      <c r="L371" s="8" t="n">
        <v>0.440607</v>
      </c>
      <c r="M371" s="9" t="n">
        <v>85.7</v>
      </c>
      <c r="N371" s="10" t="n">
        <v>0.03793103</v>
      </c>
      <c r="O371" s="5" t="n">
        <v>98.51</v>
      </c>
      <c r="P371" s="11" t="n">
        <v>1.22708</v>
      </c>
      <c r="Q371" s="7" t="n">
        <v>870</v>
      </c>
      <c r="R371" s="7" t="n">
        <v>33</v>
      </c>
      <c r="S371" s="7" t="n">
        <v>2</v>
      </c>
      <c r="T371" s="7" t="n">
        <v>1</v>
      </c>
      <c r="U371" s="7" t="n">
        <v>807</v>
      </c>
      <c r="V371" s="7" t="n">
        <v>76</v>
      </c>
    </row>
    <row r="372" customFormat="false" ht="15" hidden="false" customHeight="false" outlineLevel="0" collapsed="false">
      <c r="A372" s="4" t="s">
        <v>1491</v>
      </c>
      <c r="B372" s="4" t="str">
        <f aca="false">IF(AND(I372&gt;='Read Me &amp; Markers'!$B$18,J372&gt;='Read Me &amp; Markers'!$B$19,L372&gt;='Read Me &amp; Markers'!$B$20),"A. Proven winner",IF(AND(I372&gt;='Read Me &amp; Markers'!$B$18,J372&gt;='Read Me &amp; Markers'!$B$19,L372&gt;='Read Me &amp; Markers'!$B$21),"B. Strong performer",IF(AND(I372&gt;='Read Me &amp; Markers'!$B$22,L372&gt;='Read Me &amp; Markers'!$B$23),"C. Scale workhorse",IF(AND(I372&gt;='Read Me &amp; Markers'!$B$24,I372&lt;'Read Me &amp; Markers'!$B$18,J372&gt;='Read Me &amp; Markers'!$B$25,L372&gt;='Read Me &amp; Markers'!$B$26),"D. Promising (needs more spend)",""))))</f>
        <v/>
      </c>
      <c r="C372" s="4" t="s">
        <v>129</v>
      </c>
      <c r="D372" s="4" t="s">
        <v>528</v>
      </c>
      <c r="E372" s="4" t="s">
        <v>1492</v>
      </c>
      <c r="F372" s="4" t="s">
        <v>230</v>
      </c>
      <c r="G372" s="4" t="s">
        <v>530</v>
      </c>
      <c r="H372" s="4" t="s">
        <v>1493</v>
      </c>
      <c r="I372" s="5" t="n">
        <v>85.4</v>
      </c>
      <c r="J372" s="7" t="n">
        <v>1</v>
      </c>
      <c r="K372" s="5" t="n">
        <v>39.98</v>
      </c>
      <c r="L372" s="8" t="n">
        <v>0.46815</v>
      </c>
      <c r="M372" s="9" t="n">
        <v>85.4</v>
      </c>
      <c r="N372" s="10" t="n">
        <v>0.05870841</v>
      </c>
      <c r="O372" s="5" t="n">
        <v>167.12</v>
      </c>
      <c r="P372" s="11" t="n">
        <v>1.120614</v>
      </c>
      <c r="Q372" s="7" t="n">
        <v>511</v>
      </c>
      <c r="R372" s="7" t="n">
        <v>30</v>
      </c>
      <c r="S372" s="7" t="n">
        <v>3</v>
      </c>
      <c r="T372" s="7" t="n">
        <v>2</v>
      </c>
      <c r="U372" s="7" t="n">
        <v>495</v>
      </c>
      <c r="V372" s="7" t="n">
        <v>115</v>
      </c>
    </row>
    <row r="373" customFormat="false" ht="15" hidden="false" customHeight="false" outlineLevel="0" collapsed="false">
      <c r="A373" s="4" t="s">
        <v>1494</v>
      </c>
      <c r="B373" s="4" t="str">
        <f aca="false">IF(AND(I373&gt;='Read Me &amp; Markers'!$B$18,J373&gt;='Read Me &amp; Markers'!$B$19,L373&gt;='Read Me &amp; Markers'!$B$20),"A. Proven winner",IF(AND(I373&gt;='Read Me &amp; Markers'!$B$18,J373&gt;='Read Me &amp; Markers'!$B$19,L373&gt;='Read Me &amp; Markers'!$B$21),"B. Strong performer",IF(AND(I373&gt;='Read Me &amp; Markers'!$B$22,L373&gt;='Read Me &amp; Markers'!$B$23),"C. Scale workhorse",IF(AND(I373&gt;='Read Me &amp; Markers'!$B$24,I373&lt;'Read Me &amp; Markers'!$B$18,J373&gt;='Read Me &amp; Markers'!$B$25,L373&gt;='Read Me &amp; Markers'!$B$26),"D. Promising (needs more spend)",""))))</f>
        <v/>
      </c>
      <c r="C373" s="4" t="s">
        <v>121</v>
      </c>
      <c r="D373" s="4" t="s">
        <v>100</v>
      </c>
      <c r="E373" s="4" t="s">
        <v>1495</v>
      </c>
      <c r="F373" s="4" t="s">
        <v>87</v>
      </c>
      <c r="G373" s="4" t="s">
        <v>88</v>
      </c>
      <c r="H373" s="4" t="s">
        <v>1496</v>
      </c>
      <c r="I373" s="5" t="n">
        <v>85.38</v>
      </c>
      <c r="J373" s="7" t="n">
        <v>1</v>
      </c>
      <c r="K373" s="5" t="n">
        <v>39.98</v>
      </c>
      <c r="L373" s="8" t="n">
        <v>0.46826</v>
      </c>
      <c r="M373" s="9" t="n">
        <v>85.38</v>
      </c>
      <c r="N373" s="10" t="n">
        <v>0.03338279</v>
      </c>
      <c r="O373" s="5" t="n">
        <v>63.34</v>
      </c>
      <c r="P373" s="11" t="n">
        <v>1.320274</v>
      </c>
      <c r="Q373" s="7" t="n">
        <v>1348</v>
      </c>
      <c r="R373" s="7" t="n">
        <v>45</v>
      </c>
      <c r="S373" s="7" t="n">
        <v>2</v>
      </c>
      <c r="T373" s="7" t="n">
        <v>5</v>
      </c>
      <c r="U373" s="7" t="n">
        <v>1193</v>
      </c>
      <c r="V373" s="7" t="n">
        <v>62</v>
      </c>
    </row>
    <row r="374" customFormat="false" ht="15" hidden="false" customHeight="false" outlineLevel="0" collapsed="false">
      <c r="A374" s="4" t="s">
        <v>1497</v>
      </c>
      <c r="B374" s="4" t="str">
        <f aca="false">IF(AND(I374&gt;='Read Me &amp; Markers'!$B$18,J374&gt;='Read Me &amp; Markers'!$B$19,L374&gt;='Read Me &amp; Markers'!$B$20),"A. Proven winner",IF(AND(I374&gt;='Read Me &amp; Markers'!$B$18,J374&gt;='Read Me &amp; Markers'!$B$19,L374&gt;='Read Me &amp; Markers'!$B$21),"B. Strong performer",IF(AND(I374&gt;='Read Me &amp; Markers'!$B$22,L374&gt;='Read Me &amp; Markers'!$B$23),"C. Scale workhorse",IF(AND(I374&gt;='Read Me &amp; Markers'!$B$24,I374&lt;'Read Me &amp; Markers'!$B$18,J374&gt;='Read Me &amp; Markers'!$B$25,L374&gt;='Read Me &amp; Markers'!$B$26),"D. Promising (needs more spend)",""))))</f>
        <v/>
      </c>
      <c r="C374" s="4" t="s">
        <v>169</v>
      </c>
      <c r="D374" s="4" t="s">
        <v>100</v>
      </c>
      <c r="E374" s="4" t="s">
        <v>1177</v>
      </c>
      <c r="F374" s="4" t="s">
        <v>87</v>
      </c>
      <c r="G374" s="4" t="s">
        <v>342</v>
      </c>
      <c r="H374" s="4" t="s">
        <v>1498</v>
      </c>
      <c r="I374" s="5" t="n">
        <v>85.2</v>
      </c>
      <c r="J374" s="7" t="n">
        <v>0</v>
      </c>
      <c r="K374" s="5" t="n">
        <v>0</v>
      </c>
      <c r="L374" s="8" t="n">
        <v>0</v>
      </c>
      <c r="M374" s="9" t="n">
        <v>0</v>
      </c>
      <c r="N374" s="10" t="n">
        <v>0.05223881</v>
      </c>
      <c r="O374" s="5" t="n">
        <v>127.16</v>
      </c>
      <c r="P374" s="11" t="n">
        <v>1.012085</v>
      </c>
      <c r="Q374" s="7" t="n">
        <v>670</v>
      </c>
      <c r="R374" s="7" t="n">
        <v>35</v>
      </c>
      <c r="S374" s="7" t="n">
        <v>1</v>
      </c>
      <c r="T374" s="7" t="n">
        <v>1</v>
      </c>
      <c r="U374" s="7" t="n">
        <v>611</v>
      </c>
      <c r="V374" s="7" t="n">
        <v>119</v>
      </c>
    </row>
    <row r="375" customFormat="false" ht="15" hidden="false" customHeight="false" outlineLevel="0" collapsed="false">
      <c r="A375" s="4" t="s">
        <v>1499</v>
      </c>
      <c r="B375" s="4" t="str">
        <f aca="false">IF(AND(I375&gt;='Read Me &amp; Markers'!$B$18,J375&gt;='Read Me &amp; Markers'!$B$19,L375&gt;='Read Me &amp; Markers'!$B$20),"A. Proven winner",IF(AND(I375&gt;='Read Me &amp; Markers'!$B$18,J375&gt;='Read Me &amp; Markers'!$B$19,L375&gt;='Read Me &amp; Markers'!$B$21),"B. Strong performer",IF(AND(I375&gt;='Read Me &amp; Markers'!$B$22,L375&gt;='Read Me &amp; Markers'!$B$23),"C. Scale workhorse",IF(AND(I375&gt;='Read Me &amp; Markers'!$B$24,I375&lt;'Read Me &amp; Markers'!$B$18,J375&gt;='Read Me &amp; Markers'!$B$25,L375&gt;='Read Me &amp; Markers'!$B$26),"D. Promising (needs more spend)",""))))</f>
        <v/>
      </c>
      <c r="C375" s="4" t="s">
        <v>1500</v>
      </c>
      <c r="D375" s="4" t="s">
        <v>109</v>
      </c>
      <c r="E375" s="4" t="s">
        <v>1501</v>
      </c>
      <c r="F375" s="4" t="s">
        <v>111</v>
      </c>
      <c r="G375" s="4" t="s">
        <v>1502</v>
      </c>
      <c r="H375" s="4" t="s">
        <v>1503</v>
      </c>
      <c r="I375" s="5" t="n">
        <v>84.24</v>
      </c>
      <c r="J375" s="7" t="n">
        <v>0</v>
      </c>
      <c r="K375" s="5" t="n">
        <v>0</v>
      </c>
      <c r="L375" s="8" t="n">
        <v>0</v>
      </c>
      <c r="M375" s="9" t="n">
        <v>0</v>
      </c>
      <c r="N375" s="10" t="n">
        <v>0.02648172</v>
      </c>
      <c r="O375" s="5" t="n">
        <v>106.23</v>
      </c>
      <c r="P375" s="11" t="n">
        <v>1.071622</v>
      </c>
      <c r="Q375" s="7" t="n">
        <v>793</v>
      </c>
      <c r="R375" s="7" t="n">
        <v>21</v>
      </c>
      <c r="S375" s="7" t="n">
        <v>0</v>
      </c>
      <c r="T375" s="7" t="n">
        <v>0</v>
      </c>
      <c r="U375" s="7" t="n">
        <v>769</v>
      </c>
      <c r="V375" s="7" t="n">
        <v>160</v>
      </c>
    </row>
    <row r="376" customFormat="false" ht="15" hidden="false" customHeight="false" outlineLevel="0" collapsed="false">
      <c r="A376" s="4" t="s">
        <v>1504</v>
      </c>
      <c r="B376" s="4" t="str">
        <f aca="false">IF(AND(I376&gt;='Read Me &amp; Markers'!$B$18,J376&gt;='Read Me &amp; Markers'!$B$19,L376&gt;='Read Me &amp; Markers'!$B$20),"A. Proven winner",IF(AND(I376&gt;='Read Me &amp; Markers'!$B$18,J376&gt;='Read Me &amp; Markers'!$B$19,L376&gt;='Read Me &amp; Markers'!$B$21),"B. Strong performer",IF(AND(I376&gt;='Read Me &amp; Markers'!$B$22,L376&gt;='Read Me &amp; Markers'!$B$23),"C. Scale workhorse",IF(AND(I376&gt;='Read Me &amp; Markers'!$B$24,I376&lt;'Read Me &amp; Markers'!$B$18,J376&gt;='Read Me &amp; Markers'!$B$25,L376&gt;='Read Me &amp; Markers'!$B$26),"D. Promising (needs more spend)",""))))</f>
        <v/>
      </c>
      <c r="C376" s="4" t="s">
        <v>169</v>
      </c>
      <c r="D376" s="4" t="s">
        <v>100</v>
      </c>
      <c r="E376" s="4" t="s">
        <v>1505</v>
      </c>
      <c r="F376" s="4" t="s">
        <v>172</v>
      </c>
      <c r="G376" s="4" t="s">
        <v>623</v>
      </c>
      <c r="H376" s="4" t="s">
        <v>1506</v>
      </c>
      <c r="I376" s="5" t="n">
        <v>82.8</v>
      </c>
      <c r="J376" s="7" t="n">
        <v>1</v>
      </c>
      <c r="K376" s="5" t="n">
        <v>48.36</v>
      </c>
      <c r="L376" s="8" t="n">
        <v>0.584058</v>
      </c>
      <c r="M376" s="9" t="n">
        <v>82.8</v>
      </c>
      <c r="N376" s="10" t="n">
        <v>0.08952703</v>
      </c>
      <c r="O376" s="5" t="n">
        <v>139.86</v>
      </c>
      <c r="P376" s="11" t="n">
        <v>1.142857</v>
      </c>
      <c r="Q376" s="7" t="n">
        <v>592</v>
      </c>
      <c r="R376" s="7" t="n">
        <v>53</v>
      </c>
      <c r="S376" s="7" t="n">
        <v>2</v>
      </c>
      <c r="T376" s="7" t="n">
        <v>2</v>
      </c>
      <c r="U376" s="7" t="n">
        <v>532</v>
      </c>
      <c r="V376" s="7" t="n">
        <v>77</v>
      </c>
    </row>
    <row r="377" customFormat="false" ht="15" hidden="false" customHeight="false" outlineLevel="0" collapsed="false">
      <c r="A377" s="4" t="s">
        <v>1507</v>
      </c>
      <c r="B377" s="4" t="str">
        <f aca="false">IF(AND(I377&gt;='Read Me &amp; Markers'!$B$18,J377&gt;='Read Me &amp; Markers'!$B$19,L377&gt;='Read Me &amp; Markers'!$B$20),"A. Proven winner",IF(AND(I377&gt;='Read Me &amp; Markers'!$B$18,J377&gt;='Read Me &amp; Markers'!$B$19,L377&gt;='Read Me &amp; Markers'!$B$21),"B. Strong performer",IF(AND(I377&gt;='Read Me &amp; Markers'!$B$22,L377&gt;='Read Me &amp; Markers'!$B$23),"C. Scale workhorse",IF(AND(I377&gt;='Read Me &amp; Markers'!$B$24,I377&lt;'Read Me &amp; Markers'!$B$18,J377&gt;='Read Me &amp; Markers'!$B$25,L377&gt;='Read Me &amp; Markers'!$B$26),"D. Promising (needs more spend)",""))))</f>
        <v/>
      </c>
      <c r="C377" s="4" t="s">
        <v>169</v>
      </c>
      <c r="D377" s="4" t="s">
        <v>154</v>
      </c>
      <c r="E377" s="4" t="s">
        <v>524</v>
      </c>
      <c r="F377" s="4" t="s">
        <v>87</v>
      </c>
      <c r="G377" s="4" t="s">
        <v>88</v>
      </c>
      <c r="H377" s="4" t="s">
        <v>1508</v>
      </c>
      <c r="I377" s="5" t="n">
        <v>81.33</v>
      </c>
      <c r="J377" s="7" t="n">
        <v>3</v>
      </c>
      <c r="K377" s="5" t="n">
        <v>194.3</v>
      </c>
      <c r="L377" s="8" t="n">
        <v>2.389032</v>
      </c>
      <c r="M377" s="9" t="n">
        <v>27.11</v>
      </c>
      <c r="N377" s="10" t="n">
        <v>0.03808982</v>
      </c>
      <c r="O377" s="5" t="n">
        <v>46.24</v>
      </c>
      <c r="P377" s="11" t="n">
        <v>1.178165</v>
      </c>
      <c r="Q377" s="7" t="n">
        <v>1759</v>
      </c>
      <c r="R377" s="7" t="n">
        <v>67</v>
      </c>
      <c r="S377" s="7" t="n">
        <v>4</v>
      </c>
      <c r="T377" s="7" t="n">
        <v>3</v>
      </c>
      <c r="U377" s="7" t="n">
        <v>1262</v>
      </c>
      <c r="V377" s="7" t="n">
        <v>113</v>
      </c>
    </row>
    <row r="378" customFormat="false" ht="15" hidden="false" customHeight="false" outlineLevel="0" collapsed="false">
      <c r="A378" s="4" t="s">
        <v>1509</v>
      </c>
      <c r="B378" s="4" t="str">
        <f aca="false">IF(AND(I378&gt;='Read Me &amp; Markers'!$B$18,J378&gt;='Read Me &amp; Markers'!$B$19,L378&gt;='Read Me &amp; Markers'!$B$20),"A. Proven winner",IF(AND(I378&gt;='Read Me &amp; Markers'!$B$18,J378&gt;='Read Me &amp; Markers'!$B$19,L378&gt;='Read Me &amp; Markers'!$B$21),"B. Strong performer",IF(AND(I378&gt;='Read Me &amp; Markers'!$B$22,L378&gt;='Read Me &amp; Markers'!$B$23),"C. Scale workhorse",IF(AND(I378&gt;='Read Me &amp; Markers'!$B$24,I378&lt;'Read Me &amp; Markers'!$B$18,J378&gt;='Read Me &amp; Markers'!$B$25,L378&gt;='Read Me &amp; Markers'!$B$26),"D. Promising (needs more spend)",""))))</f>
        <v/>
      </c>
      <c r="C378" s="4" t="s">
        <v>1510</v>
      </c>
      <c r="D378" s="4" t="s">
        <v>100</v>
      </c>
      <c r="E378" s="4" t="s">
        <v>1511</v>
      </c>
      <c r="F378" s="4" t="s">
        <v>87</v>
      </c>
      <c r="G378" s="4" t="s">
        <v>348</v>
      </c>
      <c r="H378" s="4" t="s">
        <v>1512</v>
      </c>
      <c r="I378" s="5" t="n">
        <v>80.27</v>
      </c>
      <c r="J378" s="7" t="n">
        <v>0</v>
      </c>
      <c r="K378" s="5" t="n">
        <v>0</v>
      </c>
      <c r="L378" s="8" t="n">
        <v>0</v>
      </c>
      <c r="M378" s="9" t="n">
        <v>0</v>
      </c>
      <c r="N378" s="10" t="n">
        <v>0.03937008</v>
      </c>
      <c r="O378" s="5" t="n">
        <v>126.41</v>
      </c>
      <c r="P378" s="11" t="n">
        <v>1.150362</v>
      </c>
      <c r="Q378" s="7" t="n">
        <v>635</v>
      </c>
      <c r="R378" s="7" t="n">
        <v>25</v>
      </c>
      <c r="S378" s="7" t="n">
        <v>1</v>
      </c>
      <c r="T378" s="7" t="n">
        <v>9</v>
      </c>
      <c r="U378" s="7" t="n">
        <v>597</v>
      </c>
      <c r="V378" s="7" t="n">
        <v>74</v>
      </c>
    </row>
    <row r="379" customFormat="false" ht="15" hidden="false" customHeight="false" outlineLevel="0" collapsed="false">
      <c r="A379" s="4" t="s">
        <v>1513</v>
      </c>
      <c r="B379" s="4" t="str">
        <f aca="false">IF(AND(I379&gt;='Read Me &amp; Markers'!$B$18,J379&gt;='Read Me &amp; Markers'!$B$19,L379&gt;='Read Me &amp; Markers'!$B$20),"A. Proven winner",IF(AND(I379&gt;='Read Me &amp; Markers'!$B$18,J379&gt;='Read Me &amp; Markers'!$B$19,L379&gt;='Read Me &amp; Markers'!$B$21),"B. Strong performer",IF(AND(I379&gt;='Read Me &amp; Markers'!$B$22,L379&gt;='Read Me &amp; Markers'!$B$23),"C. Scale workhorse",IF(AND(I379&gt;='Read Me &amp; Markers'!$B$24,I379&lt;'Read Me &amp; Markers'!$B$18,J379&gt;='Read Me &amp; Markers'!$B$25,L379&gt;='Read Me &amp; Markers'!$B$26),"D. Promising (needs more spend)",""))))</f>
        <v/>
      </c>
      <c r="C379" s="4" t="s">
        <v>1514</v>
      </c>
      <c r="D379" s="4" t="s">
        <v>109</v>
      </c>
      <c r="E379" s="4" t="s">
        <v>469</v>
      </c>
      <c r="F379" s="4" t="s">
        <v>172</v>
      </c>
      <c r="G379" s="4" t="s">
        <v>470</v>
      </c>
      <c r="H379" s="4" t="s">
        <v>1515</v>
      </c>
      <c r="I379" s="5" t="n">
        <v>80.26</v>
      </c>
      <c r="J379" s="7" t="n">
        <v>1</v>
      </c>
      <c r="K379" s="5" t="n">
        <v>79.97</v>
      </c>
      <c r="L379" s="8" t="n">
        <v>0.996387</v>
      </c>
      <c r="M379" s="9" t="n">
        <v>80.26</v>
      </c>
      <c r="N379" s="10" t="n">
        <v>0.05641026</v>
      </c>
      <c r="O379" s="5" t="n">
        <v>137.2</v>
      </c>
      <c r="P379" s="11" t="n">
        <v>1.27451</v>
      </c>
      <c r="Q379" s="7" t="n">
        <v>585</v>
      </c>
      <c r="R379" s="7" t="n">
        <v>33</v>
      </c>
      <c r="S379" s="7" t="n">
        <v>4</v>
      </c>
      <c r="T379" s="7" t="n">
        <v>3</v>
      </c>
      <c r="U379" s="7" t="n">
        <v>439</v>
      </c>
      <c r="V379" s="7" t="n">
        <v>49</v>
      </c>
    </row>
    <row r="380" customFormat="false" ht="15" hidden="false" customHeight="false" outlineLevel="0" collapsed="false">
      <c r="A380" s="4" t="s">
        <v>1516</v>
      </c>
      <c r="B380" s="4" t="str">
        <f aca="false">IF(AND(I380&gt;='Read Me &amp; Markers'!$B$18,J380&gt;='Read Me &amp; Markers'!$B$19,L380&gt;='Read Me &amp; Markers'!$B$20),"A. Proven winner",IF(AND(I380&gt;='Read Me &amp; Markers'!$B$18,J380&gt;='Read Me &amp; Markers'!$B$19,L380&gt;='Read Me &amp; Markers'!$B$21),"B. Strong performer",IF(AND(I380&gt;='Read Me &amp; Markers'!$B$22,L380&gt;='Read Me &amp; Markers'!$B$23),"C. Scale workhorse",IF(AND(I380&gt;='Read Me &amp; Markers'!$B$24,I380&lt;'Read Me &amp; Markers'!$B$18,J380&gt;='Read Me &amp; Markers'!$B$25,L380&gt;='Read Me &amp; Markers'!$B$26),"D. Promising (needs more spend)",""))))</f>
        <v/>
      </c>
      <c r="C380" s="4" t="s">
        <v>1255</v>
      </c>
      <c r="D380" s="4" t="s">
        <v>109</v>
      </c>
      <c r="E380" s="4" t="s">
        <v>110</v>
      </c>
      <c r="F380" s="4" t="s">
        <v>111</v>
      </c>
      <c r="G380" s="4" t="s">
        <v>112</v>
      </c>
      <c r="H380" s="4" t="s">
        <v>1517</v>
      </c>
      <c r="I380" s="5" t="n">
        <v>80.24</v>
      </c>
      <c r="J380" s="7" t="n">
        <v>0</v>
      </c>
      <c r="K380" s="5" t="n">
        <v>0</v>
      </c>
      <c r="L380" s="8" t="n">
        <v>0</v>
      </c>
      <c r="M380" s="9" t="n">
        <v>0</v>
      </c>
      <c r="N380" s="10" t="n">
        <v>0.00856898</v>
      </c>
      <c r="O380" s="5" t="n">
        <v>68.76</v>
      </c>
      <c r="P380" s="11" t="n">
        <v>1.430147</v>
      </c>
      <c r="Q380" s="7" t="n">
        <v>1167</v>
      </c>
      <c r="R380" s="7" t="n">
        <v>10</v>
      </c>
      <c r="S380" s="7" t="n">
        <v>0</v>
      </c>
      <c r="T380" s="7" t="n">
        <v>2</v>
      </c>
      <c r="U380" s="7" t="n">
        <v>0</v>
      </c>
      <c r="V380" s="7" t="n">
        <v>0</v>
      </c>
    </row>
    <row r="381" customFormat="false" ht="15" hidden="false" customHeight="false" outlineLevel="0" collapsed="false">
      <c r="A381" s="4" t="s">
        <v>1518</v>
      </c>
      <c r="B381" s="4" t="str">
        <f aca="false">IF(AND(I381&gt;='Read Me &amp; Markers'!$B$18,J381&gt;='Read Me &amp; Markers'!$B$19,L381&gt;='Read Me &amp; Markers'!$B$20),"A. Proven winner",IF(AND(I381&gt;='Read Me &amp; Markers'!$B$18,J381&gt;='Read Me &amp; Markers'!$B$19,L381&gt;='Read Me &amp; Markers'!$B$21),"B. Strong performer",IF(AND(I381&gt;='Read Me &amp; Markers'!$B$22,L381&gt;='Read Me &amp; Markers'!$B$23),"C. Scale workhorse",IF(AND(I381&gt;='Read Me &amp; Markers'!$B$24,I381&lt;'Read Me &amp; Markers'!$B$18,J381&gt;='Read Me &amp; Markers'!$B$25,L381&gt;='Read Me &amp; Markers'!$B$26),"D. Promising (needs more spend)",""))))</f>
        <v/>
      </c>
      <c r="C381" s="4" t="s">
        <v>321</v>
      </c>
      <c r="D381" s="4" t="s">
        <v>100</v>
      </c>
      <c r="E381" s="4" t="s">
        <v>1519</v>
      </c>
      <c r="F381" s="4" t="s">
        <v>87</v>
      </c>
      <c r="G381" s="4" t="s">
        <v>348</v>
      </c>
      <c r="H381" s="4" t="s">
        <v>1520</v>
      </c>
      <c r="I381" s="5" t="n">
        <v>80.04</v>
      </c>
      <c r="J381" s="7" t="n">
        <v>0</v>
      </c>
      <c r="K381" s="5" t="n">
        <v>0</v>
      </c>
      <c r="L381" s="8" t="n">
        <v>0</v>
      </c>
      <c r="M381" s="9" t="n">
        <v>0</v>
      </c>
      <c r="N381" s="10" t="n">
        <v>0.02196837</v>
      </c>
      <c r="O381" s="5" t="n">
        <v>35.17</v>
      </c>
      <c r="P381" s="11" t="n">
        <v>1.721634</v>
      </c>
      <c r="Q381" s="7" t="n">
        <v>2276</v>
      </c>
      <c r="R381" s="7" t="n">
        <v>50</v>
      </c>
      <c r="S381" s="7" t="n">
        <v>0</v>
      </c>
      <c r="T381" s="7" t="n">
        <v>1</v>
      </c>
      <c r="U381" s="7" t="n">
        <v>1086</v>
      </c>
      <c r="V381" s="7" t="n">
        <v>95</v>
      </c>
    </row>
    <row r="382" customFormat="false" ht="15" hidden="false" customHeight="false" outlineLevel="0" collapsed="false">
      <c r="A382" s="4" t="s">
        <v>1521</v>
      </c>
      <c r="B382" s="4" t="str">
        <f aca="false">IF(AND(I382&gt;='Read Me &amp; Markers'!$B$18,J382&gt;='Read Me &amp; Markers'!$B$19,L382&gt;='Read Me &amp; Markers'!$B$20),"A. Proven winner",IF(AND(I382&gt;='Read Me &amp; Markers'!$B$18,J382&gt;='Read Me &amp; Markers'!$B$19,L382&gt;='Read Me &amp; Markers'!$B$21),"B. Strong performer",IF(AND(I382&gt;='Read Me &amp; Markers'!$B$22,L382&gt;='Read Me &amp; Markers'!$B$23),"C. Scale workhorse",IF(AND(I382&gt;='Read Me &amp; Markers'!$B$24,I382&lt;'Read Me &amp; Markers'!$B$18,J382&gt;='Read Me &amp; Markers'!$B$25,L382&gt;='Read Me &amp; Markers'!$B$26),"D. Promising (needs more spend)",""))))</f>
        <v/>
      </c>
      <c r="C382" s="4" t="s">
        <v>1522</v>
      </c>
      <c r="D382" s="4" t="s">
        <v>109</v>
      </c>
      <c r="E382" s="4" t="s">
        <v>429</v>
      </c>
      <c r="F382" s="4" t="s">
        <v>111</v>
      </c>
      <c r="G382" s="4" t="s">
        <v>431</v>
      </c>
      <c r="H382" s="4" t="s">
        <v>1523</v>
      </c>
      <c r="I382" s="5" t="n">
        <v>79.08</v>
      </c>
      <c r="J382" s="7" t="n">
        <v>1</v>
      </c>
      <c r="K382" s="5" t="n">
        <v>99.98</v>
      </c>
      <c r="L382" s="8" t="n">
        <v>1.264289</v>
      </c>
      <c r="M382" s="9" t="n">
        <v>79.08</v>
      </c>
      <c r="N382" s="10" t="n">
        <v>0.05909091</v>
      </c>
      <c r="O382" s="5" t="n">
        <v>179.73</v>
      </c>
      <c r="P382" s="11" t="n">
        <v>1.257143</v>
      </c>
      <c r="Q382" s="7" t="n">
        <v>440</v>
      </c>
      <c r="R382" s="7" t="n">
        <v>26</v>
      </c>
      <c r="S382" s="7" t="n">
        <v>0</v>
      </c>
      <c r="T382" s="7" t="n">
        <v>1</v>
      </c>
      <c r="U382" s="7" t="n">
        <v>422</v>
      </c>
      <c r="V382" s="7" t="n">
        <v>88</v>
      </c>
    </row>
    <row r="383" customFormat="false" ht="15" hidden="false" customHeight="false" outlineLevel="0" collapsed="false">
      <c r="A383" s="4" t="s">
        <v>1524</v>
      </c>
      <c r="B383" s="4" t="str">
        <f aca="false">IF(AND(I383&gt;='Read Me &amp; Markers'!$B$18,J383&gt;='Read Me &amp; Markers'!$B$19,L383&gt;='Read Me &amp; Markers'!$B$20),"A. Proven winner",IF(AND(I383&gt;='Read Me &amp; Markers'!$B$18,J383&gt;='Read Me &amp; Markers'!$B$19,L383&gt;='Read Me &amp; Markers'!$B$21),"B. Strong performer",IF(AND(I383&gt;='Read Me &amp; Markers'!$B$22,L383&gt;='Read Me &amp; Markers'!$B$23),"C. Scale workhorse",IF(AND(I383&gt;='Read Me &amp; Markers'!$B$24,I383&lt;'Read Me &amp; Markers'!$B$18,J383&gt;='Read Me &amp; Markers'!$B$25,L383&gt;='Read Me &amp; Markers'!$B$26),"D. Promising (needs more spend)",""))))</f>
        <v/>
      </c>
      <c r="C383" s="4" t="s">
        <v>129</v>
      </c>
      <c r="D383" s="4" t="s">
        <v>154</v>
      </c>
      <c r="E383" s="4" t="s">
        <v>1489</v>
      </c>
      <c r="F383" s="4" t="s">
        <v>253</v>
      </c>
      <c r="G383" s="4" t="s">
        <v>1085</v>
      </c>
      <c r="H383" s="4" t="s">
        <v>1525</v>
      </c>
      <c r="I383" s="5" t="n">
        <v>78.61</v>
      </c>
      <c r="J383" s="7" t="n">
        <v>0</v>
      </c>
      <c r="K383" s="5" t="n">
        <v>0</v>
      </c>
      <c r="L383" s="8" t="n">
        <v>0</v>
      </c>
      <c r="M383" s="9" t="n">
        <v>0</v>
      </c>
      <c r="N383" s="10" t="n">
        <v>0.02694301</v>
      </c>
      <c r="O383" s="5" t="n">
        <v>81.46</v>
      </c>
      <c r="P383" s="11" t="n">
        <v>1.172539</v>
      </c>
      <c r="Q383" s="7" t="n">
        <v>965</v>
      </c>
      <c r="R383" s="7" t="n">
        <v>26</v>
      </c>
      <c r="S383" s="7" t="n">
        <v>1</v>
      </c>
      <c r="T383" s="7" t="n">
        <v>1</v>
      </c>
      <c r="U383" s="7" t="n">
        <v>858</v>
      </c>
      <c r="V383" s="7" t="n">
        <v>112</v>
      </c>
    </row>
    <row r="384" customFormat="false" ht="15" hidden="false" customHeight="false" outlineLevel="0" collapsed="false">
      <c r="A384" s="4" t="s">
        <v>1526</v>
      </c>
      <c r="B384" s="4" t="str">
        <f aca="false">IF(AND(I384&gt;='Read Me &amp; Markers'!$B$18,J384&gt;='Read Me &amp; Markers'!$B$19,L384&gt;='Read Me &amp; Markers'!$B$20),"A. Proven winner",IF(AND(I384&gt;='Read Me &amp; Markers'!$B$18,J384&gt;='Read Me &amp; Markers'!$B$19,L384&gt;='Read Me &amp; Markers'!$B$21),"B. Strong performer",IF(AND(I384&gt;='Read Me &amp; Markers'!$B$22,L384&gt;='Read Me &amp; Markers'!$B$23),"C. Scale workhorse",IF(AND(I384&gt;='Read Me &amp; Markers'!$B$24,I384&lt;'Read Me &amp; Markers'!$B$18,J384&gt;='Read Me &amp; Markers'!$B$25,L384&gt;='Read Me &amp; Markers'!$B$26),"D. Promising (needs more spend)",""))))</f>
        <v/>
      </c>
      <c r="C384" s="4" t="s">
        <v>1527</v>
      </c>
      <c r="D384" s="4" t="s">
        <v>100</v>
      </c>
      <c r="E384" s="4" t="s">
        <v>1142</v>
      </c>
      <c r="F384" s="4" t="s">
        <v>87</v>
      </c>
      <c r="G384" s="4" t="s">
        <v>310</v>
      </c>
      <c r="H384" s="4" t="s">
        <v>1528</v>
      </c>
      <c r="I384" s="5" t="n">
        <v>78.52</v>
      </c>
      <c r="J384" s="7" t="n">
        <v>0</v>
      </c>
      <c r="K384" s="5" t="n">
        <v>0</v>
      </c>
      <c r="L384" s="8" t="n">
        <v>0</v>
      </c>
      <c r="M384" s="9" t="n">
        <v>0</v>
      </c>
      <c r="N384" s="10" t="n">
        <v>0.03609831</v>
      </c>
      <c r="O384" s="5" t="n">
        <v>60.31</v>
      </c>
      <c r="P384" s="11" t="n">
        <v>1.733688</v>
      </c>
      <c r="Q384" s="7" t="n">
        <v>1302</v>
      </c>
      <c r="R384" s="7" t="n">
        <v>47</v>
      </c>
      <c r="S384" s="7" t="n">
        <v>4</v>
      </c>
      <c r="T384" s="7" t="n">
        <v>5</v>
      </c>
      <c r="U384" s="7" t="n">
        <v>693</v>
      </c>
      <c r="V384" s="7" t="n">
        <v>148</v>
      </c>
    </row>
    <row r="385" customFormat="false" ht="15" hidden="false" customHeight="false" outlineLevel="0" collapsed="false">
      <c r="A385" s="4" t="s">
        <v>1529</v>
      </c>
      <c r="B385" s="4" t="str">
        <f aca="false">IF(AND(I385&gt;='Read Me &amp; Markers'!$B$18,J385&gt;='Read Me &amp; Markers'!$B$19,L385&gt;='Read Me &amp; Markers'!$B$20),"A. Proven winner",IF(AND(I385&gt;='Read Me &amp; Markers'!$B$18,J385&gt;='Read Me &amp; Markers'!$B$19,L385&gt;='Read Me &amp; Markers'!$B$21),"B. Strong performer",IF(AND(I385&gt;='Read Me &amp; Markers'!$B$22,L385&gt;='Read Me &amp; Markers'!$B$23),"C. Scale workhorse",IF(AND(I385&gt;='Read Me &amp; Markers'!$B$24,I385&lt;'Read Me &amp; Markers'!$B$18,J385&gt;='Read Me &amp; Markers'!$B$25,L385&gt;='Read Me &amp; Markers'!$B$26),"D. Promising (needs more spend)",""))))</f>
        <v/>
      </c>
      <c r="C385" s="4" t="s">
        <v>98</v>
      </c>
      <c r="D385" s="4" t="s">
        <v>100</v>
      </c>
      <c r="E385" s="4" t="s">
        <v>1530</v>
      </c>
      <c r="F385" s="4" t="s">
        <v>87</v>
      </c>
      <c r="G385" s="4" t="s">
        <v>650</v>
      </c>
      <c r="H385" s="4" t="s">
        <v>1531</v>
      </c>
      <c r="I385" s="5" t="n">
        <v>78.14</v>
      </c>
      <c r="J385" s="7" t="n">
        <v>0</v>
      </c>
      <c r="K385" s="5" t="n">
        <v>0</v>
      </c>
      <c r="L385" s="8" t="n">
        <v>0</v>
      </c>
      <c r="M385" s="9" t="n">
        <v>0</v>
      </c>
      <c r="N385" s="10" t="n">
        <v>0.02116402</v>
      </c>
      <c r="O385" s="5" t="n">
        <v>82.69</v>
      </c>
      <c r="P385" s="11" t="n">
        <v>1.175373</v>
      </c>
      <c r="Q385" s="7" t="n">
        <v>945</v>
      </c>
      <c r="R385" s="7" t="n">
        <v>20</v>
      </c>
      <c r="S385" s="7" t="n">
        <v>2</v>
      </c>
      <c r="T385" s="7" t="n">
        <v>0</v>
      </c>
      <c r="U385" s="7" t="n">
        <v>828</v>
      </c>
      <c r="V385" s="7" t="n">
        <v>118</v>
      </c>
    </row>
    <row r="386" customFormat="false" ht="15" hidden="false" customHeight="false" outlineLevel="0" collapsed="false">
      <c r="A386" s="4" t="s">
        <v>1532</v>
      </c>
      <c r="B386" s="4" t="str">
        <f aca="false">IF(AND(I386&gt;='Read Me &amp; Markers'!$B$18,J386&gt;='Read Me &amp; Markers'!$B$19,L386&gt;='Read Me &amp; Markers'!$B$20),"A. Proven winner",IF(AND(I386&gt;='Read Me &amp; Markers'!$B$18,J386&gt;='Read Me &amp; Markers'!$B$19,L386&gt;='Read Me &amp; Markers'!$B$21),"B. Strong performer",IF(AND(I386&gt;='Read Me &amp; Markers'!$B$22,L386&gt;='Read Me &amp; Markers'!$B$23),"C. Scale workhorse",IF(AND(I386&gt;='Read Me &amp; Markers'!$B$24,I386&lt;'Read Me &amp; Markers'!$B$18,J386&gt;='Read Me &amp; Markers'!$B$25,L386&gt;='Read Me &amp; Markers'!$B$26),"D. Promising (needs more spend)",""))))</f>
        <v/>
      </c>
      <c r="C386" s="4" t="s">
        <v>1533</v>
      </c>
      <c r="D386" s="4" t="s">
        <v>109</v>
      </c>
      <c r="E386" s="4" t="s">
        <v>435</v>
      </c>
      <c r="F386" s="4" t="s">
        <v>111</v>
      </c>
      <c r="G386" s="4" t="s">
        <v>500</v>
      </c>
      <c r="H386" s="4" t="s">
        <v>1534</v>
      </c>
      <c r="I386" s="5" t="n">
        <v>77.93</v>
      </c>
      <c r="J386" s="7" t="n">
        <v>0</v>
      </c>
      <c r="K386" s="5" t="n">
        <v>0</v>
      </c>
      <c r="L386" s="8" t="n">
        <v>0</v>
      </c>
      <c r="M386" s="9" t="n">
        <v>0</v>
      </c>
      <c r="N386" s="10" t="n">
        <v>0.02277657</v>
      </c>
      <c r="O386" s="5" t="n">
        <v>84.52</v>
      </c>
      <c r="P386" s="11" t="n">
        <v>1.477564</v>
      </c>
      <c r="Q386" s="7" t="n">
        <v>922</v>
      </c>
      <c r="R386" s="7" t="n">
        <v>21</v>
      </c>
      <c r="S386" s="7" t="n">
        <v>1</v>
      </c>
      <c r="T386" s="7" t="n">
        <v>1</v>
      </c>
      <c r="U386" s="7" t="n">
        <v>0</v>
      </c>
      <c r="V386" s="7" t="n">
        <v>0</v>
      </c>
    </row>
    <row r="387" customFormat="false" ht="15" hidden="false" customHeight="false" outlineLevel="0" collapsed="false">
      <c r="A387" s="4" t="s">
        <v>1535</v>
      </c>
      <c r="B387" s="4" t="str">
        <f aca="false">IF(AND(I387&gt;='Read Me &amp; Markers'!$B$18,J387&gt;='Read Me &amp; Markers'!$B$19,L387&gt;='Read Me &amp; Markers'!$B$20),"A. Proven winner",IF(AND(I387&gt;='Read Me &amp; Markers'!$B$18,J387&gt;='Read Me &amp; Markers'!$B$19,L387&gt;='Read Me &amp; Markers'!$B$21),"B. Strong performer",IF(AND(I387&gt;='Read Me &amp; Markers'!$B$22,L387&gt;='Read Me &amp; Markers'!$B$23),"C. Scale workhorse",IF(AND(I387&gt;='Read Me &amp; Markers'!$B$24,I387&lt;'Read Me &amp; Markers'!$B$18,J387&gt;='Read Me &amp; Markers'!$B$25,L387&gt;='Read Me &amp; Markers'!$B$26),"D. Promising (needs more spend)",""))))</f>
        <v/>
      </c>
      <c r="C387" s="4" t="s">
        <v>1536</v>
      </c>
      <c r="D387" s="4" t="s">
        <v>1204</v>
      </c>
      <c r="E387" s="4" t="s">
        <v>1537</v>
      </c>
      <c r="F387" s="4" t="s">
        <v>230</v>
      </c>
      <c r="G387" s="4" t="s">
        <v>1206</v>
      </c>
      <c r="H387" s="4" t="s">
        <v>1538</v>
      </c>
      <c r="I387" s="5" t="n">
        <v>76.91</v>
      </c>
      <c r="J387" s="7" t="n">
        <v>0</v>
      </c>
      <c r="K387" s="5" t="n">
        <v>0</v>
      </c>
      <c r="L387" s="8" t="n">
        <v>0</v>
      </c>
      <c r="M387" s="9" t="n">
        <v>0</v>
      </c>
      <c r="N387" s="10" t="n">
        <v>0.05693431</v>
      </c>
      <c r="O387" s="5" t="n">
        <v>112.28</v>
      </c>
      <c r="P387" s="11" t="n">
        <v>1.07874</v>
      </c>
      <c r="Q387" s="7" t="n">
        <v>685</v>
      </c>
      <c r="R387" s="7" t="n">
        <v>39</v>
      </c>
      <c r="S387" s="7" t="n">
        <v>1</v>
      </c>
      <c r="T387" s="7" t="n">
        <v>1</v>
      </c>
      <c r="U387" s="7" t="n">
        <v>667</v>
      </c>
      <c r="V387" s="7" t="n">
        <v>128</v>
      </c>
    </row>
    <row r="388" customFormat="false" ht="15" hidden="false" customHeight="false" outlineLevel="0" collapsed="false">
      <c r="A388" s="4" t="s">
        <v>1539</v>
      </c>
      <c r="B388" s="4" t="str">
        <f aca="false">IF(AND(I388&gt;='Read Me &amp; Markers'!$B$18,J388&gt;='Read Me &amp; Markers'!$B$19,L388&gt;='Read Me &amp; Markers'!$B$20),"A. Proven winner",IF(AND(I388&gt;='Read Me &amp; Markers'!$B$18,J388&gt;='Read Me &amp; Markers'!$B$19,L388&gt;='Read Me &amp; Markers'!$B$21),"B. Strong performer",IF(AND(I388&gt;='Read Me &amp; Markers'!$B$22,L388&gt;='Read Me &amp; Markers'!$B$23),"C. Scale workhorse",IF(AND(I388&gt;='Read Me &amp; Markers'!$B$24,I388&lt;'Read Me &amp; Markers'!$B$18,J388&gt;='Read Me &amp; Markers'!$B$25,L388&gt;='Read Me &amp; Markers'!$B$26),"D. Promising (needs more spend)",""))))</f>
        <v/>
      </c>
      <c r="C388" s="4" t="s">
        <v>1540</v>
      </c>
      <c r="D388" s="4" t="s">
        <v>109</v>
      </c>
      <c r="E388" s="4" t="s">
        <v>482</v>
      </c>
      <c r="F388" s="4" t="s">
        <v>111</v>
      </c>
      <c r="G388" s="4" t="s">
        <v>483</v>
      </c>
      <c r="H388" s="4" t="s">
        <v>1541</v>
      </c>
      <c r="I388" s="5" t="n">
        <v>76.6</v>
      </c>
      <c r="J388" s="7" t="n">
        <v>5</v>
      </c>
      <c r="K388" s="5" t="n">
        <v>290.17</v>
      </c>
      <c r="L388" s="8" t="n">
        <v>3.78812</v>
      </c>
      <c r="M388" s="9" t="n">
        <v>15.32</v>
      </c>
      <c r="N388" s="10" t="n">
        <v>0.01371951</v>
      </c>
      <c r="O388" s="5" t="n">
        <v>58.38</v>
      </c>
      <c r="P388" s="11" t="n">
        <v>1.545347</v>
      </c>
      <c r="Q388" s="7" t="n">
        <v>1312</v>
      </c>
      <c r="R388" s="7" t="n">
        <v>18</v>
      </c>
      <c r="S388" s="7" t="n">
        <v>1</v>
      </c>
      <c r="T388" s="7" t="n">
        <v>5</v>
      </c>
      <c r="U388" s="7" t="n">
        <v>7</v>
      </c>
      <c r="V388" s="7" t="n">
        <v>0</v>
      </c>
    </row>
    <row r="389" customFormat="false" ht="15" hidden="false" customHeight="false" outlineLevel="0" collapsed="false">
      <c r="A389" s="4" t="s">
        <v>1542</v>
      </c>
      <c r="B389" s="4" t="str">
        <f aca="false">IF(AND(I389&gt;='Read Me &amp; Markers'!$B$18,J389&gt;='Read Me &amp; Markers'!$B$19,L389&gt;='Read Me &amp; Markers'!$B$20),"A. Proven winner",IF(AND(I389&gt;='Read Me &amp; Markers'!$B$18,J389&gt;='Read Me &amp; Markers'!$B$19,L389&gt;='Read Me &amp; Markers'!$B$21),"B. Strong performer",IF(AND(I389&gt;='Read Me &amp; Markers'!$B$22,L389&gt;='Read Me &amp; Markers'!$B$23),"C. Scale workhorse",IF(AND(I389&gt;='Read Me &amp; Markers'!$B$24,I389&lt;'Read Me &amp; Markers'!$B$18,J389&gt;='Read Me &amp; Markers'!$B$25,L389&gt;='Read Me &amp; Markers'!$B$26),"D. Promising (needs more spend)",""))))</f>
        <v/>
      </c>
      <c r="C389" s="4" t="s">
        <v>169</v>
      </c>
      <c r="D389" s="4" t="s">
        <v>100</v>
      </c>
      <c r="E389" s="4" t="s">
        <v>1311</v>
      </c>
      <c r="F389" s="4" t="s">
        <v>253</v>
      </c>
      <c r="G389" s="4" t="s">
        <v>208</v>
      </c>
      <c r="H389" s="4" t="s">
        <v>1543</v>
      </c>
      <c r="I389" s="5" t="n">
        <v>75.67</v>
      </c>
      <c r="J389" s="7" t="n">
        <v>0</v>
      </c>
      <c r="K389" s="5" t="n">
        <v>0</v>
      </c>
      <c r="L389" s="8" t="n">
        <v>0</v>
      </c>
      <c r="M389" s="9" t="n">
        <v>0</v>
      </c>
      <c r="N389" s="10" t="n">
        <v>0.05803571</v>
      </c>
      <c r="O389" s="5" t="n">
        <v>168.91</v>
      </c>
      <c r="P389" s="11" t="n">
        <v>1.182058</v>
      </c>
      <c r="Q389" s="7" t="n">
        <v>448</v>
      </c>
      <c r="R389" s="7" t="n">
        <v>26</v>
      </c>
      <c r="S389" s="7" t="n">
        <v>2</v>
      </c>
      <c r="T389" s="7" t="n">
        <v>4</v>
      </c>
      <c r="U389" s="7" t="n">
        <v>376</v>
      </c>
      <c r="V389" s="7" t="n">
        <v>45</v>
      </c>
    </row>
    <row r="390" customFormat="false" ht="15" hidden="false" customHeight="false" outlineLevel="0" collapsed="false">
      <c r="A390" s="4" t="s">
        <v>1544</v>
      </c>
      <c r="B390" s="4" t="str">
        <f aca="false">IF(AND(I390&gt;='Read Me &amp; Markers'!$B$18,J390&gt;='Read Me &amp; Markers'!$B$19,L390&gt;='Read Me &amp; Markers'!$B$20),"A. Proven winner",IF(AND(I390&gt;='Read Me &amp; Markers'!$B$18,J390&gt;='Read Me &amp; Markers'!$B$19,L390&gt;='Read Me &amp; Markers'!$B$21),"B. Strong performer",IF(AND(I390&gt;='Read Me &amp; Markers'!$B$22,L390&gt;='Read Me &amp; Markers'!$B$23),"C. Scale workhorse",IF(AND(I390&gt;='Read Me &amp; Markers'!$B$24,I390&lt;'Read Me &amp; Markers'!$B$18,J390&gt;='Read Me &amp; Markers'!$B$25,L390&gt;='Read Me &amp; Markers'!$B$26),"D. Promising (needs more spend)",""))))</f>
        <v/>
      </c>
      <c r="C390" s="4" t="s">
        <v>121</v>
      </c>
      <c r="D390" s="4" t="s">
        <v>100</v>
      </c>
      <c r="E390" s="4" t="s">
        <v>1545</v>
      </c>
      <c r="F390" s="4" t="s">
        <v>87</v>
      </c>
      <c r="G390" s="4" t="s">
        <v>538</v>
      </c>
      <c r="H390" s="4" t="s">
        <v>1546</v>
      </c>
      <c r="I390" s="5" t="n">
        <v>75.37</v>
      </c>
      <c r="J390" s="7" t="n">
        <v>2</v>
      </c>
      <c r="K390" s="5" t="n">
        <v>165.31</v>
      </c>
      <c r="L390" s="8" t="n">
        <v>2.193313</v>
      </c>
      <c r="M390" s="9" t="n">
        <v>37.69</v>
      </c>
      <c r="N390" s="10" t="n">
        <v>0.0483871</v>
      </c>
      <c r="O390" s="5" t="n">
        <v>135.07</v>
      </c>
      <c r="P390" s="11" t="n">
        <v>1.079304</v>
      </c>
      <c r="Q390" s="7" t="n">
        <v>558</v>
      </c>
      <c r="R390" s="7" t="n">
        <v>27</v>
      </c>
      <c r="S390" s="7" t="n">
        <v>1</v>
      </c>
      <c r="T390" s="7" t="n">
        <v>2</v>
      </c>
      <c r="U390" s="7" t="n">
        <v>488</v>
      </c>
      <c r="V390" s="7" t="n">
        <v>91</v>
      </c>
    </row>
    <row r="391" customFormat="false" ht="15" hidden="false" customHeight="false" outlineLevel="0" collapsed="false">
      <c r="A391" s="4" t="s">
        <v>1547</v>
      </c>
      <c r="B391" s="4" t="str">
        <f aca="false">IF(AND(I391&gt;='Read Me &amp; Markers'!$B$18,J391&gt;='Read Me &amp; Markers'!$B$19,L391&gt;='Read Me &amp; Markers'!$B$20),"A. Proven winner",IF(AND(I391&gt;='Read Me &amp; Markers'!$B$18,J391&gt;='Read Me &amp; Markers'!$B$19,L391&gt;='Read Me &amp; Markers'!$B$21),"B. Strong performer",IF(AND(I391&gt;='Read Me &amp; Markers'!$B$22,L391&gt;='Read Me &amp; Markers'!$B$23),"C. Scale workhorse",IF(AND(I391&gt;='Read Me &amp; Markers'!$B$24,I391&lt;'Read Me &amp; Markers'!$B$18,J391&gt;='Read Me &amp; Markers'!$B$25,L391&gt;='Read Me &amp; Markers'!$B$26),"D. Promising (needs more spend)",""))))</f>
        <v/>
      </c>
      <c r="C391" s="4" t="s">
        <v>1548</v>
      </c>
      <c r="D391" s="4" t="s">
        <v>109</v>
      </c>
      <c r="E391" s="4" t="s">
        <v>1329</v>
      </c>
      <c r="F391" s="4" t="s">
        <v>87</v>
      </c>
      <c r="G391" s="4" t="s">
        <v>599</v>
      </c>
      <c r="H391" s="4" t="s">
        <v>1549</v>
      </c>
      <c r="I391" s="5" t="n">
        <v>74.76</v>
      </c>
      <c r="J391" s="7" t="n">
        <v>0</v>
      </c>
      <c r="K391" s="5" t="n">
        <v>0</v>
      </c>
      <c r="L391" s="8" t="n">
        <v>0</v>
      </c>
      <c r="M391" s="9" t="n">
        <v>0</v>
      </c>
      <c r="N391" s="10" t="n">
        <v>0.05536913</v>
      </c>
      <c r="O391" s="5" t="n">
        <v>125.44</v>
      </c>
      <c r="P391" s="11" t="n">
        <v>1.124528</v>
      </c>
      <c r="Q391" s="7" t="n">
        <v>596</v>
      </c>
      <c r="R391" s="7" t="n">
        <v>33</v>
      </c>
      <c r="S391" s="7" t="n">
        <v>1</v>
      </c>
      <c r="T391" s="7" t="n">
        <v>1</v>
      </c>
      <c r="U391" s="7" t="n">
        <v>498</v>
      </c>
      <c r="V391" s="7" t="n">
        <v>116</v>
      </c>
    </row>
    <row r="392" customFormat="false" ht="15" hidden="false" customHeight="false" outlineLevel="0" collapsed="false">
      <c r="A392" s="4" t="s">
        <v>1550</v>
      </c>
      <c r="B392" s="4" t="str">
        <f aca="false">IF(AND(I392&gt;='Read Me &amp; Markers'!$B$18,J392&gt;='Read Me &amp; Markers'!$B$19,L392&gt;='Read Me &amp; Markers'!$B$20),"A. Proven winner",IF(AND(I392&gt;='Read Me &amp; Markers'!$B$18,J392&gt;='Read Me &amp; Markers'!$B$19,L392&gt;='Read Me &amp; Markers'!$B$21),"B. Strong performer",IF(AND(I392&gt;='Read Me &amp; Markers'!$B$22,L392&gt;='Read Me &amp; Markers'!$B$23),"C. Scale workhorse",IF(AND(I392&gt;='Read Me &amp; Markers'!$B$24,I392&lt;'Read Me &amp; Markers'!$B$18,J392&gt;='Read Me &amp; Markers'!$B$25,L392&gt;='Read Me &amp; Markers'!$B$26),"D. Promising (needs more spend)",""))))</f>
        <v/>
      </c>
      <c r="C392" s="4" t="s">
        <v>693</v>
      </c>
      <c r="D392" s="4" t="s">
        <v>154</v>
      </c>
      <c r="E392" s="4" t="s">
        <v>1551</v>
      </c>
      <c r="F392" s="4" t="s">
        <v>87</v>
      </c>
      <c r="G392" s="4" t="s">
        <v>695</v>
      </c>
      <c r="H392" s="4" t="s">
        <v>1552</v>
      </c>
      <c r="I392" s="5" t="n">
        <v>73.44</v>
      </c>
      <c r="J392" s="7" t="n">
        <v>1</v>
      </c>
      <c r="K392" s="5" t="n">
        <v>45.96</v>
      </c>
      <c r="L392" s="8" t="n">
        <v>0.625817</v>
      </c>
      <c r="M392" s="9" t="n">
        <v>73.44</v>
      </c>
      <c r="N392" s="10" t="n">
        <v>0.05231984</v>
      </c>
      <c r="O392" s="5" t="n">
        <v>72.5</v>
      </c>
      <c r="P392" s="11" t="n">
        <v>1.255266</v>
      </c>
      <c r="Q392" s="7" t="n">
        <v>1013</v>
      </c>
      <c r="R392" s="7" t="n">
        <v>53</v>
      </c>
      <c r="S392" s="7" t="n">
        <v>8</v>
      </c>
      <c r="T392" s="7" t="n">
        <v>3</v>
      </c>
      <c r="U392" s="7" t="n">
        <v>936</v>
      </c>
      <c r="V392" s="7" t="n">
        <v>73</v>
      </c>
    </row>
    <row r="393" customFormat="false" ht="15" hidden="false" customHeight="false" outlineLevel="0" collapsed="false">
      <c r="A393" s="4" t="s">
        <v>1553</v>
      </c>
      <c r="B393" s="4" t="str">
        <f aca="false">IF(AND(I393&gt;='Read Me &amp; Markers'!$B$18,J393&gt;='Read Me &amp; Markers'!$B$19,L393&gt;='Read Me &amp; Markers'!$B$20),"A. Proven winner",IF(AND(I393&gt;='Read Me &amp; Markers'!$B$18,J393&gt;='Read Me &amp; Markers'!$B$19,L393&gt;='Read Me &amp; Markers'!$B$21),"B. Strong performer",IF(AND(I393&gt;='Read Me &amp; Markers'!$B$22,L393&gt;='Read Me &amp; Markers'!$B$23),"C. Scale workhorse",IF(AND(I393&gt;='Read Me &amp; Markers'!$B$24,I393&lt;'Read Me &amp; Markers'!$B$18,J393&gt;='Read Me &amp; Markers'!$B$25,L393&gt;='Read Me &amp; Markers'!$B$26),"D. Promising (needs more spend)",""))))</f>
        <v/>
      </c>
      <c r="C393" s="4" t="s">
        <v>1554</v>
      </c>
      <c r="D393" s="4" t="s">
        <v>109</v>
      </c>
      <c r="E393" s="4" t="s">
        <v>435</v>
      </c>
      <c r="F393" s="4" t="s">
        <v>111</v>
      </c>
      <c r="G393" s="4" t="s">
        <v>500</v>
      </c>
      <c r="H393" s="4" t="s">
        <v>1555</v>
      </c>
      <c r="I393" s="5" t="n">
        <v>73.32</v>
      </c>
      <c r="J393" s="7" t="n">
        <v>0</v>
      </c>
      <c r="K393" s="5" t="n">
        <v>0</v>
      </c>
      <c r="L393" s="8" t="n">
        <v>0</v>
      </c>
      <c r="M393" s="9" t="n">
        <v>0</v>
      </c>
      <c r="N393" s="10" t="n">
        <v>0.03935185</v>
      </c>
      <c r="O393" s="5" t="n">
        <v>169.72</v>
      </c>
      <c r="P393" s="11" t="n">
        <v>1.152</v>
      </c>
      <c r="Q393" s="7" t="n">
        <v>432</v>
      </c>
      <c r="R393" s="7" t="n">
        <v>17</v>
      </c>
      <c r="S393" s="7" t="n">
        <v>0</v>
      </c>
      <c r="T393" s="7" t="n">
        <v>0</v>
      </c>
      <c r="U393" s="7" t="n">
        <v>398</v>
      </c>
      <c r="V393" s="7" t="n">
        <v>63</v>
      </c>
    </row>
    <row r="394" customFormat="false" ht="15" hidden="false" customHeight="false" outlineLevel="0" collapsed="false">
      <c r="A394" s="4" t="s">
        <v>1556</v>
      </c>
      <c r="B394" s="4" t="str">
        <f aca="false">IF(AND(I394&gt;='Read Me &amp; Markers'!$B$18,J394&gt;='Read Me &amp; Markers'!$B$19,L394&gt;='Read Me &amp; Markers'!$B$20),"A. Proven winner",IF(AND(I394&gt;='Read Me &amp; Markers'!$B$18,J394&gt;='Read Me &amp; Markers'!$B$19,L394&gt;='Read Me &amp; Markers'!$B$21),"B. Strong performer",IF(AND(I394&gt;='Read Me &amp; Markers'!$B$22,L394&gt;='Read Me &amp; Markers'!$B$23),"C. Scale workhorse",IF(AND(I394&gt;='Read Me &amp; Markers'!$B$24,I394&lt;'Read Me &amp; Markers'!$B$18,J394&gt;='Read Me &amp; Markers'!$B$25,L394&gt;='Read Me &amp; Markers'!$B$26),"D. Promising (needs more spend)",""))))</f>
        <v/>
      </c>
      <c r="C394" s="4" t="s">
        <v>511</v>
      </c>
      <c r="D394" s="4" t="s">
        <v>109</v>
      </c>
      <c r="E394" s="4" t="s">
        <v>512</v>
      </c>
      <c r="F394" s="4" t="s">
        <v>430</v>
      </c>
      <c r="G394" s="4" t="s">
        <v>1557</v>
      </c>
      <c r="H394" s="4" t="s">
        <v>1558</v>
      </c>
      <c r="I394" s="5" t="n">
        <v>72.76</v>
      </c>
      <c r="J394" s="7" t="n">
        <v>0</v>
      </c>
      <c r="K394" s="5" t="n">
        <v>0</v>
      </c>
      <c r="L394" s="8" t="n">
        <v>0</v>
      </c>
      <c r="M394" s="9" t="n">
        <v>0</v>
      </c>
      <c r="N394" s="10" t="n">
        <v>0.03490401</v>
      </c>
      <c r="O394" s="5" t="n">
        <v>126.98</v>
      </c>
      <c r="P394" s="11" t="n">
        <v>1.015957</v>
      </c>
      <c r="Q394" s="7" t="n">
        <v>573</v>
      </c>
      <c r="R394" s="7" t="n">
        <v>20</v>
      </c>
      <c r="S394" s="7" t="n">
        <v>1</v>
      </c>
      <c r="T394" s="7" t="n">
        <v>2</v>
      </c>
      <c r="U394" s="7" t="n">
        <v>554</v>
      </c>
      <c r="V394" s="7" t="n">
        <v>191</v>
      </c>
    </row>
    <row r="395" customFormat="false" ht="15" hidden="false" customHeight="false" outlineLevel="0" collapsed="false">
      <c r="A395" s="4" t="s">
        <v>1559</v>
      </c>
      <c r="B395" s="4" t="str">
        <f aca="false">IF(AND(I395&gt;='Read Me &amp; Markers'!$B$18,J395&gt;='Read Me &amp; Markers'!$B$19,L395&gt;='Read Me &amp; Markers'!$B$20),"A. Proven winner",IF(AND(I395&gt;='Read Me &amp; Markers'!$B$18,J395&gt;='Read Me &amp; Markers'!$B$19,L395&gt;='Read Me &amp; Markers'!$B$21),"B. Strong performer",IF(AND(I395&gt;='Read Me &amp; Markers'!$B$22,L395&gt;='Read Me &amp; Markers'!$B$23),"C. Scale workhorse",IF(AND(I395&gt;='Read Me &amp; Markers'!$B$24,I395&lt;'Read Me &amp; Markers'!$B$18,J395&gt;='Read Me &amp; Markers'!$B$25,L395&gt;='Read Me &amp; Markers'!$B$26),"D. Promising (needs more spend)",""))))</f>
        <v/>
      </c>
      <c r="C395" s="4" t="s">
        <v>1418</v>
      </c>
      <c r="D395" s="4" t="s">
        <v>109</v>
      </c>
      <c r="E395" s="4" t="s">
        <v>1224</v>
      </c>
      <c r="F395" s="4" t="s">
        <v>87</v>
      </c>
      <c r="G395" s="4" t="s">
        <v>508</v>
      </c>
      <c r="H395" s="4" t="s">
        <v>1560</v>
      </c>
      <c r="I395" s="5" t="n">
        <v>72.49</v>
      </c>
      <c r="J395" s="7" t="n">
        <v>1</v>
      </c>
      <c r="K395" s="5" t="n">
        <v>79.97</v>
      </c>
      <c r="L395" s="8" t="n">
        <v>1.103187</v>
      </c>
      <c r="M395" s="9" t="n">
        <v>72.49</v>
      </c>
      <c r="N395" s="10" t="n">
        <v>0.08898305</v>
      </c>
      <c r="O395" s="5" t="n">
        <v>153.58</v>
      </c>
      <c r="P395" s="11" t="n">
        <v>1.085057</v>
      </c>
      <c r="Q395" s="7" t="n">
        <v>472</v>
      </c>
      <c r="R395" s="7" t="n">
        <v>42</v>
      </c>
      <c r="S395" s="7" t="n">
        <v>4</v>
      </c>
      <c r="T395" s="7" t="n">
        <v>5</v>
      </c>
      <c r="U395" s="7" t="n">
        <v>444</v>
      </c>
      <c r="V395" s="7" t="n">
        <v>79</v>
      </c>
    </row>
    <row r="396" customFormat="false" ht="15" hidden="false" customHeight="false" outlineLevel="0" collapsed="false">
      <c r="A396" s="4" t="s">
        <v>1561</v>
      </c>
      <c r="B396" s="4" t="str">
        <f aca="false">IF(AND(I396&gt;='Read Me &amp; Markers'!$B$18,J396&gt;='Read Me &amp; Markers'!$B$19,L396&gt;='Read Me &amp; Markers'!$B$20),"A. Proven winner",IF(AND(I396&gt;='Read Me &amp; Markers'!$B$18,J396&gt;='Read Me &amp; Markers'!$B$19,L396&gt;='Read Me &amp; Markers'!$B$21),"B. Strong performer",IF(AND(I396&gt;='Read Me &amp; Markers'!$B$22,L396&gt;='Read Me &amp; Markers'!$B$23),"C. Scale workhorse",IF(AND(I396&gt;='Read Me &amp; Markers'!$B$24,I396&lt;'Read Me &amp; Markers'!$B$18,J396&gt;='Read Me &amp; Markers'!$B$25,L396&gt;='Read Me &amp; Markers'!$B$26),"D. Promising (needs more spend)",""))))</f>
        <v/>
      </c>
      <c r="C396" s="4" t="s">
        <v>1562</v>
      </c>
      <c r="D396" s="4" t="s">
        <v>109</v>
      </c>
      <c r="E396" s="4" t="s">
        <v>1166</v>
      </c>
      <c r="F396" s="4" t="s">
        <v>87</v>
      </c>
      <c r="G396" s="4" t="s">
        <v>588</v>
      </c>
      <c r="H396" s="4" t="s">
        <v>1563</v>
      </c>
      <c r="I396" s="5" t="n">
        <v>72.27</v>
      </c>
      <c r="J396" s="7" t="n">
        <v>0</v>
      </c>
      <c r="K396" s="5" t="n">
        <v>0</v>
      </c>
      <c r="L396" s="8" t="n">
        <v>0</v>
      </c>
      <c r="M396" s="9" t="n">
        <v>0</v>
      </c>
      <c r="N396" s="10" t="n">
        <v>0.02834008</v>
      </c>
      <c r="O396" s="5" t="n">
        <v>97.53</v>
      </c>
      <c r="P396" s="11" t="n">
        <v>1.266667</v>
      </c>
      <c r="Q396" s="7" t="n">
        <v>741</v>
      </c>
      <c r="R396" s="7" t="n">
        <v>21</v>
      </c>
      <c r="S396" s="7" t="n">
        <v>3</v>
      </c>
      <c r="T396" s="7" t="n">
        <v>0</v>
      </c>
      <c r="U396" s="7" t="n">
        <v>584</v>
      </c>
      <c r="V396" s="7" t="n">
        <v>25</v>
      </c>
    </row>
    <row r="397" customFormat="false" ht="15" hidden="false" customHeight="false" outlineLevel="0" collapsed="false">
      <c r="A397" s="4" t="s">
        <v>1564</v>
      </c>
      <c r="B397" s="4" t="str">
        <f aca="false">IF(AND(I397&gt;='Read Me &amp; Markers'!$B$18,J397&gt;='Read Me &amp; Markers'!$B$19,L397&gt;='Read Me &amp; Markers'!$B$20),"A. Proven winner",IF(AND(I397&gt;='Read Me &amp; Markers'!$B$18,J397&gt;='Read Me &amp; Markers'!$B$19,L397&gt;='Read Me &amp; Markers'!$B$21),"B. Strong performer",IF(AND(I397&gt;='Read Me &amp; Markers'!$B$22,L397&gt;='Read Me &amp; Markers'!$B$23),"C. Scale workhorse",IF(AND(I397&gt;='Read Me &amp; Markers'!$B$24,I397&lt;'Read Me &amp; Markers'!$B$18,J397&gt;='Read Me &amp; Markers'!$B$25,L397&gt;='Read Me &amp; Markers'!$B$26),"D. Promising (needs more spend)",""))))</f>
        <v/>
      </c>
      <c r="C397" s="4" t="s">
        <v>1565</v>
      </c>
      <c r="D397" s="4" t="s">
        <v>1566</v>
      </c>
      <c r="E397" s="4" t="s">
        <v>1567</v>
      </c>
      <c r="F397" s="4" t="s">
        <v>253</v>
      </c>
      <c r="G397" s="4" t="s">
        <v>1093</v>
      </c>
      <c r="H397" s="4" t="s">
        <v>1568</v>
      </c>
      <c r="I397" s="5" t="n">
        <v>72.22</v>
      </c>
      <c r="J397" s="7" t="n">
        <v>0</v>
      </c>
      <c r="K397" s="5" t="n">
        <v>0</v>
      </c>
      <c r="L397" s="8" t="n">
        <v>0</v>
      </c>
      <c r="M397" s="9" t="n">
        <v>0</v>
      </c>
      <c r="N397" s="10" t="n">
        <v>0.04558495</v>
      </c>
      <c r="O397" s="5" t="n">
        <v>7.67</v>
      </c>
      <c r="P397" s="11" t="n">
        <v>1.421601</v>
      </c>
      <c r="Q397" s="7" t="n">
        <v>9411</v>
      </c>
      <c r="R397" s="7" t="n">
        <v>429</v>
      </c>
      <c r="S397" s="7" t="n">
        <v>7</v>
      </c>
      <c r="T397" s="7" t="n">
        <v>1</v>
      </c>
      <c r="U397" s="7" t="n">
        <v>0</v>
      </c>
      <c r="V397" s="7" t="n">
        <v>0</v>
      </c>
    </row>
    <row r="398" customFormat="false" ht="15" hidden="false" customHeight="false" outlineLevel="0" collapsed="false">
      <c r="A398" s="4" t="s">
        <v>1569</v>
      </c>
      <c r="B398" s="4" t="str">
        <f aca="false">IF(AND(I398&gt;='Read Me &amp; Markers'!$B$18,J398&gt;='Read Me &amp; Markers'!$B$19,L398&gt;='Read Me &amp; Markers'!$B$20),"A. Proven winner",IF(AND(I398&gt;='Read Me &amp; Markers'!$B$18,J398&gt;='Read Me &amp; Markers'!$B$19,L398&gt;='Read Me &amp; Markers'!$B$21),"B. Strong performer",IF(AND(I398&gt;='Read Me &amp; Markers'!$B$22,L398&gt;='Read Me &amp; Markers'!$B$23),"C. Scale workhorse",IF(AND(I398&gt;='Read Me &amp; Markers'!$B$24,I398&lt;'Read Me &amp; Markers'!$B$18,J398&gt;='Read Me &amp; Markers'!$B$25,L398&gt;='Read Me &amp; Markers'!$B$26),"D. Promising (needs more spend)",""))))</f>
        <v/>
      </c>
      <c r="C398" s="4" t="s">
        <v>129</v>
      </c>
      <c r="D398" s="4" t="s">
        <v>100</v>
      </c>
      <c r="E398" s="4" t="s">
        <v>944</v>
      </c>
      <c r="F398" s="4" t="s">
        <v>87</v>
      </c>
      <c r="G398" s="4" t="s">
        <v>132</v>
      </c>
      <c r="H398" s="4" t="s">
        <v>1570</v>
      </c>
      <c r="I398" s="5" t="n">
        <v>72.16</v>
      </c>
      <c r="J398" s="7" t="n">
        <v>0</v>
      </c>
      <c r="K398" s="5" t="n">
        <v>0</v>
      </c>
      <c r="L398" s="8" t="n">
        <v>0</v>
      </c>
      <c r="M398" s="9" t="n">
        <v>0</v>
      </c>
      <c r="N398" s="10" t="n">
        <v>0.04417671</v>
      </c>
      <c r="O398" s="5" t="n">
        <v>144.9</v>
      </c>
      <c r="P398" s="11" t="n">
        <v>1.208738</v>
      </c>
      <c r="Q398" s="7" t="n">
        <v>498</v>
      </c>
      <c r="R398" s="7" t="n">
        <v>22</v>
      </c>
      <c r="S398" s="7" t="n">
        <v>0</v>
      </c>
      <c r="T398" s="7" t="n">
        <v>0</v>
      </c>
      <c r="U398" s="7" t="n">
        <v>349</v>
      </c>
      <c r="V398" s="7" t="n">
        <v>32</v>
      </c>
    </row>
    <row r="399" customFormat="false" ht="15" hidden="false" customHeight="false" outlineLevel="0" collapsed="false">
      <c r="A399" s="4" t="s">
        <v>1571</v>
      </c>
      <c r="B399" s="4" t="str">
        <f aca="false">IF(AND(I399&gt;='Read Me &amp; Markers'!$B$18,J399&gt;='Read Me &amp; Markers'!$B$19,L399&gt;='Read Me &amp; Markers'!$B$20),"A. Proven winner",IF(AND(I399&gt;='Read Me &amp; Markers'!$B$18,J399&gt;='Read Me &amp; Markers'!$B$19,L399&gt;='Read Me &amp; Markers'!$B$21),"B. Strong performer",IF(AND(I399&gt;='Read Me &amp; Markers'!$B$22,L399&gt;='Read Me &amp; Markers'!$B$23),"C. Scale workhorse",IF(AND(I399&gt;='Read Me &amp; Markers'!$B$24,I399&lt;'Read Me &amp; Markers'!$B$18,J399&gt;='Read Me &amp; Markers'!$B$25,L399&gt;='Read Me &amp; Markers'!$B$26),"D. Promising (needs more spend)",""))))</f>
        <v/>
      </c>
      <c r="C399" s="4" t="s">
        <v>1572</v>
      </c>
      <c r="D399" s="4" t="s">
        <v>109</v>
      </c>
      <c r="E399" s="4" t="s">
        <v>110</v>
      </c>
      <c r="F399" s="4" t="s">
        <v>87</v>
      </c>
      <c r="G399" s="4" t="s">
        <v>112</v>
      </c>
      <c r="H399" s="4" t="s">
        <v>1573</v>
      </c>
      <c r="I399" s="5" t="n">
        <v>72.02</v>
      </c>
      <c r="J399" s="7" t="n">
        <v>1</v>
      </c>
      <c r="K399" s="5" t="n">
        <v>79.97</v>
      </c>
      <c r="L399" s="8" t="n">
        <v>1.110386</v>
      </c>
      <c r="M399" s="9" t="n">
        <v>72.02</v>
      </c>
      <c r="N399" s="10" t="n">
        <v>0.02439024</v>
      </c>
      <c r="O399" s="5" t="n">
        <v>79.84</v>
      </c>
      <c r="P399" s="11" t="n">
        <v>1.438596</v>
      </c>
      <c r="Q399" s="7" t="n">
        <v>902</v>
      </c>
      <c r="R399" s="7" t="n">
        <v>22</v>
      </c>
      <c r="S399" s="7" t="n">
        <v>2</v>
      </c>
      <c r="T399" s="7" t="n">
        <v>2</v>
      </c>
      <c r="U399" s="7" t="n">
        <v>0</v>
      </c>
      <c r="V399" s="7" t="n">
        <v>0</v>
      </c>
    </row>
    <row r="400" customFormat="false" ht="15" hidden="false" customHeight="false" outlineLevel="0" collapsed="false">
      <c r="A400" s="4" t="s">
        <v>1574</v>
      </c>
      <c r="B400" s="4" t="str">
        <f aca="false">IF(AND(I400&gt;='Read Me &amp; Markers'!$B$18,J400&gt;='Read Me &amp; Markers'!$B$19,L400&gt;='Read Me &amp; Markers'!$B$20),"A. Proven winner",IF(AND(I400&gt;='Read Me &amp; Markers'!$B$18,J400&gt;='Read Me &amp; Markers'!$B$19,L400&gt;='Read Me &amp; Markers'!$B$21),"B. Strong performer",IF(AND(I400&gt;='Read Me &amp; Markers'!$B$22,L400&gt;='Read Me &amp; Markers'!$B$23),"C. Scale workhorse",IF(AND(I400&gt;='Read Me &amp; Markers'!$B$24,I400&lt;'Read Me &amp; Markers'!$B$18,J400&gt;='Read Me &amp; Markers'!$B$25,L400&gt;='Read Me &amp; Markers'!$B$26),"D. Promising (needs more spend)",""))))</f>
        <v/>
      </c>
      <c r="C400" s="4" t="s">
        <v>1575</v>
      </c>
      <c r="D400" s="4" t="s">
        <v>109</v>
      </c>
      <c r="E400" s="4" t="s">
        <v>1576</v>
      </c>
      <c r="F400" s="4" t="s">
        <v>87</v>
      </c>
      <c r="G400" s="4" t="s">
        <v>508</v>
      </c>
      <c r="H400" s="4" t="s">
        <v>1577</v>
      </c>
      <c r="I400" s="5" t="n">
        <v>71.82</v>
      </c>
      <c r="J400" s="7" t="n">
        <v>0</v>
      </c>
      <c r="K400" s="5" t="n">
        <v>0</v>
      </c>
      <c r="L400" s="8" t="n">
        <v>0</v>
      </c>
      <c r="M400" s="9" t="n">
        <v>0</v>
      </c>
      <c r="N400" s="10" t="n">
        <v>0.01728024</v>
      </c>
      <c r="O400" s="5" t="n">
        <v>53.96</v>
      </c>
      <c r="P400" s="11" t="n">
        <v>1.389353</v>
      </c>
      <c r="Q400" s="7" t="n">
        <v>1331</v>
      </c>
      <c r="R400" s="7" t="n">
        <v>23</v>
      </c>
      <c r="S400" s="7" t="n">
        <v>5</v>
      </c>
      <c r="T400" s="7" t="n">
        <v>0</v>
      </c>
      <c r="U400" s="7" t="n">
        <v>0</v>
      </c>
      <c r="V400" s="7" t="n">
        <v>0</v>
      </c>
    </row>
    <row r="401" customFormat="false" ht="15" hidden="false" customHeight="false" outlineLevel="0" collapsed="false">
      <c r="A401" s="4" t="s">
        <v>1578</v>
      </c>
      <c r="B401" s="4" t="str">
        <f aca="false">IF(AND(I401&gt;='Read Me &amp; Markers'!$B$18,J401&gt;='Read Me &amp; Markers'!$B$19,L401&gt;='Read Me &amp; Markers'!$B$20),"A. Proven winner",IF(AND(I401&gt;='Read Me &amp; Markers'!$B$18,J401&gt;='Read Me &amp; Markers'!$B$19,L401&gt;='Read Me &amp; Markers'!$B$21),"B. Strong performer",IF(AND(I401&gt;='Read Me &amp; Markers'!$B$22,L401&gt;='Read Me &amp; Markers'!$B$23),"C. Scale workhorse",IF(AND(I401&gt;='Read Me &amp; Markers'!$B$24,I401&lt;'Read Me &amp; Markers'!$B$18,J401&gt;='Read Me &amp; Markers'!$B$25,L401&gt;='Read Me &amp; Markers'!$B$26),"D. Promising (needs more spend)",""))))</f>
        <v/>
      </c>
      <c r="C401" s="4" t="s">
        <v>169</v>
      </c>
      <c r="D401" s="4" t="s">
        <v>100</v>
      </c>
      <c r="E401" s="4" t="s">
        <v>1579</v>
      </c>
      <c r="F401" s="4" t="s">
        <v>87</v>
      </c>
      <c r="G401" s="4" t="s">
        <v>254</v>
      </c>
      <c r="H401" s="4" t="s">
        <v>1580</v>
      </c>
      <c r="I401" s="5" t="n">
        <v>71.38</v>
      </c>
      <c r="J401" s="7" t="n">
        <v>1</v>
      </c>
      <c r="K401" s="5" t="n">
        <v>45.95</v>
      </c>
      <c r="L401" s="8" t="n">
        <v>0.643738</v>
      </c>
      <c r="M401" s="9" t="n">
        <v>71.38</v>
      </c>
      <c r="N401" s="10" t="n">
        <v>0.0397878</v>
      </c>
      <c r="O401" s="5" t="n">
        <v>94.67</v>
      </c>
      <c r="P401" s="11" t="n">
        <v>1.250415</v>
      </c>
      <c r="Q401" s="7" t="n">
        <v>754</v>
      </c>
      <c r="R401" s="7" t="n">
        <v>30</v>
      </c>
      <c r="S401" s="7" t="n">
        <v>2</v>
      </c>
      <c r="T401" s="7" t="n">
        <v>1</v>
      </c>
      <c r="U401" s="7" t="n">
        <v>687</v>
      </c>
      <c r="V401" s="7" t="n">
        <v>126</v>
      </c>
    </row>
    <row r="402" customFormat="false" ht="15" hidden="false" customHeight="false" outlineLevel="0" collapsed="false">
      <c r="A402" s="4" t="s">
        <v>1581</v>
      </c>
      <c r="B402" s="4" t="str">
        <f aca="false">IF(AND(I402&gt;='Read Me &amp; Markers'!$B$18,J402&gt;='Read Me &amp; Markers'!$B$19,L402&gt;='Read Me &amp; Markers'!$B$20),"A. Proven winner",IF(AND(I402&gt;='Read Me &amp; Markers'!$B$18,J402&gt;='Read Me &amp; Markers'!$B$19,L402&gt;='Read Me &amp; Markers'!$B$21),"B. Strong performer",IF(AND(I402&gt;='Read Me &amp; Markers'!$B$22,L402&gt;='Read Me &amp; Markers'!$B$23),"C. Scale workhorse",IF(AND(I402&gt;='Read Me &amp; Markers'!$B$24,I402&lt;'Read Me &amp; Markers'!$B$18,J402&gt;='Read Me &amp; Markers'!$B$25,L402&gt;='Read Me &amp; Markers'!$B$26),"D. Promising (needs more spend)",""))))</f>
        <v/>
      </c>
      <c r="C402" s="4" t="s">
        <v>121</v>
      </c>
      <c r="D402" s="4" t="s">
        <v>154</v>
      </c>
      <c r="E402" s="4" t="s">
        <v>1582</v>
      </c>
      <c r="F402" s="4" t="s">
        <v>87</v>
      </c>
      <c r="G402" s="4" t="s">
        <v>1583</v>
      </c>
      <c r="H402" s="4" t="s">
        <v>1584</v>
      </c>
      <c r="I402" s="5" t="n">
        <v>71.12</v>
      </c>
      <c r="J402" s="7" t="n">
        <v>0</v>
      </c>
      <c r="K402" s="5" t="n">
        <v>0</v>
      </c>
      <c r="L402" s="8" t="n">
        <v>0</v>
      </c>
      <c r="M402" s="9" t="n">
        <v>0</v>
      </c>
      <c r="N402" s="10" t="n">
        <v>0.07599309</v>
      </c>
      <c r="O402" s="5" t="n">
        <v>61.42</v>
      </c>
      <c r="P402" s="11" t="n">
        <v>1.162651</v>
      </c>
      <c r="Q402" s="7" t="n">
        <v>1158</v>
      </c>
      <c r="R402" s="7" t="n">
        <v>88</v>
      </c>
      <c r="S402" s="7" t="n">
        <v>10</v>
      </c>
      <c r="T402" s="7" t="n">
        <v>7</v>
      </c>
      <c r="U402" s="7" t="n">
        <v>1080</v>
      </c>
      <c r="V402" s="7" t="n">
        <v>170</v>
      </c>
    </row>
    <row r="403" customFormat="false" ht="15" hidden="false" customHeight="false" outlineLevel="0" collapsed="false">
      <c r="A403" s="4" t="s">
        <v>1585</v>
      </c>
      <c r="B403" s="4" t="str">
        <f aca="false">IF(AND(I403&gt;='Read Me &amp; Markers'!$B$18,J403&gt;='Read Me &amp; Markers'!$B$19,L403&gt;='Read Me &amp; Markers'!$B$20),"A. Proven winner",IF(AND(I403&gt;='Read Me &amp; Markers'!$B$18,J403&gt;='Read Me &amp; Markers'!$B$19,L403&gt;='Read Me &amp; Markers'!$B$21),"B. Strong performer",IF(AND(I403&gt;='Read Me &amp; Markers'!$B$22,L403&gt;='Read Me &amp; Markers'!$B$23),"C. Scale workhorse",IF(AND(I403&gt;='Read Me &amp; Markers'!$B$24,I403&lt;'Read Me &amp; Markers'!$B$18,J403&gt;='Read Me &amp; Markers'!$B$25,L403&gt;='Read Me &amp; Markers'!$B$26),"D. Promising (needs more spend)",""))))</f>
        <v/>
      </c>
      <c r="C403" s="4" t="s">
        <v>1586</v>
      </c>
      <c r="D403" s="4" t="s">
        <v>109</v>
      </c>
      <c r="E403" s="4" t="s">
        <v>1445</v>
      </c>
      <c r="F403" s="4" t="s">
        <v>172</v>
      </c>
      <c r="G403" s="4" t="s">
        <v>599</v>
      </c>
      <c r="H403" s="4" t="s">
        <v>1587</v>
      </c>
      <c r="I403" s="5" t="n">
        <v>71</v>
      </c>
      <c r="J403" s="7" t="n">
        <v>0</v>
      </c>
      <c r="K403" s="5" t="n">
        <v>0</v>
      </c>
      <c r="L403" s="8" t="n">
        <v>0</v>
      </c>
      <c r="M403" s="9" t="n">
        <v>0</v>
      </c>
      <c r="N403" s="10" t="n">
        <v>0.06020942</v>
      </c>
      <c r="O403" s="5" t="n">
        <v>185.86</v>
      </c>
      <c r="P403" s="11" t="n">
        <v>1.252459</v>
      </c>
      <c r="Q403" s="7" t="n">
        <v>382</v>
      </c>
      <c r="R403" s="7" t="n">
        <v>23</v>
      </c>
      <c r="S403" s="7" t="n">
        <v>0</v>
      </c>
      <c r="T403" s="7" t="n">
        <v>0</v>
      </c>
      <c r="U403" s="7" t="n">
        <v>346</v>
      </c>
      <c r="V403" s="7" t="n">
        <v>60</v>
      </c>
    </row>
    <row r="404" customFormat="false" ht="15" hidden="false" customHeight="false" outlineLevel="0" collapsed="false">
      <c r="A404" s="4" t="s">
        <v>1588</v>
      </c>
      <c r="B404" s="4" t="str">
        <f aca="false">IF(AND(I404&gt;='Read Me &amp; Markers'!$B$18,J404&gt;='Read Me &amp; Markers'!$B$19,L404&gt;='Read Me &amp; Markers'!$B$20),"A. Proven winner",IF(AND(I404&gt;='Read Me &amp; Markers'!$B$18,J404&gt;='Read Me &amp; Markers'!$B$19,L404&gt;='Read Me &amp; Markers'!$B$21),"B. Strong performer",IF(AND(I404&gt;='Read Me &amp; Markers'!$B$22,L404&gt;='Read Me &amp; Markers'!$B$23),"C. Scale workhorse",IF(AND(I404&gt;='Read Me &amp; Markers'!$B$24,I404&lt;'Read Me &amp; Markers'!$B$18,J404&gt;='Read Me &amp; Markers'!$B$25,L404&gt;='Read Me &amp; Markers'!$B$26),"D. Promising (needs more spend)",""))))</f>
        <v/>
      </c>
      <c r="C404" s="4" t="s">
        <v>1589</v>
      </c>
      <c r="D404" s="4" t="s">
        <v>109</v>
      </c>
      <c r="E404" s="4" t="s">
        <v>1590</v>
      </c>
      <c r="F404" s="4" t="s">
        <v>87</v>
      </c>
      <c r="G404" s="4" t="s">
        <v>599</v>
      </c>
      <c r="H404" s="4" t="s">
        <v>1591</v>
      </c>
      <c r="I404" s="5" t="n">
        <v>70.49</v>
      </c>
      <c r="J404" s="7" t="n">
        <v>0</v>
      </c>
      <c r="K404" s="5" t="n">
        <v>0</v>
      </c>
      <c r="L404" s="8" t="n">
        <v>0</v>
      </c>
      <c r="M404" s="9" t="n">
        <v>0</v>
      </c>
      <c r="N404" s="10" t="n">
        <v>0.01702128</v>
      </c>
      <c r="O404" s="5" t="n">
        <v>74.99</v>
      </c>
      <c r="P404" s="11" t="n">
        <v>1.405082</v>
      </c>
      <c r="Q404" s="7" t="n">
        <v>940</v>
      </c>
      <c r="R404" s="7" t="n">
        <v>16</v>
      </c>
      <c r="S404" s="7" t="n">
        <v>1</v>
      </c>
      <c r="T404" s="7" t="n">
        <v>3</v>
      </c>
      <c r="U404" s="7" t="n">
        <v>0</v>
      </c>
      <c r="V404" s="7" t="n">
        <v>0</v>
      </c>
    </row>
    <row r="405" customFormat="false" ht="15" hidden="false" customHeight="false" outlineLevel="0" collapsed="false">
      <c r="A405" s="4" t="s">
        <v>1592</v>
      </c>
      <c r="B405" s="4" t="str">
        <f aca="false">IF(AND(I405&gt;='Read Me &amp; Markers'!$B$18,J405&gt;='Read Me &amp; Markers'!$B$19,L405&gt;='Read Me &amp; Markers'!$B$20),"A. Proven winner",IF(AND(I405&gt;='Read Me &amp; Markers'!$B$18,J405&gt;='Read Me &amp; Markers'!$B$19,L405&gt;='Read Me &amp; Markers'!$B$21),"B. Strong performer",IF(AND(I405&gt;='Read Me &amp; Markers'!$B$22,L405&gt;='Read Me &amp; Markers'!$B$23),"C. Scale workhorse",IF(AND(I405&gt;='Read Me &amp; Markers'!$B$24,I405&lt;'Read Me &amp; Markers'!$B$18,J405&gt;='Read Me &amp; Markers'!$B$25,L405&gt;='Read Me &amp; Markers'!$B$26),"D. Promising (needs more spend)",""))))</f>
        <v/>
      </c>
      <c r="C405" s="4" t="s">
        <v>169</v>
      </c>
      <c r="D405" s="4" t="s">
        <v>206</v>
      </c>
      <c r="E405" s="4" t="s">
        <v>1593</v>
      </c>
      <c r="F405" s="4" t="s">
        <v>253</v>
      </c>
      <c r="G405" s="4" t="s">
        <v>254</v>
      </c>
      <c r="H405" s="4" t="s">
        <v>1594</v>
      </c>
      <c r="I405" s="5" t="n">
        <v>69.74</v>
      </c>
      <c r="J405" s="7" t="n">
        <v>1</v>
      </c>
      <c r="K405" s="5" t="n">
        <v>84.77</v>
      </c>
      <c r="L405" s="8" t="n">
        <v>1.215515</v>
      </c>
      <c r="M405" s="9" t="n">
        <v>69.74</v>
      </c>
      <c r="N405" s="10" t="n">
        <v>0.03425775</v>
      </c>
      <c r="O405" s="5" t="n">
        <v>113.77</v>
      </c>
      <c r="P405" s="11" t="n">
        <v>1.21627</v>
      </c>
      <c r="Q405" s="7" t="n">
        <v>613</v>
      </c>
      <c r="R405" s="7" t="n">
        <v>21</v>
      </c>
      <c r="S405" s="7" t="n">
        <v>4</v>
      </c>
      <c r="T405" s="7" t="n">
        <v>2</v>
      </c>
      <c r="U405" s="7" t="n">
        <v>505</v>
      </c>
      <c r="V405" s="7" t="n">
        <v>59</v>
      </c>
    </row>
    <row r="406" customFormat="false" ht="15" hidden="false" customHeight="false" outlineLevel="0" collapsed="false">
      <c r="A406" s="4" t="s">
        <v>1595</v>
      </c>
      <c r="B406" s="4" t="str">
        <f aca="false">IF(AND(I406&gt;='Read Me &amp; Markers'!$B$18,J406&gt;='Read Me &amp; Markers'!$B$19,L406&gt;='Read Me &amp; Markers'!$B$20),"A. Proven winner",IF(AND(I406&gt;='Read Me &amp; Markers'!$B$18,J406&gt;='Read Me &amp; Markers'!$B$19,L406&gt;='Read Me &amp; Markers'!$B$21),"B. Strong performer",IF(AND(I406&gt;='Read Me &amp; Markers'!$B$22,L406&gt;='Read Me &amp; Markers'!$B$23),"C. Scale workhorse",IF(AND(I406&gt;='Read Me &amp; Markers'!$B$24,I406&lt;'Read Me &amp; Markers'!$B$18,J406&gt;='Read Me &amp; Markers'!$B$25,L406&gt;='Read Me &amp; Markers'!$B$26),"D. Promising (needs more spend)",""))))</f>
        <v/>
      </c>
      <c r="C406" s="4" t="s">
        <v>1596</v>
      </c>
      <c r="D406" s="4" t="s">
        <v>109</v>
      </c>
      <c r="E406" s="4" t="s">
        <v>914</v>
      </c>
      <c r="F406" s="4" t="s">
        <v>87</v>
      </c>
      <c r="G406" s="4" t="s">
        <v>508</v>
      </c>
      <c r="H406" s="4" t="s">
        <v>1597</v>
      </c>
      <c r="I406" s="5" t="n">
        <v>69.69</v>
      </c>
      <c r="J406" s="7" t="n">
        <v>1</v>
      </c>
      <c r="K406" s="5" t="n">
        <v>84.77</v>
      </c>
      <c r="L406" s="8" t="n">
        <v>1.216387</v>
      </c>
      <c r="M406" s="9" t="n">
        <v>69.69</v>
      </c>
      <c r="N406" s="10" t="n">
        <v>0.10160428</v>
      </c>
      <c r="O406" s="5" t="n">
        <v>186.34</v>
      </c>
      <c r="P406" s="11" t="n">
        <v>1.154321</v>
      </c>
      <c r="Q406" s="7" t="n">
        <v>374</v>
      </c>
      <c r="R406" s="7" t="n">
        <v>38</v>
      </c>
      <c r="S406" s="7" t="n">
        <v>0</v>
      </c>
      <c r="T406" s="7" t="n">
        <v>2</v>
      </c>
      <c r="U406" s="7" t="n">
        <v>339</v>
      </c>
      <c r="V406" s="7" t="n">
        <v>79</v>
      </c>
    </row>
    <row r="407" customFormat="false" ht="15" hidden="false" customHeight="false" outlineLevel="0" collapsed="false">
      <c r="A407" s="4" t="s">
        <v>1598</v>
      </c>
      <c r="B407" s="4" t="str">
        <f aca="false">IF(AND(I407&gt;='Read Me &amp; Markers'!$B$18,J407&gt;='Read Me &amp; Markers'!$B$19,L407&gt;='Read Me &amp; Markers'!$B$20),"A. Proven winner",IF(AND(I407&gt;='Read Me &amp; Markers'!$B$18,J407&gt;='Read Me &amp; Markers'!$B$19,L407&gt;='Read Me &amp; Markers'!$B$21),"B. Strong performer",IF(AND(I407&gt;='Read Me &amp; Markers'!$B$22,L407&gt;='Read Me &amp; Markers'!$B$23),"C. Scale workhorse",IF(AND(I407&gt;='Read Me &amp; Markers'!$B$24,I407&lt;'Read Me &amp; Markers'!$B$18,J407&gt;='Read Me &amp; Markers'!$B$25,L407&gt;='Read Me &amp; Markers'!$B$26),"D. Promising (needs more spend)",""))))</f>
        <v/>
      </c>
      <c r="C407" s="4" t="s">
        <v>1599</v>
      </c>
      <c r="D407" s="4" t="s">
        <v>109</v>
      </c>
      <c r="E407" s="4" t="s">
        <v>1224</v>
      </c>
      <c r="F407" s="4" t="s">
        <v>87</v>
      </c>
      <c r="G407" s="4" t="s">
        <v>508</v>
      </c>
      <c r="H407" s="4" t="s">
        <v>1600</v>
      </c>
      <c r="I407" s="5" t="n">
        <v>68.8</v>
      </c>
      <c r="J407" s="7" t="n">
        <v>0</v>
      </c>
      <c r="K407" s="5" t="n">
        <v>0</v>
      </c>
      <c r="L407" s="8" t="n">
        <v>0</v>
      </c>
      <c r="M407" s="9" t="n">
        <v>0</v>
      </c>
      <c r="N407" s="10" t="n">
        <v>0.10684932</v>
      </c>
      <c r="O407" s="5" t="n">
        <v>188.49</v>
      </c>
      <c r="P407" s="11" t="n">
        <v>1.092814</v>
      </c>
      <c r="Q407" s="7" t="n">
        <v>365</v>
      </c>
      <c r="R407" s="7" t="n">
        <v>39</v>
      </c>
      <c r="S407" s="7" t="n">
        <v>0</v>
      </c>
      <c r="T407" s="7" t="n">
        <v>0</v>
      </c>
      <c r="U407" s="7" t="n">
        <v>330</v>
      </c>
      <c r="V407" s="7" t="n">
        <v>70</v>
      </c>
    </row>
    <row r="408" customFormat="false" ht="15" hidden="false" customHeight="false" outlineLevel="0" collapsed="false">
      <c r="A408" s="4" t="s">
        <v>1601</v>
      </c>
      <c r="B408" s="4" t="str">
        <f aca="false">IF(AND(I408&gt;='Read Me &amp; Markers'!$B$18,J408&gt;='Read Me &amp; Markers'!$B$19,L408&gt;='Read Me &amp; Markers'!$B$20),"A. Proven winner",IF(AND(I408&gt;='Read Me &amp; Markers'!$B$18,J408&gt;='Read Me &amp; Markers'!$B$19,L408&gt;='Read Me &amp; Markers'!$B$21),"B. Strong performer",IF(AND(I408&gt;='Read Me &amp; Markers'!$B$22,L408&gt;='Read Me &amp; Markers'!$B$23),"C. Scale workhorse",IF(AND(I408&gt;='Read Me &amp; Markers'!$B$24,I408&lt;'Read Me &amp; Markers'!$B$18,J408&gt;='Read Me &amp; Markers'!$B$25,L408&gt;='Read Me &amp; Markers'!$B$26),"D. Promising (needs more spend)",""))))</f>
        <v/>
      </c>
      <c r="C408" s="4" t="s">
        <v>1602</v>
      </c>
      <c r="D408" s="4" t="s">
        <v>109</v>
      </c>
      <c r="E408" s="4" t="s">
        <v>888</v>
      </c>
      <c r="F408" s="4" t="s">
        <v>172</v>
      </c>
      <c r="G408" s="4" t="s">
        <v>317</v>
      </c>
      <c r="H408" s="4" t="s">
        <v>1603</v>
      </c>
      <c r="I408" s="5" t="n">
        <v>68.34</v>
      </c>
      <c r="J408" s="7" t="n">
        <v>1</v>
      </c>
      <c r="K408" s="5" t="n">
        <v>79.97</v>
      </c>
      <c r="L408" s="8" t="n">
        <v>1.170179</v>
      </c>
      <c r="M408" s="9" t="n">
        <v>68.34</v>
      </c>
      <c r="N408" s="10" t="n">
        <v>0.05831533</v>
      </c>
      <c r="O408" s="5" t="n">
        <v>147.6</v>
      </c>
      <c r="P408" s="11" t="n">
        <v>1.196382</v>
      </c>
      <c r="Q408" s="7" t="n">
        <v>463</v>
      </c>
      <c r="R408" s="7" t="n">
        <v>27</v>
      </c>
      <c r="S408" s="7" t="n">
        <v>2</v>
      </c>
      <c r="T408" s="7" t="n">
        <v>3</v>
      </c>
      <c r="U408" s="7" t="n">
        <v>397</v>
      </c>
      <c r="V408" s="7" t="n">
        <v>60</v>
      </c>
    </row>
    <row r="409" customFormat="false" ht="15" hidden="false" customHeight="false" outlineLevel="0" collapsed="false">
      <c r="A409" s="4" t="s">
        <v>1604</v>
      </c>
      <c r="B409" s="4" t="str">
        <f aca="false">IF(AND(I409&gt;='Read Me &amp; Markers'!$B$18,J409&gt;='Read Me &amp; Markers'!$B$19,L409&gt;='Read Me &amp; Markers'!$B$20),"A. Proven winner",IF(AND(I409&gt;='Read Me &amp; Markers'!$B$18,J409&gt;='Read Me &amp; Markers'!$B$19,L409&gt;='Read Me &amp; Markers'!$B$21),"B. Strong performer",IF(AND(I409&gt;='Read Me &amp; Markers'!$B$22,L409&gt;='Read Me &amp; Markers'!$B$23),"C. Scale workhorse",IF(AND(I409&gt;='Read Me &amp; Markers'!$B$24,I409&lt;'Read Me &amp; Markers'!$B$18,J409&gt;='Read Me &amp; Markers'!$B$25,L409&gt;='Read Me &amp; Markers'!$B$26),"D. Promising (needs more spend)",""))))</f>
        <v/>
      </c>
      <c r="C409" s="4" t="s">
        <v>1605</v>
      </c>
      <c r="D409" s="4" t="s">
        <v>109</v>
      </c>
      <c r="E409" s="4" t="s">
        <v>1606</v>
      </c>
      <c r="F409" s="4" t="s">
        <v>87</v>
      </c>
      <c r="G409" s="4" t="s">
        <v>583</v>
      </c>
      <c r="H409" s="4" t="s">
        <v>1607</v>
      </c>
      <c r="I409" s="5" t="n">
        <v>68.1</v>
      </c>
      <c r="J409" s="7" t="n">
        <v>0</v>
      </c>
      <c r="K409" s="5" t="n">
        <v>0</v>
      </c>
      <c r="L409" s="8" t="n">
        <v>0</v>
      </c>
      <c r="M409" s="9" t="n">
        <v>0</v>
      </c>
      <c r="N409" s="10" t="n">
        <v>0.06997085</v>
      </c>
      <c r="O409" s="5" t="n">
        <v>198.54</v>
      </c>
      <c r="P409" s="11" t="n">
        <v>1.689655</v>
      </c>
      <c r="Q409" s="7" t="n">
        <v>343</v>
      </c>
      <c r="R409" s="7" t="n">
        <v>24</v>
      </c>
      <c r="S409" s="7" t="n">
        <v>4</v>
      </c>
      <c r="T409" s="7" t="n">
        <v>4</v>
      </c>
      <c r="U409" s="7" t="n">
        <v>325</v>
      </c>
      <c r="V409" s="7" t="n">
        <v>103</v>
      </c>
    </row>
    <row r="410" customFormat="false" ht="15" hidden="false" customHeight="false" outlineLevel="0" collapsed="false">
      <c r="A410" s="4" t="s">
        <v>1608</v>
      </c>
      <c r="B410" s="4" t="str">
        <f aca="false">IF(AND(I410&gt;='Read Me &amp; Markers'!$B$18,J410&gt;='Read Me &amp; Markers'!$B$19,L410&gt;='Read Me &amp; Markers'!$B$20),"A. Proven winner",IF(AND(I410&gt;='Read Me &amp; Markers'!$B$18,J410&gt;='Read Me &amp; Markers'!$B$19,L410&gt;='Read Me &amp; Markers'!$B$21),"B. Strong performer",IF(AND(I410&gt;='Read Me &amp; Markers'!$B$22,L410&gt;='Read Me &amp; Markers'!$B$23),"C. Scale workhorse",IF(AND(I410&gt;='Read Me &amp; Markers'!$B$24,I410&lt;'Read Me &amp; Markers'!$B$18,J410&gt;='Read Me &amp; Markers'!$B$25,L410&gt;='Read Me &amp; Markers'!$B$26),"D. Promising (needs more spend)",""))))</f>
        <v/>
      </c>
      <c r="C410" s="4" t="s">
        <v>1609</v>
      </c>
      <c r="D410" s="4" t="s">
        <v>100</v>
      </c>
      <c r="E410" s="4" t="s">
        <v>1610</v>
      </c>
      <c r="F410" s="4" t="s">
        <v>87</v>
      </c>
      <c r="G410" s="4" t="s">
        <v>310</v>
      </c>
      <c r="H410" s="4" t="s">
        <v>1611</v>
      </c>
      <c r="I410" s="5" t="n">
        <v>68.09</v>
      </c>
      <c r="J410" s="7" t="n">
        <v>1</v>
      </c>
      <c r="K410" s="5" t="n">
        <v>84.76</v>
      </c>
      <c r="L410" s="8" t="n">
        <v>1.244823</v>
      </c>
      <c r="M410" s="9" t="n">
        <v>68.09</v>
      </c>
      <c r="N410" s="10" t="n">
        <v>0.04004577</v>
      </c>
      <c r="O410" s="5" t="n">
        <v>77.91</v>
      </c>
      <c r="P410" s="11" t="n">
        <v>1.159151</v>
      </c>
      <c r="Q410" s="7" t="n">
        <v>874</v>
      </c>
      <c r="R410" s="7" t="n">
        <v>35</v>
      </c>
      <c r="S410" s="7" t="n">
        <v>8</v>
      </c>
      <c r="T410" s="7" t="n">
        <v>12</v>
      </c>
      <c r="U410" s="7" t="n">
        <v>818</v>
      </c>
      <c r="V410" s="7" t="n">
        <v>131</v>
      </c>
    </row>
    <row r="411" customFormat="false" ht="15" hidden="false" customHeight="false" outlineLevel="0" collapsed="false">
      <c r="A411" s="4" t="s">
        <v>1612</v>
      </c>
      <c r="B411" s="4" t="str">
        <f aca="false">IF(AND(I411&gt;='Read Me &amp; Markers'!$B$18,J411&gt;='Read Me &amp; Markers'!$B$19,L411&gt;='Read Me &amp; Markers'!$B$20),"A. Proven winner",IF(AND(I411&gt;='Read Me &amp; Markers'!$B$18,J411&gt;='Read Me &amp; Markers'!$B$19,L411&gt;='Read Me &amp; Markers'!$B$21),"B. Strong performer",IF(AND(I411&gt;='Read Me &amp; Markers'!$B$22,L411&gt;='Read Me &amp; Markers'!$B$23),"C. Scale workhorse",IF(AND(I411&gt;='Read Me &amp; Markers'!$B$24,I411&lt;'Read Me &amp; Markers'!$B$18,J411&gt;='Read Me &amp; Markers'!$B$25,L411&gt;='Read Me &amp; Markers'!$B$26),"D. Promising (needs more spend)",""))))</f>
        <v/>
      </c>
      <c r="C411" s="4" t="s">
        <v>169</v>
      </c>
      <c r="D411" s="4" t="s">
        <v>206</v>
      </c>
      <c r="E411" s="4" t="s">
        <v>1613</v>
      </c>
      <c r="F411" s="4" t="s">
        <v>253</v>
      </c>
      <c r="G411" s="4" t="s">
        <v>132</v>
      </c>
      <c r="H411" s="4" t="s">
        <v>1614</v>
      </c>
      <c r="I411" s="5" t="n">
        <v>68</v>
      </c>
      <c r="J411" s="7" t="n">
        <v>0</v>
      </c>
      <c r="K411" s="5" t="n">
        <v>0</v>
      </c>
      <c r="L411" s="8" t="n">
        <v>0</v>
      </c>
      <c r="M411" s="9" t="n">
        <v>0</v>
      </c>
      <c r="N411" s="10" t="n">
        <v>0.03007519</v>
      </c>
      <c r="O411" s="5" t="n">
        <v>73.04</v>
      </c>
      <c r="P411" s="11" t="n">
        <v>1.275342</v>
      </c>
      <c r="Q411" s="7" t="n">
        <v>931</v>
      </c>
      <c r="R411" s="7" t="n">
        <v>28</v>
      </c>
      <c r="S411" s="7" t="n">
        <v>3</v>
      </c>
      <c r="T411" s="7" t="n">
        <v>2</v>
      </c>
      <c r="U411" s="7" t="n">
        <v>641</v>
      </c>
      <c r="V411" s="7" t="n">
        <v>28</v>
      </c>
    </row>
    <row r="412" customFormat="false" ht="15" hidden="false" customHeight="false" outlineLevel="0" collapsed="false">
      <c r="A412" s="4" t="s">
        <v>1615</v>
      </c>
      <c r="B412" s="4" t="str">
        <f aca="false">IF(AND(I412&gt;='Read Me &amp; Markers'!$B$18,J412&gt;='Read Me &amp; Markers'!$B$19,L412&gt;='Read Me &amp; Markers'!$B$20),"A. Proven winner",IF(AND(I412&gt;='Read Me &amp; Markers'!$B$18,J412&gt;='Read Me &amp; Markers'!$B$19,L412&gt;='Read Me &amp; Markers'!$B$21),"B. Strong performer",IF(AND(I412&gt;='Read Me &amp; Markers'!$B$22,L412&gt;='Read Me &amp; Markers'!$B$23),"C. Scale workhorse",IF(AND(I412&gt;='Read Me &amp; Markers'!$B$24,I412&lt;'Read Me &amp; Markers'!$B$18,J412&gt;='Read Me &amp; Markers'!$B$25,L412&gt;='Read Me &amp; Markers'!$B$26),"D. Promising (needs more spend)",""))))</f>
        <v/>
      </c>
      <c r="C412" s="4" t="s">
        <v>1616</v>
      </c>
      <c r="D412" s="4" t="s">
        <v>109</v>
      </c>
      <c r="E412" s="4" t="s">
        <v>1100</v>
      </c>
      <c r="F412" s="4" t="s">
        <v>87</v>
      </c>
      <c r="G412" s="4" t="s">
        <v>588</v>
      </c>
      <c r="H412" s="4" t="s">
        <v>1617</v>
      </c>
      <c r="I412" s="5" t="n">
        <v>67.1</v>
      </c>
      <c r="J412" s="7" t="n">
        <v>0</v>
      </c>
      <c r="K412" s="5" t="n">
        <v>0</v>
      </c>
      <c r="L412" s="8" t="n">
        <v>0</v>
      </c>
      <c r="M412" s="9" t="n">
        <v>0</v>
      </c>
      <c r="N412" s="10" t="n">
        <v>0.03601695</v>
      </c>
      <c r="O412" s="5" t="n">
        <v>142.16</v>
      </c>
      <c r="P412" s="11" t="n">
        <v>1.18593</v>
      </c>
      <c r="Q412" s="7" t="n">
        <v>472</v>
      </c>
      <c r="R412" s="7" t="n">
        <v>17</v>
      </c>
      <c r="S412" s="7" t="n">
        <v>0</v>
      </c>
      <c r="T412" s="7" t="n">
        <v>0</v>
      </c>
      <c r="U412" s="7" t="n">
        <v>343</v>
      </c>
      <c r="V412" s="7" t="n">
        <v>53</v>
      </c>
    </row>
    <row r="413" customFormat="false" ht="15" hidden="false" customHeight="false" outlineLevel="0" collapsed="false">
      <c r="A413" s="4" t="s">
        <v>1618</v>
      </c>
      <c r="B413" s="4" t="str">
        <f aca="false">IF(AND(I413&gt;='Read Me &amp; Markers'!$B$18,J413&gt;='Read Me &amp; Markers'!$B$19,L413&gt;='Read Me &amp; Markers'!$B$20),"A. Proven winner",IF(AND(I413&gt;='Read Me &amp; Markers'!$B$18,J413&gt;='Read Me &amp; Markers'!$B$19,L413&gt;='Read Me &amp; Markers'!$B$21),"B. Strong performer",IF(AND(I413&gt;='Read Me &amp; Markers'!$B$22,L413&gt;='Read Me &amp; Markers'!$B$23),"C. Scale workhorse",IF(AND(I413&gt;='Read Me &amp; Markers'!$B$24,I413&lt;'Read Me &amp; Markers'!$B$18,J413&gt;='Read Me &amp; Markers'!$B$25,L413&gt;='Read Me &amp; Markers'!$B$26),"D. Promising (needs more spend)",""))))</f>
        <v/>
      </c>
      <c r="C413" s="4" t="s">
        <v>1619</v>
      </c>
      <c r="D413" s="4" t="s">
        <v>528</v>
      </c>
      <c r="E413" s="4" t="s">
        <v>1620</v>
      </c>
      <c r="F413" s="4" t="s">
        <v>230</v>
      </c>
      <c r="G413" s="4" t="s">
        <v>378</v>
      </c>
      <c r="H413" s="4" t="s">
        <v>1621</v>
      </c>
      <c r="I413" s="5" t="n">
        <v>65.7</v>
      </c>
      <c r="J413" s="7" t="n">
        <v>1</v>
      </c>
      <c r="K413" s="5" t="n">
        <v>39.98</v>
      </c>
      <c r="L413" s="8" t="n">
        <v>0.608524</v>
      </c>
      <c r="M413" s="9" t="n">
        <v>65.7</v>
      </c>
      <c r="N413" s="10" t="n">
        <v>0.1280654</v>
      </c>
      <c r="O413" s="5" t="n">
        <v>179.02</v>
      </c>
      <c r="P413" s="11" t="n">
        <v>1.051576</v>
      </c>
      <c r="Q413" s="7" t="n">
        <v>367</v>
      </c>
      <c r="R413" s="7" t="n">
        <v>47</v>
      </c>
      <c r="S413" s="7" t="n">
        <v>5</v>
      </c>
      <c r="T413" s="7" t="n">
        <v>5</v>
      </c>
      <c r="U413" s="7" t="n">
        <v>312</v>
      </c>
      <c r="V413" s="7" t="n">
        <v>77</v>
      </c>
    </row>
    <row r="414" customFormat="false" ht="15" hidden="false" customHeight="false" outlineLevel="0" collapsed="false">
      <c r="A414" s="4" t="s">
        <v>1622</v>
      </c>
      <c r="B414" s="4" t="str">
        <f aca="false">IF(AND(I414&gt;='Read Me &amp; Markers'!$B$18,J414&gt;='Read Me &amp; Markers'!$B$19,L414&gt;='Read Me &amp; Markers'!$B$20),"A. Proven winner",IF(AND(I414&gt;='Read Me &amp; Markers'!$B$18,J414&gt;='Read Me &amp; Markers'!$B$19,L414&gt;='Read Me &amp; Markers'!$B$21),"B. Strong performer",IF(AND(I414&gt;='Read Me &amp; Markers'!$B$22,L414&gt;='Read Me &amp; Markers'!$B$23),"C. Scale workhorse",IF(AND(I414&gt;='Read Me &amp; Markers'!$B$24,I414&lt;'Read Me &amp; Markers'!$B$18,J414&gt;='Read Me &amp; Markers'!$B$25,L414&gt;='Read Me &amp; Markers'!$B$26),"D. Promising (needs more spend)",""))))</f>
        <v/>
      </c>
      <c r="C414" s="4" t="s">
        <v>1623</v>
      </c>
      <c r="D414" s="4" t="s">
        <v>100</v>
      </c>
      <c r="E414" s="4" t="s">
        <v>1511</v>
      </c>
      <c r="F414" s="4" t="s">
        <v>87</v>
      </c>
      <c r="G414" s="4" t="s">
        <v>348</v>
      </c>
      <c r="H414" s="4" t="s">
        <v>1624</v>
      </c>
      <c r="I414" s="5" t="n">
        <v>65.14</v>
      </c>
      <c r="J414" s="7" t="n">
        <v>1</v>
      </c>
      <c r="K414" s="5" t="n">
        <v>35.96</v>
      </c>
      <c r="L414" s="8" t="n">
        <v>0.552042</v>
      </c>
      <c r="M414" s="9" t="n">
        <v>65.14</v>
      </c>
      <c r="N414" s="10" t="n">
        <v>0.04</v>
      </c>
      <c r="O414" s="5" t="n">
        <v>113.29</v>
      </c>
      <c r="P414" s="11" t="n">
        <v>1.105769</v>
      </c>
      <c r="Q414" s="7" t="n">
        <v>575</v>
      </c>
      <c r="R414" s="7" t="n">
        <v>23</v>
      </c>
      <c r="S414" s="7" t="n">
        <v>4</v>
      </c>
      <c r="T414" s="7" t="n">
        <v>5</v>
      </c>
      <c r="U414" s="7" t="n">
        <v>545</v>
      </c>
      <c r="V414" s="7" t="n">
        <v>76</v>
      </c>
    </row>
    <row r="415" customFormat="false" ht="15" hidden="false" customHeight="false" outlineLevel="0" collapsed="false">
      <c r="A415" s="4" t="s">
        <v>1625</v>
      </c>
      <c r="B415" s="4" t="str">
        <f aca="false">IF(AND(I415&gt;='Read Me &amp; Markers'!$B$18,J415&gt;='Read Me &amp; Markers'!$B$19,L415&gt;='Read Me &amp; Markers'!$B$20),"A. Proven winner",IF(AND(I415&gt;='Read Me &amp; Markers'!$B$18,J415&gt;='Read Me &amp; Markers'!$B$19,L415&gt;='Read Me &amp; Markers'!$B$21),"B. Strong performer",IF(AND(I415&gt;='Read Me &amp; Markers'!$B$22,L415&gt;='Read Me &amp; Markers'!$B$23),"C. Scale workhorse",IF(AND(I415&gt;='Read Me &amp; Markers'!$B$24,I415&lt;'Read Me &amp; Markers'!$B$18,J415&gt;='Read Me &amp; Markers'!$B$25,L415&gt;='Read Me &amp; Markers'!$B$26),"D. Promising (needs more spend)",""))))</f>
        <v/>
      </c>
      <c r="C415" s="4" t="s">
        <v>169</v>
      </c>
      <c r="D415" s="4" t="s">
        <v>100</v>
      </c>
      <c r="E415" s="4" t="s">
        <v>947</v>
      </c>
      <c r="F415" s="4" t="s">
        <v>87</v>
      </c>
      <c r="G415" s="4" t="s">
        <v>142</v>
      </c>
      <c r="H415" s="4" t="s">
        <v>1626</v>
      </c>
      <c r="I415" s="5" t="n">
        <v>64.7</v>
      </c>
      <c r="J415" s="7" t="n">
        <v>1</v>
      </c>
      <c r="K415" s="5" t="n">
        <v>106.21</v>
      </c>
      <c r="L415" s="8" t="n">
        <v>1.641577</v>
      </c>
      <c r="M415" s="9" t="n">
        <v>64.7</v>
      </c>
      <c r="N415" s="10" t="n">
        <v>0.01742919</v>
      </c>
      <c r="O415" s="5" t="n">
        <v>70.48</v>
      </c>
      <c r="P415" s="11" t="n">
        <v>1.224</v>
      </c>
      <c r="Q415" s="7" t="n">
        <v>918</v>
      </c>
      <c r="R415" s="7" t="n">
        <v>16</v>
      </c>
      <c r="S415" s="7" t="n">
        <v>1</v>
      </c>
      <c r="T415" s="7" t="n">
        <v>1</v>
      </c>
      <c r="U415" s="7" t="n">
        <v>704</v>
      </c>
      <c r="V415" s="7" t="n">
        <v>136</v>
      </c>
    </row>
    <row r="416" customFormat="false" ht="15" hidden="false" customHeight="false" outlineLevel="0" collapsed="false">
      <c r="A416" s="4" t="s">
        <v>1627</v>
      </c>
      <c r="B416" s="4" t="str">
        <f aca="false">IF(AND(I416&gt;='Read Me &amp; Markers'!$B$18,J416&gt;='Read Me &amp; Markers'!$B$19,L416&gt;='Read Me &amp; Markers'!$B$20),"A. Proven winner",IF(AND(I416&gt;='Read Me &amp; Markers'!$B$18,J416&gt;='Read Me &amp; Markers'!$B$19,L416&gt;='Read Me &amp; Markers'!$B$21),"B. Strong performer",IF(AND(I416&gt;='Read Me &amp; Markers'!$B$22,L416&gt;='Read Me &amp; Markers'!$B$23),"C. Scale workhorse",IF(AND(I416&gt;='Read Me &amp; Markers'!$B$24,I416&lt;'Read Me &amp; Markers'!$B$18,J416&gt;='Read Me &amp; Markers'!$B$25,L416&gt;='Read Me &amp; Markers'!$B$26),"D. Promising (needs more spend)",""))))</f>
        <v/>
      </c>
      <c r="C416" s="4" t="s">
        <v>169</v>
      </c>
      <c r="D416" s="4" t="s">
        <v>100</v>
      </c>
      <c r="E416" s="4" t="s">
        <v>830</v>
      </c>
      <c r="F416" s="4" t="s">
        <v>87</v>
      </c>
      <c r="G416" s="4" t="s">
        <v>538</v>
      </c>
      <c r="H416" s="4" t="s">
        <v>1628</v>
      </c>
      <c r="I416" s="5" t="n">
        <v>64.66</v>
      </c>
      <c r="J416" s="7" t="n">
        <v>1</v>
      </c>
      <c r="K416" s="5" t="n">
        <v>35.96</v>
      </c>
      <c r="L416" s="8" t="n">
        <v>0.55614</v>
      </c>
      <c r="M416" s="9" t="n">
        <v>64.66</v>
      </c>
      <c r="N416" s="10" t="n">
        <v>0.06878307</v>
      </c>
      <c r="O416" s="5" t="n">
        <v>114.04</v>
      </c>
      <c r="P416" s="11" t="n">
        <v>1.147773</v>
      </c>
      <c r="Q416" s="7" t="n">
        <v>567</v>
      </c>
      <c r="R416" s="7" t="n">
        <v>39</v>
      </c>
      <c r="S416" s="7" t="n">
        <v>4</v>
      </c>
      <c r="T416" s="7" t="n">
        <v>2</v>
      </c>
      <c r="U416" s="7" t="n">
        <v>511</v>
      </c>
      <c r="V416" s="7" t="n">
        <v>158</v>
      </c>
    </row>
    <row r="417" customFormat="false" ht="15" hidden="false" customHeight="false" outlineLevel="0" collapsed="false">
      <c r="A417" s="4" t="s">
        <v>1629</v>
      </c>
      <c r="B417" s="4" t="str">
        <f aca="false">IF(AND(I417&gt;='Read Me &amp; Markers'!$B$18,J417&gt;='Read Me &amp; Markers'!$B$19,L417&gt;='Read Me &amp; Markers'!$B$20),"A. Proven winner",IF(AND(I417&gt;='Read Me &amp; Markers'!$B$18,J417&gt;='Read Me &amp; Markers'!$B$19,L417&gt;='Read Me &amp; Markers'!$B$21),"B. Strong performer",IF(AND(I417&gt;='Read Me &amp; Markers'!$B$22,L417&gt;='Read Me &amp; Markers'!$B$23),"C. Scale workhorse",IF(AND(I417&gt;='Read Me &amp; Markers'!$B$24,I417&lt;'Read Me &amp; Markers'!$B$18,J417&gt;='Read Me &amp; Markers'!$B$25,L417&gt;='Read Me &amp; Markers'!$B$26),"D. Promising (needs more spend)",""))))</f>
        <v/>
      </c>
      <c r="C417" s="4" t="s">
        <v>169</v>
      </c>
      <c r="D417" s="4" t="s">
        <v>100</v>
      </c>
      <c r="E417" s="4" t="s">
        <v>757</v>
      </c>
      <c r="F417" s="4" t="s">
        <v>87</v>
      </c>
      <c r="G417" s="4" t="s">
        <v>342</v>
      </c>
      <c r="H417" s="4" t="s">
        <v>1630</v>
      </c>
      <c r="I417" s="5" t="n">
        <v>64.41</v>
      </c>
      <c r="J417" s="7" t="n">
        <v>0</v>
      </c>
      <c r="K417" s="5" t="n">
        <v>0</v>
      </c>
      <c r="L417" s="8" t="n">
        <v>0</v>
      </c>
      <c r="M417" s="9" t="n">
        <v>0</v>
      </c>
      <c r="N417" s="10" t="n">
        <v>0.06053812</v>
      </c>
      <c r="O417" s="5" t="n">
        <v>144.42</v>
      </c>
      <c r="P417" s="11" t="n">
        <v>1.013636</v>
      </c>
      <c r="Q417" s="7" t="n">
        <v>446</v>
      </c>
      <c r="R417" s="7" t="n">
        <v>27</v>
      </c>
      <c r="S417" s="7" t="n">
        <v>0</v>
      </c>
      <c r="T417" s="7" t="n">
        <v>0</v>
      </c>
      <c r="U417" s="7" t="n">
        <v>402</v>
      </c>
      <c r="V417" s="7" t="n">
        <v>108</v>
      </c>
    </row>
    <row r="418" customFormat="false" ht="15" hidden="false" customHeight="false" outlineLevel="0" collapsed="false">
      <c r="A418" s="4" t="s">
        <v>1631</v>
      </c>
      <c r="B418" s="4" t="str">
        <f aca="false">IF(AND(I418&gt;='Read Me &amp; Markers'!$B$18,J418&gt;='Read Me &amp; Markers'!$B$19,L418&gt;='Read Me &amp; Markers'!$B$20),"A. Proven winner",IF(AND(I418&gt;='Read Me &amp; Markers'!$B$18,J418&gt;='Read Me &amp; Markers'!$B$19,L418&gt;='Read Me &amp; Markers'!$B$21),"B. Strong performer",IF(AND(I418&gt;='Read Me &amp; Markers'!$B$22,L418&gt;='Read Me &amp; Markers'!$B$23),"C. Scale workhorse",IF(AND(I418&gt;='Read Me &amp; Markers'!$B$24,I418&lt;'Read Me &amp; Markers'!$B$18,J418&gt;='Read Me &amp; Markers'!$B$25,L418&gt;='Read Me &amp; Markers'!$B$26),"D. Promising (needs more spend)",""))))</f>
        <v/>
      </c>
      <c r="C418" s="4" t="s">
        <v>129</v>
      </c>
      <c r="D418" s="4" t="s">
        <v>100</v>
      </c>
      <c r="E418" s="4" t="s">
        <v>237</v>
      </c>
      <c r="F418" s="4" t="s">
        <v>253</v>
      </c>
      <c r="G418" s="4" t="s">
        <v>208</v>
      </c>
      <c r="H418" s="4" t="s">
        <v>1632</v>
      </c>
      <c r="I418" s="5" t="n">
        <v>64.2</v>
      </c>
      <c r="J418" s="7" t="n">
        <v>1</v>
      </c>
      <c r="K418" s="5" t="n">
        <v>45.95</v>
      </c>
      <c r="L418" s="8" t="n">
        <v>0.715732</v>
      </c>
      <c r="M418" s="9" t="n">
        <v>64.2</v>
      </c>
      <c r="N418" s="10" t="n">
        <v>0.04528986</v>
      </c>
      <c r="O418" s="5" t="n">
        <v>116.3</v>
      </c>
      <c r="P418" s="11" t="n">
        <v>1.333333</v>
      </c>
      <c r="Q418" s="7" t="n">
        <v>552</v>
      </c>
      <c r="R418" s="7" t="n">
        <v>25</v>
      </c>
      <c r="S418" s="7" t="n">
        <v>2</v>
      </c>
      <c r="T418" s="7" t="n">
        <v>6</v>
      </c>
      <c r="U418" s="7" t="n">
        <v>419</v>
      </c>
      <c r="V418" s="7" t="n">
        <v>91</v>
      </c>
    </row>
    <row r="419" customFormat="false" ht="15" hidden="false" customHeight="false" outlineLevel="0" collapsed="false">
      <c r="A419" s="4" t="s">
        <v>1633</v>
      </c>
      <c r="B419" s="4" t="str">
        <f aca="false">IF(AND(I419&gt;='Read Me &amp; Markers'!$B$18,J419&gt;='Read Me &amp; Markers'!$B$19,L419&gt;='Read Me &amp; Markers'!$B$20),"A. Proven winner",IF(AND(I419&gt;='Read Me &amp; Markers'!$B$18,J419&gt;='Read Me &amp; Markers'!$B$19,L419&gt;='Read Me &amp; Markers'!$B$21),"B. Strong performer",IF(AND(I419&gt;='Read Me &amp; Markers'!$B$22,L419&gt;='Read Me &amp; Markers'!$B$23),"C. Scale workhorse",IF(AND(I419&gt;='Read Me &amp; Markers'!$B$24,I419&lt;'Read Me &amp; Markers'!$B$18,J419&gt;='Read Me &amp; Markers'!$B$25,L419&gt;='Read Me &amp; Markers'!$B$26),"D. Promising (needs more spend)",""))))</f>
        <v/>
      </c>
      <c r="C419" s="4" t="s">
        <v>903</v>
      </c>
      <c r="D419" s="4" t="s">
        <v>100</v>
      </c>
      <c r="E419" s="4" t="s">
        <v>1634</v>
      </c>
      <c r="F419" s="4" t="s">
        <v>87</v>
      </c>
      <c r="G419" s="4" t="s">
        <v>310</v>
      </c>
      <c r="H419" s="4" t="s">
        <v>1635</v>
      </c>
      <c r="I419" s="5" t="n">
        <v>63.86</v>
      </c>
      <c r="J419" s="7" t="n">
        <v>1</v>
      </c>
      <c r="K419" s="5" t="n">
        <v>99.96</v>
      </c>
      <c r="L419" s="8" t="n">
        <v>1.565299</v>
      </c>
      <c r="M419" s="9" t="n">
        <v>63.86</v>
      </c>
      <c r="N419" s="10" t="n">
        <v>0.03908046</v>
      </c>
      <c r="O419" s="5" t="n">
        <v>73.4</v>
      </c>
      <c r="P419" s="11" t="n">
        <v>1.346749</v>
      </c>
      <c r="Q419" s="7" t="n">
        <v>870</v>
      </c>
      <c r="R419" s="7" t="n">
        <v>34</v>
      </c>
      <c r="S419" s="7" t="n">
        <v>7</v>
      </c>
      <c r="T419" s="7" t="n">
        <v>4</v>
      </c>
      <c r="U419" s="7" t="n">
        <v>755</v>
      </c>
      <c r="V419" s="7" t="n">
        <v>50</v>
      </c>
    </row>
    <row r="420" customFormat="false" ht="15" hidden="false" customHeight="false" outlineLevel="0" collapsed="false">
      <c r="A420" s="4" t="s">
        <v>1636</v>
      </c>
      <c r="B420" s="4" t="str">
        <f aca="false">IF(AND(I420&gt;='Read Me &amp; Markers'!$B$18,J420&gt;='Read Me &amp; Markers'!$B$19,L420&gt;='Read Me &amp; Markers'!$B$20),"A. Proven winner",IF(AND(I420&gt;='Read Me &amp; Markers'!$B$18,J420&gt;='Read Me &amp; Markers'!$B$19,L420&gt;='Read Me &amp; Markers'!$B$21),"B. Strong performer",IF(AND(I420&gt;='Read Me &amp; Markers'!$B$22,L420&gt;='Read Me &amp; Markers'!$B$23),"C. Scale workhorse",IF(AND(I420&gt;='Read Me &amp; Markers'!$B$24,I420&lt;'Read Me &amp; Markers'!$B$18,J420&gt;='Read Me &amp; Markers'!$B$25,L420&gt;='Read Me &amp; Markers'!$B$26),"D. Promising (needs more spend)",""))))</f>
        <v/>
      </c>
      <c r="C420" s="4" t="s">
        <v>1637</v>
      </c>
      <c r="D420" s="4" t="s">
        <v>109</v>
      </c>
      <c r="E420" s="4" t="s">
        <v>1638</v>
      </c>
      <c r="F420" s="4" t="s">
        <v>87</v>
      </c>
      <c r="G420" s="4" t="s">
        <v>508</v>
      </c>
      <c r="H420" s="4" t="s">
        <v>1639</v>
      </c>
      <c r="I420" s="5" t="n">
        <v>63.41</v>
      </c>
      <c r="J420" s="7" t="n">
        <v>0</v>
      </c>
      <c r="K420" s="5" t="n">
        <v>0</v>
      </c>
      <c r="L420" s="8" t="n">
        <v>0</v>
      </c>
      <c r="M420" s="9" t="n">
        <v>0</v>
      </c>
      <c r="N420" s="10" t="n">
        <v>0.1311828</v>
      </c>
      <c r="O420" s="5" t="n">
        <v>136.37</v>
      </c>
      <c r="P420" s="11" t="n">
        <v>1.120482</v>
      </c>
      <c r="Q420" s="7" t="n">
        <v>465</v>
      </c>
      <c r="R420" s="7" t="n">
        <v>61</v>
      </c>
      <c r="S420" s="7" t="n">
        <v>0</v>
      </c>
      <c r="T420" s="7" t="n">
        <v>1</v>
      </c>
      <c r="U420" s="7" t="n">
        <v>431</v>
      </c>
      <c r="V420" s="7" t="n">
        <v>109</v>
      </c>
    </row>
    <row r="421" customFormat="false" ht="15" hidden="false" customHeight="false" outlineLevel="0" collapsed="false">
      <c r="A421" s="4" t="s">
        <v>1640</v>
      </c>
      <c r="B421" s="4" t="str">
        <f aca="false">IF(AND(I421&gt;='Read Me &amp; Markers'!$B$18,J421&gt;='Read Me &amp; Markers'!$B$19,L421&gt;='Read Me &amp; Markers'!$B$20),"A. Proven winner",IF(AND(I421&gt;='Read Me &amp; Markers'!$B$18,J421&gt;='Read Me &amp; Markers'!$B$19,L421&gt;='Read Me &amp; Markers'!$B$21),"B. Strong performer",IF(AND(I421&gt;='Read Me &amp; Markers'!$B$22,L421&gt;='Read Me &amp; Markers'!$B$23),"C. Scale workhorse",IF(AND(I421&gt;='Read Me &amp; Markers'!$B$24,I421&lt;'Read Me &amp; Markers'!$B$18,J421&gt;='Read Me &amp; Markers'!$B$25,L421&gt;='Read Me &amp; Markers'!$B$26),"D. Promising (needs more spend)",""))))</f>
        <v/>
      </c>
      <c r="C421" s="4" t="s">
        <v>1641</v>
      </c>
      <c r="D421" s="4" t="s">
        <v>109</v>
      </c>
      <c r="E421" s="4" t="s">
        <v>747</v>
      </c>
      <c r="F421" s="4" t="s">
        <v>87</v>
      </c>
      <c r="G421" s="4" t="s">
        <v>583</v>
      </c>
      <c r="H421" s="4" t="s">
        <v>1642</v>
      </c>
      <c r="I421" s="5" t="n">
        <v>63.39</v>
      </c>
      <c r="J421" s="7" t="n">
        <v>0</v>
      </c>
      <c r="K421" s="5" t="n">
        <v>0</v>
      </c>
      <c r="L421" s="8" t="n">
        <v>0</v>
      </c>
      <c r="M421" s="9" t="n">
        <v>0</v>
      </c>
      <c r="N421" s="10" t="n">
        <v>0.02412646</v>
      </c>
      <c r="O421" s="5" t="n">
        <v>52.74</v>
      </c>
      <c r="P421" s="11" t="n">
        <v>1.280085</v>
      </c>
      <c r="Q421" s="7" t="n">
        <v>1202</v>
      </c>
      <c r="R421" s="7" t="n">
        <v>29</v>
      </c>
      <c r="S421" s="7" t="n">
        <v>6</v>
      </c>
      <c r="T421" s="7" t="n">
        <v>6</v>
      </c>
      <c r="U421" s="7" t="n">
        <v>0</v>
      </c>
      <c r="V421" s="7" t="n">
        <v>0</v>
      </c>
    </row>
    <row r="422" customFormat="false" ht="15" hidden="false" customHeight="false" outlineLevel="0" collapsed="false">
      <c r="A422" s="4" t="s">
        <v>1643</v>
      </c>
      <c r="B422" s="4" t="str">
        <f aca="false">IF(AND(I422&gt;='Read Me &amp; Markers'!$B$18,J422&gt;='Read Me &amp; Markers'!$B$19,L422&gt;='Read Me &amp; Markers'!$B$20),"A. Proven winner",IF(AND(I422&gt;='Read Me &amp; Markers'!$B$18,J422&gt;='Read Me &amp; Markers'!$B$19,L422&gt;='Read Me &amp; Markers'!$B$21),"B. Strong performer",IF(AND(I422&gt;='Read Me &amp; Markers'!$B$22,L422&gt;='Read Me &amp; Markers'!$B$23),"C. Scale workhorse",IF(AND(I422&gt;='Read Me &amp; Markers'!$B$24,I422&lt;'Read Me &amp; Markers'!$B$18,J422&gt;='Read Me &amp; Markers'!$B$25,L422&gt;='Read Me &amp; Markers'!$B$26),"D. Promising (needs more spend)",""))))</f>
        <v/>
      </c>
      <c r="C422" s="4" t="s">
        <v>129</v>
      </c>
      <c r="D422" s="4" t="s">
        <v>100</v>
      </c>
      <c r="E422" s="4" t="s">
        <v>1644</v>
      </c>
      <c r="F422" s="4" t="s">
        <v>87</v>
      </c>
      <c r="G422" s="4" t="s">
        <v>294</v>
      </c>
      <c r="H422" s="4" t="s">
        <v>1645</v>
      </c>
      <c r="I422" s="5" t="n">
        <v>63.33</v>
      </c>
      <c r="J422" s="7" t="n">
        <v>0</v>
      </c>
      <c r="K422" s="5" t="n">
        <v>0</v>
      </c>
      <c r="L422" s="8" t="n">
        <v>0</v>
      </c>
      <c r="M422" s="9" t="n">
        <v>0</v>
      </c>
      <c r="N422" s="10" t="n">
        <v>0.0229709</v>
      </c>
      <c r="O422" s="5" t="n">
        <v>48.49</v>
      </c>
      <c r="P422" s="11" t="n">
        <v>1.547393</v>
      </c>
      <c r="Q422" s="7" t="n">
        <v>1306</v>
      </c>
      <c r="R422" s="7" t="n">
        <v>30</v>
      </c>
      <c r="S422" s="7" t="n">
        <v>2</v>
      </c>
      <c r="T422" s="7" t="n">
        <v>1</v>
      </c>
      <c r="U422" s="7" t="n">
        <v>898</v>
      </c>
      <c r="V422" s="7" t="n">
        <v>133</v>
      </c>
    </row>
    <row r="423" customFormat="false" ht="15" hidden="false" customHeight="false" outlineLevel="0" collapsed="false">
      <c r="A423" s="4" t="s">
        <v>1646</v>
      </c>
      <c r="B423" s="4" t="str">
        <f aca="false">IF(AND(I423&gt;='Read Me &amp; Markers'!$B$18,J423&gt;='Read Me &amp; Markers'!$B$19,L423&gt;='Read Me &amp; Markers'!$B$20),"A. Proven winner",IF(AND(I423&gt;='Read Me &amp; Markers'!$B$18,J423&gt;='Read Me &amp; Markers'!$B$19,L423&gt;='Read Me &amp; Markers'!$B$21),"B. Strong performer",IF(AND(I423&gt;='Read Me &amp; Markers'!$B$22,L423&gt;='Read Me &amp; Markers'!$B$23),"C. Scale workhorse",IF(AND(I423&gt;='Read Me &amp; Markers'!$B$24,I423&lt;'Read Me &amp; Markers'!$B$18,J423&gt;='Read Me &amp; Markers'!$B$25,L423&gt;='Read Me &amp; Markers'!$B$26),"D. Promising (needs more spend)",""))))</f>
        <v/>
      </c>
      <c r="C423" s="4" t="s">
        <v>1599</v>
      </c>
      <c r="D423" s="4" t="s">
        <v>109</v>
      </c>
      <c r="E423" s="4" t="s">
        <v>469</v>
      </c>
      <c r="F423" s="4" t="s">
        <v>111</v>
      </c>
      <c r="G423" s="4" t="s">
        <v>470</v>
      </c>
      <c r="H423" s="4" t="s">
        <v>1647</v>
      </c>
      <c r="I423" s="5" t="n">
        <v>63.26</v>
      </c>
      <c r="J423" s="7" t="n">
        <v>2</v>
      </c>
      <c r="K423" s="5" t="n">
        <v>91.9</v>
      </c>
      <c r="L423" s="8" t="n">
        <v>1.452735</v>
      </c>
      <c r="M423" s="9" t="n">
        <v>31.63</v>
      </c>
      <c r="N423" s="10" t="n">
        <v>0.05508475</v>
      </c>
      <c r="O423" s="5" t="n">
        <v>134.03</v>
      </c>
      <c r="P423" s="11" t="n">
        <v>1.140097</v>
      </c>
      <c r="Q423" s="7" t="n">
        <v>472</v>
      </c>
      <c r="R423" s="7" t="n">
        <v>26</v>
      </c>
      <c r="S423" s="7" t="n">
        <v>5</v>
      </c>
      <c r="T423" s="7" t="n">
        <v>3</v>
      </c>
      <c r="U423" s="7" t="n">
        <v>419</v>
      </c>
      <c r="V423" s="7" t="n">
        <v>55</v>
      </c>
    </row>
    <row r="424" customFormat="false" ht="15" hidden="false" customHeight="false" outlineLevel="0" collapsed="false">
      <c r="A424" s="4" t="s">
        <v>1648</v>
      </c>
      <c r="B424" s="4" t="str">
        <f aca="false">IF(AND(I424&gt;='Read Me &amp; Markers'!$B$18,J424&gt;='Read Me &amp; Markers'!$B$19,L424&gt;='Read Me &amp; Markers'!$B$20),"A. Proven winner",IF(AND(I424&gt;='Read Me &amp; Markers'!$B$18,J424&gt;='Read Me &amp; Markers'!$B$19,L424&gt;='Read Me &amp; Markers'!$B$21),"B. Strong performer",IF(AND(I424&gt;='Read Me &amp; Markers'!$B$22,L424&gt;='Read Me &amp; Markers'!$B$23),"C. Scale workhorse",IF(AND(I424&gt;='Read Me &amp; Markers'!$B$24,I424&lt;'Read Me &amp; Markers'!$B$18,J424&gt;='Read Me &amp; Markers'!$B$25,L424&gt;='Read Me &amp; Markers'!$B$26),"D. Promising (needs more spend)",""))))</f>
        <v/>
      </c>
      <c r="C424" s="4" t="s">
        <v>1649</v>
      </c>
      <c r="D424" s="4" t="s">
        <v>154</v>
      </c>
      <c r="E424" s="4" t="s">
        <v>1650</v>
      </c>
      <c r="F424" s="4" t="s">
        <v>87</v>
      </c>
      <c r="G424" s="4" t="s">
        <v>156</v>
      </c>
      <c r="H424" s="4" t="s">
        <v>1651</v>
      </c>
      <c r="I424" s="5" t="n">
        <v>63.08</v>
      </c>
      <c r="J424" s="7" t="n">
        <v>0</v>
      </c>
      <c r="K424" s="5" t="n">
        <v>0</v>
      </c>
      <c r="L424" s="8" t="n">
        <v>0</v>
      </c>
      <c r="M424" s="9" t="n">
        <v>0</v>
      </c>
      <c r="N424" s="10" t="n">
        <v>0.03091398</v>
      </c>
      <c r="O424" s="5" t="n">
        <v>84.78</v>
      </c>
      <c r="P424" s="11" t="n">
        <v>1.192308</v>
      </c>
      <c r="Q424" s="7" t="n">
        <v>744</v>
      </c>
      <c r="R424" s="7" t="n">
        <v>23</v>
      </c>
      <c r="S424" s="7" t="n">
        <v>0</v>
      </c>
      <c r="T424" s="7" t="n">
        <v>0</v>
      </c>
      <c r="U424" s="7" t="n">
        <v>637</v>
      </c>
      <c r="V424" s="7" t="n">
        <v>84</v>
      </c>
    </row>
    <row r="425" customFormat="false" ht="15" hidden="false" customHeight="false" outlineLevel="0" collapsed="false">
      <c r="A425" s="4" t="s">
        <v>1652</v>
      </c>
      <c r="B425" s="4" t="str">
        <f aca="false">IF(AND(I425&gt;='Read Me &amp; Markers'!$B$18,J425&gt;='Read Me &amp; Markers'!$B$19,L425&gt;='Read Me &amp; Markers'!$B$20),"A. Proven winner",IF(AND(I425&gt;='Read Me &amp; Markers'!$B$18,J425&gt;='Read Me &amp; Markers'!$B$19,L425&gt;='Read Me &amp; Markers'!$B$21),"B. Strong performer",IF(AND(I425&gt;='Read Me &amp; Markers'!$B$22,L425&gt;='Read Me &amp; Markers'!$B$23),"C. Scale workhorse",IF(AND(I425&gt;='Read Me &amp; Markers'!$B$24,I425&lt;'Read Me &amp; Markers'!$B$18,J425&gt;='Read Me &amp; Markers'!$B$25,L425&gt;='Read Me &amp; Markers'!$B$26),"D. Promising (needs more spend)",""))))</f>
        <v/>
      </c>
      <c r="C425" s="4" t="s">
        <v>1653</v>
      </c>
      <c r="D425" s="4" t="s">
        <v>109</v>
      </c>
      <c r="E425" s="4" t="s">
        <v>1654</v>
      </c>
      <c r="F425" s="4" t="s">
        <v>87</v>
      </c>
      <c r="G425" s="4" t="s">
        <v>317</v>
      </c>
      <c r="H425" s="4" t="s">
        <v>1655</v>
      </c>
      <c r="I425" s="5" t="n">
        <v>63.06</v>
      </c>
      <c r="J425" s="7" t="n">
        <v>0</v>
      </c>
      <c r="K425" s="5" t="n">
        <v>0</v>
      </c>
      <c r="L425" s="8" t="n">
        <v>0</v>
      </c>
      <c r="M425" s="9" t="n">
        <v>0</v>
      </c>
      <c r="N425" s="10" t="n">
        <v>0.02031802</v>
      </c>
      <c r="O425" s="5" t="n">
        <v>55.71</v>
      </c>
      <c r="P425" s="11" t="n">
        <v>1.316279</v>
      </c>
      <c r="Q425" s="7" t="n">
        <v>1132</v>
      </c>
      <c r="R425" s="7" t="n">
        <v>23</v>
      </c>
      <c r="S425" s="7" t="n">
        <v>0</v>
      </c>
      <c r="T425" s="7" t="n">
        <v>0</v>
      </c>
      <c r="U425" s="7" t="n">
        <v>0</v>
      </c>
      <c r="V425" s="7" t="n">
        <v>0</v>
      </c>
    </row>
    <row r="426" customFormat="false" ht="15" hidden="false" customHeight="false" outlineLevel="0" collapsed="false">
      <c r="A426" s="4" t="s">
        <v>1656</v>
      </c>
      <c r="B426" s="4" t="str">
        <f aca="false">IF(AND(I426&gt;='Read Me &amp; Markers'!$B$18,J426&gt;='Read Me &amp; Markers'!$B$19,L426&gt;='Read Me &amp; Markers'!$B$20),"A. Proven winner",IF(AND(I426&gt;='Read Me &amp; Markers'!$B$18,J426&gt;='Read Me &amp; Markers'!$B$19,L426&gt;='Read Me &amp; Markers'!$B$21),"B. Strong performer",IF(AND(I426&gt;='Read Me &amp; Markers'!$B$22,L426&gt;='Read Me &amp; Markers'!$B$23),"C. Scale workhorse",IF(AND(I426&gt;='Read Me &amp; Markers'!$B$24,I426&lt;'Read Me &amp; Markers'!$B$18,J426&gt;='Read Me &amp; Markers'!$B$25,L426&gt;='Read Me &amp; Markers'!$B$26),"D. Promising (needs more spend)",""))))</f>
        <v/>
      </c>
      <c r="C426" s="4" t="s">
        <v>129</v>
      </c>
      <c r="D426" s="4" t="s">
        <v>100</v>
      </c>
      <c r="E426" s="4" t="s">
        <v>1454</v>
      </c>
      <c r="F426" s="4" t="s">
        <v>87</v>
      </c>
      <c r="G426" s="4" t="s">
        <v>538</v>
      </c>
      <c r="H426" s="4" t="s">
        <v>1657</v>
      </c>
      <c r="I426" s="5" t="n">
        <v>62.87</v>
      </c>
      <c r="J426" s="7" t="n">
        <v>1</v>
      </c>
      <c r="K426" s="5" t="n">
        <v>99.98</v>
      </c>
      <c r="L426" s="8" t="n">
        <v>1.590266</v>
      </c>
      <c r="M426" s="9" t="n">
        <v>62.87</v>
      </c>
      <c r="N426" s="10" t="n">
        <v>0.06456954</v>
      </c>
      <c r="O426" s="5" t="n">
        <v>104.09</v>
      </c>
      <c r="P426" s="11" t="n">
        <v>1.06338</v>
      </c>
      <c r="Q426" s="7" t="n">
        <v>604</v>
      </c>
      <c r="R426" s="7" t="n">
        <v>39</v>
      </c>
      <c r="S426" s="7" t="n">
        <v>4</v>
      </c>
      <c r="T426" s="7" t="n">
        <v>5</v>
      </c>
      <c r="U426" s="7" t="n">
        <v>555</v>
      </c>
      <c r="V426" s="7" t="n">
        <v>104</v>
      </c>
    </row>
    <row r="427" customFormat="false" ht="15" hidden="false" customHeight="false" outlineLevel="0" collapsed="false">
      <c r="A427" s="4" t="s">
        <v>1658</v>
      </c>
      <c r="B427" s="4" t="str">
        <f aca="false">IF(AND(I427&gt;='Read Me &amp; Markers'!$B$18,J427&gt;='Read Me &amp; Markers'!$B$19,L427&gt;='Read Me &amp; Markers'!$B$20),"A. Proven winner",IF(AND(I427&gt;='Read Me &amp; Markers'!$B$18,J427&gt;='Read Me &amp; Markers'!$B$19,L427&gt;='Read Me &amp; Markers'!$B$21),"B. Strong performer",IF(AND(I427&gt;='Read Me &amp; Markers'!$B$22,L427&gt;='Read Me &amp; Markers'!$B$23),"C. Scale workhorse",IF(AND(I427&gt;='Read Me &amp; Markers'!$B$24,I427&lt;'Read Me &amp; Markers'!$B$18,J427&gt;='Read Me &amp; Markers'!$B$25,L427&gt;='Read Me &amp; Markers'!$B$26),"D. Promising (needs more spend)",""))))</f>
        <v/>
      </c>
      <c r="C427" s="4" t="s">
        <v>1659</v>
      </c>
      <c r="D427" s="4" t="s">
        <v>109</v>
      </c>
      <c r="E427" s="4" t="s">
        <v>429</v>
      </c>
      <c r="F427" s="4" t="s">
        <v>111</v>
      </c>
      <c r="G427" s="4" t="s">
        <v>431</v>
      </c>
      <c r="H427" s="4" t="s">
        <v>1660</v>
      </c>
      <c r="I427" s="5" t="n">
        <v>62.04</v>
      </c>
      <c r="J427" s="7" t="n">
        <v>0</v>
      </c>
      <c r="K427" s="5" t="n">
        <v>0</v>
      </c>
      <c r="L427" s="8" t="n">
        <v>0</v>
      </c>
      <c r="M427" s="9" t="n">
        <v>0</v>
      </c>
      <c r="N427" s="10" t="n">
        <v>0.02820513</v>
      </c>
      <c r="O427" s="5" t="n">
        <v>159.08</v>
      </c>
      <c r="P427" s="11" t="n">
        <v>1.133721</v>
      </c>
      <c r="Q427" s="7" t="n">
        <v>390</v>
      </c>
      <c r="R427" s="7" t="n">
        <v>11</v>
      </c>
      <c r="S427" s="7" t="n">
        <v>1</v>
      </c>
      <c r="T427" s="7" t="n">
        <v>4</v>
      </c>
      <c r="U427" s="7" t="n">
        <v>360</v>
      </c>
      <c r="V427" s="7" t="n">
        <v>150</v>
      </c>
    </row>
    <row r="428" customFormat="false" ht="15" hidden="false" customHeight="false" outlineLevel="0" collapsed="false">
      <c r="A428" s="4" t="s">
        <v>1661</v>
      </c>
      <c r="B428" s="4" t="str">
        <f aca="false">IF(AND(I428&gt;='Read Me &amp; Markers'!$B$18,J428&gt;='Read Me &amp; Markers'!$B$19,L428&gt;='Read Me &amp; Markers'!$B$20),"A. Proven winner",IF(AND(I428&gt;='Read Me &amp; Markers'!$B$18,J428&gt;='Read Me &amp; Markers'!$B$19,L428&gt;='Read Me &amp; Markers'!$B$21),"B. Strong performer",IF(AND(I428&gt;='Read Me &amp; Markers'!$B$22,L428&gt;='Read Me &amp; Markers'!$B$23),"C. Scale workhorse",IF(AND(I428&gt;='Read Me &amp; Markers'!$B$24,I428&lt;'Read Me &amp; Markers'!$B$18,J428&gt;='Read Me &amp; Markers'!$B$25,L428&gt;='Read Me &amp; Markers'!$B$26),"D. Promising (needs more spend)",""))))</f>
        <v/>
      </c>
      <c r="C428" s="4" t="s">
        <v>121</v>
      </c>
      <c r="D428" s="4" t="s">
        <v>100</v>
      </c>
      <c r="E428" s="4" t="s">
        <v>1662</v>
      </c>
      <c r="F428" s="4" t="s">
        <v>87</v>
      </c>
      <c r="G428" s="4" t="s">
        <v>294</v>
      </c>
      <c r="H428" s="4" t="s">
        <v>1663</v>
      </c>
      <c r="I428" s="5" t="n">
        <v>61.9</v>
      </c>
      <c r="J428" s="7" t="n">
        <v>1</v>
      </c>
      <c r="K428" s="5" t="n">
        <v>99.98</v>
      </c>
      <c r="L428" s="8" t="n">
        <v>1.615186</v>
      </c>
      <c r="M428" s="9" t="n">
        <v>61.9</v>
      </c>
      <c r="N428" s="10" t="n">
        <v>0.01476252</v>
      </c>
      <c r="O428" s="5" t="n">
        <v>39.73</v>
      </c>
      <c r="P428" s="11" t="n">
        <v>2.044619</v>
      </c>
      <c r="Q428" s="7" t="n">
        <v>1558</v>
      </c>
      <c r="R428" s="7" t="n">
        <v>23</v>
      </c>
      <c r="S428" s="7" t="n">
        <v>12</v>
      </c>
      <c r="T428" s="7" t="n">
        <v>15</v>
      </c>
      <c r="U428" s="7" t="n">
        <v>791</v>
      </c>
      <c r="V428" s="7" t="n">
        <v>90</v>
      </c>
    </row>
    <row r="429" customFormat="false" ht="15" hidden="false" customHeight="false" outlineLevel="0" collapsed="false">
      <c r="A429" s="4" t="s">
        <v>1664</v>
      </c>
      <c r="B429" s="4" t="str">
        <f aca="false">IF(AND(I429&gt;='Read Me &amp; Markers'!$B$18,J429&gt;='Read Me &amp; Markers'!$B$19,L429&gt;='Read Me &amp; Markers'!$B$20),"A. Proven winner",IF(AND(I429&gt;='Read Me &amp; Markers'!$B$18,J429&gt;='Read Me &amp; Markers'!$B$19,L429&gt;='Read Me &amp; Markers'!$B$21),"B. Strong performer",IF(AND(I429&gt;='Read Me &amp; Markers'!$B$22,L429&gt;='Read Me &amp; Markers'!$B$23),"C. Scale workhorse",IF(AND(I429&gt;='Read Me &amp; Markers'!$B$24,I429&lt;'Read Me &amp; Markers'!$B$18,J429&gt;='Read Me &amp; Markers'!$B$25,L429&gt;='Read Me &amp; Markers'!$B$26),"D. Promising (needs more spend)",""))))</f>
        <v/>
      </c>
      <c r="C429" s="4" t="s">
        <v>1141</v>
      </c>
      <c r="D429" s="4" t="s">
        <v>100</v>
      </c>
      <c r="E429" s="4" t="s">
        <v>1519</v>
      </c>
      <c r="F429" s="4" t="s">
        <v>172</v>
      </c>
      <c r="G429" s="4" t="s">
        <v>348</v>
      </c>
      <c r="H429" s="4" t="s">
        <v>1665</v>
      </c>
      <c r="I429" s="5" t="n">
        <v>61.62</v>
      </c>
      <c r="J429" s="7" t="n">
        <v>0</v>
      </c>
      <c r="K429" s="5" t="n">
        <v>0</v>
      </c>
      <c r="L429" s="8" t="n">
        <v>0</v>
      </c>
      <c r="M429" s="9" t="n">
        <v>0</v>
      </c>
      <c r="N429" s="10" t="n">
        <v>0.04568528</v>
      </c>
      <c r="O429" s="5" t="n">
        <v>104.26</v>
      </c>
      <c r="P429" s="11" t="n">
        <v>1.20122</v>
      </c>
      <c r="Q429" s="7" t="n">
        <v>591</v>
      </c>
      <c r="R429" s="7" t="n">
        <v>27</v>
      </c>
      <c r="S429" s="7" t="n">
        <v>1</v>
      </c>
      <c r="T429" s="7" t="n">
        <v>2</v>
      </c>
      <c r="U429" s="7" t="n">
        <v>540</v>
      </c>
      <c r="V429" s="7" t="n">
        <v>86</v>
      </c>
    </row>
    <row r="430" customFormat="false" ht="15" hidden="false" customHeight="false" outlineLevel="0" collapsed="false">
      <c r="A430" s="4" t="s">
        <v>1666</v>
      </c>
      <c r="B430" s="4" t="str">
        <f aca="false">IF(AND(I430&gt;='Read Me &amp; Markers'!$B$18,J430&gt;='Read Me &amp; Markers'!$B$19,L430&gt;='Read Me &amp; Markers'!$B$20),"A. Proven winner",IF(AND(I430&gt;='Read Me &amp; Markers'!$B$18,J430&gt;='Read Me &amp; Markers'!$B$19,L430&gt;='Read Me &amp; Markers'!$B$21),"B. Strong performer",IF(AND(I430&gt;='Read Me &amp; Markers'!$B$22,L430&gt;='Read Me &amp; Markers'!$B$23),"C. Scale workhorse",IF(AND(I430&gt;='Read Me &amp; Markers'!$B$24,I430&lt;'Read Me &amp; Markers'!$B$18,J430&gt;='Read Me &amp; Markers'!$B$25,L430&gt;='Read Me &amp; Markers'!$B$26),"D. Promising (needs more spend)",""))))</f>
        <v/>
      </c>
      <c r="C430" s="4" t="s">
        <v>121</v>
      </c>
      <c r="D430" s="4" t="s">
        <v>154</v>
      </c>
      <c r="E430" s="4" t="s">
        <v>1667</v>
      </c>
      <c r="F430" s="4" t="s">
        <v>87</v>
      </c>
      <c r="G430" s="4" t="s">
        <v>1093</v>
      </c>
      <c r="H430" s="4" t="s">
        <v>1668</v>
      </c>
      <c r="I430" s="5" t="n">
        <v>61.3</v>
      </c>
      <c r="J430" s="7" t="n">
        <v>2</v>
      </c>
      <c r="K430" s="5" t="n">
        <v>86.12</v>
      </c>
      <c r="L430" s="8" t="n">
        <v>1.404894</v>
      </c>
      <c r="M430" s="9" t="n">
        <v>30.65</v>
      </c>
      <c r="N430" s="10" t="n">
        <v>0.04598738</v>
      </c>
      <c r="O430" s="5" t="n">
        <v>55.28</v>
      </c>
      <c r="P430" s="11" t="n">
        <v>1.212022</v>
      </c>
      <c r="Q430" s="7" t="n">
        <v>1109</v>
      </c>
      <c r="R430" s="7" t="n">
        <v>51</v>
      </c>
      <c r="S430" s="7" t="n">
        <v>6</v>
      </c>
      <c r="T430" s="7" t="n">
        <v>6</v>
      </c>
      <c r="U430" s="7" t="n">
        <v>920</v>
      </c>
      <c r="V430" s="7" t="n">
        <v>76</v>
      </c>
    </row>
    <row r="431" customFormat="false" ht="15" hidden="false" customHeight="false" outlineLevel="0" collapsed="false">
      <c r="A431" s="4" t="s">
        <v>1669</v>
      </c>
      <c r="B431" s="4" t="str">
        <f aca="false">IF(AND(I431&gt;='Read Me &amp; Markers'!$B$18,J431&gt;='Read Me &amp; Markers'!$B$19,L431&gt;='Read Me &amp; Markers'!$B$20),"A. Proven winner",IF(AND(I431&gt;='Read Me &amp; Markers'!$B$18,J431&gt;='Read Me &amp; Markers'!$B$19,L431&gt;='Read Me &amp; Markers'!$B$21),"B. Strong performer",IF(AND(I431&gt;='Read Me &amp; Markers'!$B$22,L431&gt;='Read Me &amp; Markers'!$B$23),"C. Scale workhorse",IF(AND(I431&gt;='Read Me &amp; Markers'!$B$24,I431&lt;'Read Me &amp; Markers'!$B$18,J431&gt;='Read Me &amp; Markers'!$B$25,L431&gt;='Read Me &amp; Markers'!$B$26),"D. Promising (needs more spend)",""))))</f>
        <v/>
      </c>
      <c r="C431" s="4" t="s">
        <v>1670</v>
      </c>
      <c r="D431" s="4" t="s">
        <v>109</v>
      </c>
      <c r="E431" s="4" t="s">
        <v>1671</v>
      </c>
      <c r="F431" s="4" t="s">
        <v>87</v>
      </c>
      <c r="G431" s="4" t="s">
        <v>378</v>
      </c>
      <c r="H431" s="4" t="s">
        <v>1672</v>
      </c>
      <c r="I431" s="5" t="n">
        <v>61.25</v>
      </c>
      <c r="J431" s="7" t="n">
        <v>0</v>
      </c>
      <c r="K431" s="5" t="n">
        <v>0</v>
      </c>
      <c r="L431" s="8" t="n">
        <v>0</v>
      </c>
      <c r="M431" s="9" t="n">
        <v>0</v>
      </c>
      <c r="N431" s="10" t="n">
        <v>0.08355795</v>
      </c>
      <c r="O431" s="5" t="n">
        <v>165.09</v>
      </c>
      <c r="P431" s="11" t="n">
        <v>1.27931</v>
      </c>
      <c r="Q431" s="7" t="n">
        <v>371</v>
      </c>
      <c r="R431" s="7" t="n">
        <v>31</v>
      </c>
      <c r="S431" s="7" t="n">
        <v>0</v>
      </c>
      <c r="T431" s="7" t="n">
        <v>0</v>
      </c>
      <c r="U431" s="7" t="n">
        <v>337</v>
      </c>
      <c r="V431" s="7" t="n">
        <v>86</v>
      </c>
    </row>
    <row r="432" customFormat="false" ht="15" hidden="false" customHeight="false" outlineLevel="0" collapsed="false">
      <c r="A432" s="4" t="s">
        <v>1673</v>
      </c>
      <c r="B432" s="4" t="str">
        <f aca="false">IF(AND(I432&gt;='Read Me &amp; Markers'!$B$18,J432&gt;='Read Me &amp; Markers'!$B$19,L432&gt;='Read Me &amp; Markers'!$B$20),"A. Proven winner",IF(AND(I432&gt;='Read Me &amp; Markers'!$B$18,J432&gt;='Read Me &amp; Markers'!$B$19,L432&gt;='Read Me &amp; Markers'!$B$21),"B. Strong performer",IF(AND(I432&gt;='Read Me &amp; Markers'!$B$22,L432&gt;='Read Me &amp; Markers'!$B$23),"C. Scale workhorse",IF(AND(I432&gt;='Read Me &amp; Markers'!$B$24,I432&lt;'Read Me &amp; Markers'!$B$18,J432&gt;='Read Me &amp; Markers'!$B$25,L432&gt;='Read Me &amp; Markers'!$B$26),"D. Promising (needs more spend)",""))))</f>
        <v/>
      </c>
      <c r="C432" s="4" t="s">
        <v>1674</v>
      </c>
      <c r="D432" s="4" t="s">
        <v>1204</v>
      </c>
      <c r="E432" s="4" t="s">
        <v>1675</v>
      </c>
      <c r="F432" s="4" t="s">
        <v>253</v>
      </c>
      <c r="G432" s="4" t="s">
        <v>1206</v>
      </c>
      <c r="H432" s="4" t="s">
        <v>1676</v>
      </c>
      <c r="I432" s="5" t="n">
        <v>60.87</v>
      </c>
      <c r="J432" s="7" t="n">
        <v>0</v>
      </c>
      <c r="K432" s="5" t="n">
        <v>0</v>
      </c>
      <c r="L432" s="8" t="n">
        <v>0</v>
      </c>
      <c r="M432" s="9" t="n">
        <v>0</v>
      </c>
      <c r="N432" s="10" t="n">
        <v>0.04347826</v>
      </c>
      <c r="O432" s="5" t="n">
        <v>147.03</v>
      </c>
      <c r="P432" s="11" t="n">
        <v>1.182857</v>
      </c>
      <c r="Q432" s="7" t="n">
        <v>414</v>
      </c>
      <c r="R432" s="7" t="n">
        <v>18</v>
      </c>
      <c r="S432" s="7" t="n">
        <v>0</v>
      </c>
      <c r="T432" s="7" t="n">
        <v>0</v>
      </c>
      <c r="U432" s="7" t="n">
        <v>380</v>
      </c>
      <c r="V432" s="7" t="n">
        <v>62</v>
      </c>
    </row>
    <row r="433" customFormat="false" ht="15" hidden="false" customHeight="false" outlineLevel="0" collapsed="false">
      <c r="A433" s="4" t="s">
        <v>1677</v>
      </c>
      <c r="B433" s="4" t="str">
        <f aca="false">IF(AND(I433&gt;='Read Me &amp; Markers'!$B$18,J433&gt;='Read Me &amp; Markers'!$B$19,L433&gt;='Read Me &amp; Markers'!$B$20),"A. Proven winner",IF(AND(I433&gt;='Read Me &amp; Markers'!$B$18,J433&gt;='Read Me &amp; Markers'!$B$19,L433&gt;='Read Me &amp; Markers'!$B$21),"B. Strong performer",IF(AND(I433&gt;='Read Me &amp; Markers'!$B$22,L433&gt;='Read Me &amp; Markers'!$B$23),"C. Scale workhorse",IF(AND(I433&gt;='Read Me &amp; Markers'!$B$24,I433&lt;'Read Me &amp; Markers'!$B$18,J433&gt;='Read Me &amp; Markers'!$B$25,L433&gt;='Read Me &amp; Markers'!$B$26),"D. Promising (needs more spend)",""))))</f>
        <v/>
      </c>
      <c r="C433" s="4" t="s">
        <v>1678</v>
      </c>
      <c r="D433" s="4" t="s">
        <v>109</v>
      </c>
      <c r="E433" s="4" t="s">
        <v>1112</v>
      </c>
      <c r="F433" s="4" t="s">
        <v>87</v>
      </c>
      <c r="G433" s="4" t="s">
        <v>378</v>
      </c>
      <c r="H433" s="4" t="s">
        <v>1679</v>
      </c>
      <c r="I433" s="5" t="n">
        <v>60.78</v>
      </c>
      <c r="J433" s="7" t="n">
        <v>0</v>
      </c>
      <c r="K433" s="5" t="n">
        <v>0</v>
      </c>
      <c r="L433" s="8" t="n">
        <v>0</v>
      </c>
      <c r="M433" s="9" t="n">
        <v>0</v>
      </c>
      <c r="N433" s="10" t="n">
        <v>0.04954955</v>
      </c>
      <c r="O433" s="5" t="n">
        <v>136.89</v>
      </c>
      <c r="P433" s="11" t="n">
        <v>1.075061</v>
      </c>
      <c r="Q433" s="7" t="n">
        <v>444</v>
      </c>
      <c r="R433" s="7" t="n">
        <v>22</v>
      </c>
      <c r="S433" s="7" t="n">
        <v>0</v>
      </c>
      <c r="T433" s="7" t="n">
        <v>1</v>
      </c>
      <c r="U433" s="7" t="n">
        <v>419</v>
      </c>
      <c r="V433" s="7" t="n">
        <v>97</v>
      </c>
    </row>
    <row r="434" customFormat="false" ht="15" hidden="false" customHeight="false" outlineLevel="0" collapsed="false">
      <c r="A434" s="4" t="s">
        <v>1680</v>
      </c>
      <c r="B434" s="4" t="str">
        <f aca="false">IF(AND(I434&gt;='Read Me &amp; Markers'!$B$18,J434&gt;='Read Me &amp; Markers'!$B$19,L434&gt;='Read Me &amp; Markers'!$B$20),"A. Proven winner",IF(AND(I434&gt;='Read Me &amp; Markers'!$B$18,J434&gt;='Read Me &amp; Markers'!$B$19,L434&gt;='Read Me &amp; Markers'!$B$21),"B. Strong performer",IF(AND(I434&gt;='Read Me &amp; Markers'!$B$22,L434&gt;='Read Me &amp; Markers'!$B$23),"C. Scale workhorse",IF(AND(I434&gt;='Read Me &amp; Markers'!$B$24,I434&lt;'Read Me &amp; Markers'!$B$18,J434&gt;='Read Me &amp; Markers'!$B$25,L434&gt;='Read Me &amp; Markers'!$B$26),"D. Promising (needs more spend)",""))))</f>
        <v/>
      </c>
      <c r="C434" s="4" t="s">
        <v>121</v>
      </c>
      <c r="D434" s="4" t="s">
        <v>154</v>
      </c>
      <c r="E434" s="4" t="s">
        <v>1681</v>
      </c>
      <c r="F434" s="4" t="s">
        <v>87</v>
      </c>
      <c r="G434" s="4" t="s">
        <v>188</v>
      </c>
      <c r="H434" s="4" t="s">
        <v>1682</v>
      </c>
      <c r="I434" s="5" t="n">
        <v>60.48</v>
      </c>
      <c r="J434" s="7" t="n">
        <v>0</v>
      </c>
      <c r="K434" s="5" t="n">
        <v>0</v>
      </c>
      <c r="L434" s="8" t="n">
        <v>0</v>
      </c>
      <c r="M434" s="9" t="n">
        <v>0</v>
      </c>
      <c r="N434" s="10" t="n">
        <v>0.02480916</v>
      </c>
      <c r="O434" s="5" t="n">
        <v>38.47</v>
      </c>
      <c r="P434" s="11" t="n">
        <v>1.165308</v>
      </c>
      <c r="Q434" s="7" t="n">
        <v>1572</v>
      </c>
      <c r="R434" s="7" t="n">
        <v>39</v>
      </c>
      <c r="S434" s="7" t="n">
        <v>0</v>
      </c>
      <c r="T434" s="7" t="n">
        <v>0</v>
      </c>
      <c r="U434" s="7" t="n">
        <v>1229</v>
      </c>
      <c r="V434" s="7" t="n">
        <v>79</v>
      </c>
    </row>
    <row r="435" customFormat="false" ht="15" hidden="false" customHeight="false" outlineLevel="0" collapsed="false">
      <c r="A435" s="4" t="s">
        <v>1683</v>
      </c>
      <c r="B435" s="4" t="str">
        <f aca="false">IF(AND(I435&gt;='Read Me &amp; Markers'!$B$18,J435&gt;='Read Me &amp; Markers'!$B$19,L435&gt;='Read Me &amp; Markers'!$B$20),"A. Proven winner",IF(AND(I435&gt;='Read Me &amp; Markers'!$B$18,J435&gt;='Read Me &amp; Markers'!$B$19,L435&gt;='Read Me &amp; Markers'!$B$21),"B. Strong performer",IF(AND(I435&gt;='Read Me &amp; Markers'!$B$22,L435&gt;='Read Me &amp; Markers'!$B$23),"C. Scale workhorse",IF(AND(I435&gt;='Read Me &amp; Markers'!$B$24,I435&lt;'Read Me &amp; Markers'!$B$18,J435&gt;='Read Me &amp; Markers'!$B$25,L435&gt;='Read Me &amp; Markers'!$B$26),"D. Promising (needs more spend)",""))))</f>
        <v/>
      </c>
      <c r="C435" s="4" t="s">
        <v>1684</v>
      </c>
      <c r="D435" s="4" t="s">
        <v>109</v>
      </c>
      <c r="E435" s="4" t="s">
        <v>1576</v>
      </c>
      <c r="F435" s="4" t="s">
        <v>87</v>
      </c>
      <c r="G435" s="4" t="s">
        <v>508</v>
      </c>
      <c r="H435" s="4" t="s">
        <v>1685</v>
      </c>
      <c r="I435" s="5" t="n">
        <v>59.93</v>
      </c>
      <c r="J435" s="7" t="n">
        <v>0</v>
      </c>
      <c r="K435" s="5" t="n">
        <v>0</v>
      </c>
      <c r="L435" s="8" t="n">
        <v>0</v>
      </c>
      <c r="M435" s="9" t="n">
        <v>0</v>
      </c>
      <c r="N435" s="10" t="n">
        <v>0.0328068</v>
      </c>
      <c r="O435" s="5" t="n">
        <v>72.82</v>
      </c>
      <c r="P435" s="11" t="n">
        <v>1.230194</v>
      </c>
      <c r="Q435" s="7" t="n">
        <v>823</v>
      </c>
      <c r="R435" s="7" t="n">
        <v>27</v>
      </c>
      <c r="S435" s="7" t="n">
        <v>1</v>
      </c>
      <c r="T435" s="7" t="n">
        <v>1</v>
      </c>
      <c r="U435" s="7" t="n">
        <v>0</v>
      </c>
      <c r="V435" s="7" t="n">
        <v>0</v>
      </c>
    </row>
    <row r="436" customFormat="false" ht="15" hidden="false" customHeight="false" outlineLevel="0" collapsed="false">
      <c r="A436" s="4" t="s">
        <v>1686</v>
      </c>
      <c r="B436" s="4" t="str">
        <f aca="false">IF(AND(I436&gt;='Read Me &amp; Markers'!$B$18,J436&gt;='Read Me &amp; Markers'!$B$19,L436&gt;='Read Me &amp; Markers'!$B$20),"A. Proven winner",IF(AND(I436&gt;='Read Me &amp; Markers'!$B$18,J436&gt;='Read Me &amp; Markers'!$B$19,L436&gt;='Read Me &amp; Markers'!$B$21),"B. Strong performer",IF(AND(I436&gt;='Read Me &amp; Markers'!$B$22,L436&gt;='Read Me &amp; Markers'!$B$23),"C. Scale workhorse",IF(AND(I436&gt;='Read Me &amp; Markers'!$B$24,I436&lt;'Read Me &amp; Markers'!$B$18,J436&gt;='Read Me &amp; Markers'!$B$25,L436&gt;='Read Me &amp; Markers'!$B$26),"D. Promising (needs more spend)",""))))</f>
        <v/>
      </c>
      <c r="C436" s="4" t="s">
        <v>1687</v>
      </c>
      <c r="D436" s="4" t="s">
        <v>109</v>
      </c>
      <c r="E436" s="4" t="s">
        <v>1688</v>
      </c>
      <c r="F436" s="4" t="s">
        <v>87</v>
      </c>
      <c r="G436" s="4" t="s">
        <v>317</v>
      </c>
      <c r="H436" s="4" t="s">
        <v>1689</v>
      </c>
      <c r="I436" s="5" t="n">
        <v>59.38</v>
      </c>
      <c r="J436" s="7" t="n">
        <v>1</v>
      </c>
      <c r="K436" s="5" t="n">
        <v>99.98</v>
      </c>
      <c r="L436" s="8" t="n">
        <v>1.683732</v>
      </c>
      <c r="M436" s="9" t="n">
        <v>59.38</v>
      </c>
      <c r="N436" s="10" t="n">
        <v>0.10275689</v>
      </c>
      <c r="O436" s="5" t="n">
        <v>148.82</v>
      </c>
      <c r="P436" s="11" t="n">
        <v>1.194611</v>
      </c>
      <c r="Q436" s="7" t="n">
        <v>399</v>
      </c>
      <c r="R436" s="7" t="n">
        <v>41</v>
      </c>
      <c r="S436" s="7" t="n">
        <v>1</v>
      </c>
      <c r="T436" s="7" t="n">
        <v>1</v>
      </c>
      <c r="U436" s="7" t="n">
        <v>355</v>
      </c>
      <c r="V436" s="7" t="n">
        <v>76</v>
      </c>
    </row>
    <row r="437" customFormat="false" ht="15" hidden="false" customHeight="false" outlineLevel="0" collapsed="false">
      <c r="A437" s="4" t="s">
        <v>1690</v>
      </c>
      <c r="B437" s="4" t="str">
        <f aca="false">IF(AND(I437&gt;='Read Me &amp; Markers'!$B$18,J437&gt;='Read Me &amp; Markers'!$B$19,L437&gt;='Read Me &amp; Markers'!$B$20),"A. Proven winner",IF(AND(I437&gt;='Read Me &amp; Markers'!$B$18,J437&gt;='Read Me &amp; Markers'!$B$19,L437&gt;='Read Me &amp; Markers'!$B$21),"B. Strong performer",IF(AND(I437&gt;='Read Me &amp; Markers'!$B$22,L437&gt;='Read Me &amp; Markers'!$B$23),"C. Scale workhorse",IF(AND(I437&gt;='Read Me &amp; Markers'!$B$24,I437&lt;'Read Me &amp; Markers'!$B$18,J437&gt;='Read Me &amp; Markers'!$B$25,L437&gt;='Read Me &amp; Markers'!$B$26),"D. Promising (needs more spend)",""))))</f>
        <v/>
      </c>
      <c r="C437" s="4" t="s">
        <v>169</v>
      </c>
      <c r="D437" s="4" t="s">
        <v>206</v>
      </c>
      <c r="E437" s="4" t="s">
        <v>1691</v>
      </c>
      <c r="F437" s="4" t="s">
        <v>253</v>
      </c>
      <c r="G437" s="4" t="s">
        <v>132</v>
      </c>
      <c r="H437" s="4" t="s">
        <v>1692</v>
      </c>
      <c r="I437" s="5" t="n">
        <v>59.34</v>
      </c>
      <c r="J437" s="7" t="n">
        <v>2</v>
      </c>
      <c r="K437" s="5" t="n">
        <v>145.93</v>
      </c>
      <c r="L437" s="8" t="n">
        <v>2.459218</v>
      </c>
      <c r="M437" s="9" t="n">
        <v>29.67</v>
      </c>
      <c r="N437" s="10" t="n">
        <v>0.02820874</v>
      </c>
      <c r="O437" s="5" t="n">
        <v>83.7</v>
      </c>
      <c r="P437" s="11" t="n">
        <v>1.286751</v>
      </c>
      <c r="Q437" s="7" t="n">
        <v>709</v>
      </c>
      <c r="R437" s="7" t="n">
        <v>20</v>
      </c>
      <c r="S437" s="7" t="n">
        <v>5</v>
      </c>
      <c r="T437" s="7" t="n">
        <v>3</v>
      </c>
      <c r="U437" s="7" t="n">
        <v>472</v>
      </c>
      <c r="V437" s="7" t="n">
        <v>43</v>
      </c>
    </row>
    <row r="438" customFormat="false" ht="15" hidden="false" customHeight="false" outlineLevel="0" collapsed="false">
      <c r="A438" s="4" t="s">
        <v>1693</v>
      </c>
      <c r="B438" s="4" t="str">
        <f aca="false">IF(AND(I438&gt;='Read Me &amp; Markers'!$B$18,J438&gt;='Read Me &amp; Markers'!$B$19,L438&gt;='Read Me &amp; Markers'!$B$20),"A. Proven winner",IF(AND(I438&gt;='Read Me &amp; Markers'!$B$18,J438&gt;='Read Me &amp; Markers'!$B$19,L438&gt;='Read Me &amp; Markers'!$B$21),"B. Strong performer",IF(AND(I438&gt;='Read Me &amp; Markers'!$B$22,L438&gt;='Read Me &amp; Markers'!$B$23),"C. Scale workhorse",IF(AND(I438&gt;='Read Me &amp; Markers'!$B$24,I438&lt;'Read Me &amp; Markers'!$B$18,J438&gt;='Read Me &amp; Markers'!$B$25,L438&gt;='Read Me &amp; Markers'!$B$26),"D. Promising (needs more spend)",""))))</f>
        <v/>
      </c>
      <c r="C438" s="4" t="s">
        <v>1694</v>
      </c>
      <c r="D438" s="4" t="s">
        <v>109</v>
      </c>
      <c r="E438" s="4" t="s">
        <v>110</v>
      </c>
      <c r="F438" s="4" t="s">
        <v>111</v>
      </c>
      <c r="G438" s="4" t="s">
        <v>112</v>
      </c>
      <c r="H438" s="4" t="s">
        <v>1695</v>
      </c>
      <c r="I438" s="5" t="n">
        <v>59.24</v>
      </c>
      <c r="J438" s="7" t="n">
        <v>0</v>
      </c>
      <c r="K438" s="5" t="n">
        <v>0</v>
      </c>
      <c r="L438" s="8" t="n">
        <v>0</v>
      </c>
      <c r="M438" s="9" t="n">
        <v>0</v>
      </c>
      <c r="N438" s="10" t="n">
        <v>0.01450893</v>
      </c>
      <c r="O438" s="5" t="n">
        <v>66.12</v>
      </c>
      <c r="P438" s="11" t="n">
        <v>1.276353</v>
      </c>
      <c r="Q438" s="7" t="n">
        <v>896</v>
      </c>
      <c r="R438" s="7" t="n">
        <v>13</v>
      </c>
      <c r="S438" s="7" t="n">
        <v>2</v>
      </c>
      <c r="T438" s="7" t="n">
        <v>3</v>
      </c>
      <c r="U438" s="7" t="n">
        <v>0</v>
      </c>
      <c r="V438" s="7" t="n">
        <v>0</v>
      </c>
    </row>
    <row r="439" customFormat="false" ht="15" hidden="false" customHeight="false" outlineLevel="0" collapsed="false">
      <c r="A439" s="4" t="s">
        <v>1696</v>
      </c>
      <c r="B439" s="4" t="str">
        <f aca="false">IF(AND(I439&gt;='Read Me &amp; Markers'!$B$18,J439&gt;='Read Me &amp; Markers'!$B$19,L439&gt;='Read Me &amp; Markers'!$B$20),"A. Proven winner",IF(AND(I439&gt;='Read Me &amp; Markers'!$B$18,J439&gt;='Read Me &amp; Markers'!$B$19,L439&gt;='Read Me &amp; Markers'!$B$21),"B. Strong performer",IF(AND(I439&gt;='Read Me &amp; Markers'!$B$22,L439&gt;='Read Me &amp; Markers'!$B$23),"C. Scale workhorse",IF(AND(I439&gt;='Read Me &amp; Markers'!$B$24,I439&lt;'Read Me &amp; Markers'!$B$18,J439&gt;='Read Me &amp; Markers'!$B$25,L439&gt;='Read Me &amp; Markers'!$B$26),"D. Promising (needs more spend)",""))))</f>
        <v/>
      </c>
      <c r="C439" s="4" t="s">
        <v>1697</v>
      </c>
      <c r="D439" s="4" t="s">
        <v>109</v>
      </c>
      <c r="E439" s="4" t="s">
        <v>435</v>
      </c>
      <c r="F439" s="4" t="s">
        <v>111</v>
      </c>
      <c r="G439" s="4" t="s">
        <v>500</v>
      </c>
      <c r="H439" s="4" t="s">
        <v>1698</v>
      </c>
      <c r="I439" s="5" t="n">
        <v>59.14</v>
      </c>
      <c r="J439" s="7" t="n">
        <v>0</v>
      </c>
      <c r="K439" s="5" t="n">
        <v>0</v>
      </c>
      <c r="L439" s="8" t="n">
        <v>0</v>
      </c>
      <c r="M439" s="9" t="n">
        <v>0</v>
      </c>
      <c r="N439" s="10" t="n">
        <v>0.00712025</v>
      </c>
      <c r="O439" s="5" t="n">
        <v>46.79</v>
      </c>
      <c r="P439" s="11" t="n">
        <v>1.425028</v>
      </c>
      <c r="Q439" s="7" t="n">
        <v>1264</v>
      </c>
      <c r="R439" s="7" t="n">
        <v>9</v>
      </c>
      <c r="S439" s="7" t="n">
        <v>4</v>
      </c>
      <c r="T439" s="7" t="n">
        <v>2</v>
      </c>
      <c r="U439" s="7" t="n">
        <v>0</v>
      </c>
      <c r="V439" s="7" t="n">
        <v>0</v>
      </c>
    </row>
    <row r="440" customFormat="false" ht="15" hidden="false" customHeight="false" outlineLevel="0" collapsed="false">
      <c r="A440" s="4" t="s">
        <v>1699</v>
      </c>
      <c r="B440" s="4" t="str">
        <f aca="false">IF(AND(I440&gt;='Read Me &amp; Markers'!$B$18,J440&gt;='Read Me &amp; Markers'!$B$19,L440&gt;='Read Me &amp; Markers'!$B$20),"A. Proven winner",IF(AND(I440&gt;='Read Me &amp; Markers'!$B$18,J440&gt;='Read Me &amp; Markers'!$B$19,L440&gt;='Read Me &amp; Markers'!$B$21),"B. Strong performer",IF(AND(I440&gt;='Read Me &amp; Markers'!$B$22,L440&gt;='Read Me &amp; Markers'!$B$23),"C. Scale workhorse",IF(AND(I440&gt;='Read Me &amp; Markers'!$B$24,I440&lt;'Read Me &amp; Markers'!$B$18,J440&gt;='Read Me &amp; Markers'!$B$25,L440&gt;='Read Me &amp; Markers'!$B$26),"D. Promising (needs more spend)",""))))</f>
        <v/>
      </c>
      <c r="C440" s="4" t="s">
        <v>1700</v>
      </c>
      <c r="D440" s="4" t="s">
        <v>109</v>
      </c>
      <c r="E440" s="4" t="s">
        <v>1701</v>
      </c>
      <c r="F440" s="4" t="s">
        <v>111</v>
      </c>
      <c r="G440" s="4" t="s">
        <v>1702</v>
      </c>
      <c r="H440" s="4" t="s">
        <v>1703</v>
      </c>
      <c r="I440" s="5" t="n">
        <v>59.14</v>
      </c>
      <c r="J440" s="7" t="n">
        <v>0</v>
      </c>
      <c r="K440" s="5" t="n">
        <v>0</v>
      </c>
      <c r="L440" s="8" t="n">
        <v>0</v>
      </c>
      <c r="M440" s="9" t="n">
        <v>0</v>
      </c>
      <c r="N440" s="10" t="n">
        <v>0.05202312</v>
      </c>
      <c r="O440" s="5" t="n">
        <v>170.92</v>
      </c>
      <c r="P440" s="11" t="n">
        <v>1.123377</v>
      </c>
      <c r="Q440" s="7" t="n">
        <v>346</v>
      </c>
      <c r="R440" s="7" t="n">
        <v>18</v>
      </c>
      <c r="S440" s="7" t="n">
        <v>0</v>
      </c>
      <c r="T440" s="7" t="n">
        <v>0</v>
      </c>
      <c r="U440" s="7" t="n">
        <v>326</v>
      </c>
      <c r="V440" s="7" t="n">
        <v>67</v>
      </c>
    </row>
    <row r="441" customFormat="false" ht="15" hidden="false" customHeight="false" outlineLevel="0" collapsed="false">
      <c r="A441" s="4" t="s">
        <v>1704</v>
      </c>
      <c r="B441" s="4" t="str">
        <f aca="false">IF(AND(I441&gt;='Read Me &amp; Markers'!$B$18,J441&gt;='Read Me &amp; Markers'!$B$19,L441&gt;='Read Me &amp; Markers'!$B$20),"A. Proven winner",IF(AND(I441&gt;='Read Me &amp; Markers'!$B$18,J441&gt;='Read Me &amp; Markers'!$B$19,L441&gt;='Read Me &amp; Markers'!$B$21),"B. Strong performer",IF(AND(I441&gt;='Read Me &amp; Markers'!$B$22,L441&gt;='Read Me &amp; Markers'!$B$23),"C. Scale workhorse",IF(AND(I441&gt;='Read Me &amp; Markers'!$B$24,I441&lt;'Read Me &amp; Markers'!$B$18,J441&gt;='Read Me &amp; Markers'!$B$25,L441&gt;='Read Me &amp; Markers'!$B$26),"D. Promising (needs more spend)",""))))</f>
        <v/>
      </c>
      <c r="C441" s="4" t="s">
        <v>121</v>
      </c>
      <c r="D441" s="4" t="s">
        <v>100</v>
      </c>
      <c r="E441" s="4" t="s">
        <v>1486</v>
      </c>
      <c r="F441" s="4" t="s">
        <v>87</v>
      </c>
      <c r="G441" s="4" t="s">
        <v>132</v>
      </c>
      <c r="H441" s="4" t="s">
        <v>1705</v>
      </c>
      <c r="I441" s="5" t="n">
        <v>58.39</v>
      </c>
      <c r="J441" s="7" t="n">
        <v>0</v>
      </c>
      <c r="K441" s="5" t="n">
        <v>0</v>
      </c>
      <c r="L441" s="8" t="n">
        <v>0</v>
      </c>
      <c r="M441" s="9" t="n">
        <v>0</v>
      </c>
      <c r="N441" s="10" t="n">
        <v>0.04666667</v>
      </c>
      <c r="O441" s="5" t="n">
        <v>129.76</v>
      </c>
      <c r="P441" s="11" t="n">
        <v>1.130653</v>
      </c>
      <c r="Q441" s="7" t="n">
        <v>450</v>
      </c>
      <c r="R441" s="7" t="n">
        <v>21</v>
      </c>
      <c r="S441" s="7" t="n">
        <v>4</v>
      </c>
      <c r="T441" s="7" t="n">
        <v>1</v>
      </c>
      <c r="U441" s="7" t="n">
        <v>378</v>
      </c>
      <c r="V441" s="7" t="n">
        <v>49</v>
      </c>
    </row>
    <row r="442" customFormat="false" ht="15" hidden="false" customHeight="false" outlineLevel="0" collapsed="false">
      <c r="A442" s="4" t="s">
        <v>1706</v>
      </c>
      <c r="B442" s="4" t="str">
        <f aca="false">IF(AND(I442&gt;='Read Me &amp; Markers'!$B$18,J442&gt;='Read Me &amp; Markers'!$B$19,L442&gt;='Read Me &amp; Markers'!$B$20),"A. Proven winner",IF(AND(I442&gt;='Read Me &amp; Markers'!$B$18,J442&gt;='Read Me &amp; Markers'!$B$19,L442&gt;='Read Me &amp; Markers'!$B$21),"B. Strong performer",IF(AND(I442&gt;='Read Me &amp; Markers'!$B$22,L442&gt;='Read Me &amp; Markers'!$B$23),"C. Scale workhorse",IF(AND(I442&gt;='Read Me &amp; Markers'!$B$24,I442&lt;'Read Me &amp; Markers'!$B$18,J442&gt;='Read Me &amp; Markers'!$B$25,L442&gt;='Read Me &amp; Markers'!$B$26),"D. Promising (needs more spend)",""))))</f>
        <v/>
      </c>
      <c r="C442" s="4" t="s">
        <v>169</v>
      </c>
      <c r="D442" s="4" t="s">
        <v>206</v>
      </c>
      <c r="E442" s="4" t="s">
        <v>1707</v>
      </c>
      <c r="F442" s="4" t="s">
        <v>253</v>
      </c>
      <c r="G442" s="4" t="s">
        <v>132</v>
      </c>
      <c r="H442" s="4" t="s">
        <v>1708</v>
      </c>
      <c r="I442" s="5" t="n">
        <v>57.86</v>
      </c>
      <c r="J442" s="7" t="n">
        <v>2</v>
      </c>
      <c r="K442" s="5" t="n">
        <v>128.32</v>
      </c>
      <c r="L442" s="8" t="n">
        <v>2.217767</v>
      </c>
      <c r="M442" s="9" t="n">
        <v>28.93</v>
      </c>
      <c r="N442" s="10" t="n">
        <v>0.03316327</v>
      </c>
      <c r="O442" s="5" t="n">
        <v>73.8</v>
      </c>
      <c r="P442" s="11" t="n">
        <v>1.298013</v>
      </c>
      <c r="Q442" s="7" t="n">
        <v>784</v>
      </c>
      <c r="R442" s="7" t="n">
        <v>26</v>
      </c>
      <c r="S442" s="7" t="n">
        <v>3</v>
      </c>
      <c r="T442" s="7" t="n">
        <v>3</v>
      </c>
      <c r="U442" s="7" t="n">
        <v>609</v>
      </c>
      <c r="V442" s="7" t="n">
        <v>36</v>
      </c>
    </row>
    <row r="443" customFormat="false" ht="15" hidden="false" customHeight="false" outlineLevel="0" collapsed="false">
      <c r="A443" s="4" t="s">
        <v>1709</v>
      </c>
      <c r="B443" s="4" t="str">
        <f aca="false">IF(AND(I443&gt;='Read Me &amp; Markers'!$B$18,J443&gt;='Read Me &amp; Markers'!$B$19,L443&gt;='Read Me &amp; Markers'!$B$20),"A. Proven winner",IF(AND(I443&gt;='Read Me &amp; Markers'!$B$18,J443&gt;='Read Me &amp; Markers'!$B$19,L443&gt;='Read Me &amp; Markers'!$B$21),"B. Strong performer",IF(AND(I443&gt;='Read Me &amp; Markers'!$B$22,L443&gt;='Read Me &amp; Markers'!$B$23),"C. Scale workhorse",IF(AND(I443&gt;='Read Me &amp; Markers'!$B$24,I443&lt;'Read Me &amp; Markers'!$B$18,J443&gt;='Read Me &amp; Markers'!$B$25,L443&gt;='Read Me &amp; Markers'!$B$26),"D. Promising (needs more spend)",""))))</f>
        <v/>
      </c>
      <c r="C443" s="4" t="s">
        <v>169</v>
      </c>
      <c r="D443" s="4" t="s">
        <v>154</v>
      </c>
      <c r="E443" s="4" t="s">
        <v>1710</v>
      </c>
      <c r="F443" s="4" t="s">
        <v>87</v>
      </c>
      <c r="G443" s="4" t="s">
        <v>1711</v>
      </c>
      <c r="H443" s="4" t="s">
        <v>1712</v>
      </c>
      <c r="I443" s="5" t="n">
        <v>57.8</v>
      </c>
      <c r="J443" s="7" t="n">
        <v>1</v>
      </c>
      <c r="K443" s="5" t="n">
        <v>79.95</v>
      </c>
      <c r="L443" s="8" t="n">
        <v>1.383218</v>
      </c>
      <c r="M443" s="9" t="n">
        <v>57.8</v>
      </c>
      <c r="N443" s="10" t="n">
        <v>0.06472081</v>
      </c>
      <c r="O443" s="5" t="n">
        <v>73.35</v>
      </c>
      <c r="P443" s="11" t="n">
        <v>1.227414</v>
      </c>
      <c r="Q443" s="7" t="n">
        <v>788</v>
      </c>
      <c r="R443" s="7" t="n">
        <v>51</v>
      </c>
      <c r="S443" s="7" t="n">
        <v>3</v>
      </c>
      <c r="T443" s="7" t="n">
        <v>3</v>
      </c>
      <c r="U443" s="7" t="n">
        <v>698</v>
      </c>
      <c r="V443" s="7" t="n">
        <v>61</v>
      </c>
    </row>
    <row r="444" customFormat="false" ht="15" hidden="false" customHeight="false" outlineLevel="0" collapsed="false">
      <c r="A444" s="4" t="s">
        <v>1713</v>
      </c>
      <c r="B444" s="4" t="str">
        <f aca="false">IF(AND(I444&gt;='Read Me &amp; Markers'!$B$18,J444&gt;='Read Me &amp; Markers'!$B$19,L444&gt;='Read Me &amp; Markers'!$B$20),"A. Proven winner",IF(AND(I444&gt;='Read Me &amp; Markers'!$B$18,J444&gt;='Read Me &amp; Markers'!$B$19,L444&gt;='Read Me &amp; Markers'!$B$21),"B. Strong performer",IF(AND(I444&gt;='Read Me &amp; Markers'!$B$22,L444&gt;='Read Me &amp; Markers'!$B$23),"C. Scale workhorse",IF(AND(I444&gt;='Read Me &amp; Markers'!$B$24,I444&lt;'Read Me &amp; Markers'!$B$18,J444&gt;='Read Me &amp; Markers'!$B$25,L444&gt;='Read Me &amp; Markers'!$B$26),"D. Promising (needs more spend)",""))))</f>
        <v/>
      </c>
      <c r="C444" s="4" t="s">
        <v>121</v>
      </c>
      <c r="D444" s="4" t="s">
        <v>100</v>
      </c>
      <c r="E444" s="4" t="s">
        <v>872</v>
      </c>
      <c r="F444" s="4" t="s">
        <v>87</v>
      </c>
      <c r="G444" s="4" t="s">
        <v>342</v>
      </c>
      <c r="H444" s="4" t="s">
        <v>1714</v>
      </c>
      <c r="I444" s="5" t="n">
        <v>57.35</v>
      </c>
      <c r="J444" s="7" t="n">
        <v>0</v>
      </c>
      <c r="K444" s="5" t="n">
        <v>0</v>
      </c>
      <c r="L444" s="8" t="n">
        <v>0</v>
      </c>
      <c r="M444" s="9" t="n">
        <v>0</v>
      </c>
      <c r="N444" s="10" t="n">
        <v>0.03984064</v>
      </c>
      <c r="O444" s="5" t="n">
        <v>114.24</v>
      </c>
      <c r="P444" s="11" t="n">
        <v>1.026585</v>
      </c>
      <c r="Q444" s="7" t="n">
        <v>502</v>
      </c>
      <c r="R444" s="7" t="n">
        <v>20</v>
      </c>
      <c r="S444" s="7" t="n">
        <v>0</v>
      </c>
      <c r="T444" s="7" t="n">
        <v>0</v>
      </c>
      <c r="U444" s="7" t="n">
        <v>490</v>
      </c>
      <c r="V444" s="7" t="n">
        <v>94</v>
      </c>
    </row>
    <row r="445" customFormat="false" ht="15" hidden="false" customHeight="false" outlineLevel="0" collapsed="false">
      <c r="A445" s="4" t="s">
        <v>1715</v>
      </c>
      <c r="B445" s="4" t="str">
        <f aca="false">IF(AND(I445&gt;='Read Me &amp; Markers'!$B$18,J445&gt;='Read Me &amp; Markers'!$B$19,L445&gt;='Read Me &amp; Markers'!$B$20),"A. Proven winner",IF(AND(I445&gt;='Read Me &amp; Markers'!$B$18,J445&gt;='Read Me &amp; Markers'!$B$19,L445&gt;='Read Me &amp; Markers'!$B$21),"B. Strong performer",IF(AND(I445&gt;='Read Me &amp; Markers'!$B$22,L445&gt;='Read Me &amp; Markers'!$B$23),"C. Scale workhorse",IF(AND(I445&gt;='Read Me &amp; Markers'!$B$24,I445&lt;'Read Me &amp; Markers'!$B$18,J445&gt;='Read Me &amp; Markers'!$B$25,L445&gt;='Read Me &amp; Markers'!$B$26),"D. Promising (needs more spend)",""))))</f>
        <v/>
      </c>
      <c r="C445" s="4" t="s">
        <v>1716</v>
      </c>
      <c r="D445" s="4" t="s">
        <v>109</v>
      </c>
      <c r="E445" s="4" t="s">
        <v>979</v>
      </c>
      <c r="F445" s="4" t="s">
        <v>87</v>
      </c>
      <c r="G445" s="4" t="s">
        <v>659</v>
      </c>
      <c r="H445" s="4" t="s">
        <v>1717</v>
      </c>
      <c r="I445" s="5" t="n">
        <v>57.06</v>
      </c>
      <c r="J445" s="7" t="n">
        <v>0</v>
      </c>
      <c r="K445" s="5" t="n">
        <v>0</v>
      </c>
      <c r="L445" s="8" t="n">
        <v>0</v>
      </c>
      <c r="M445" s="9" t="n">
        <v>0</v>
      </c>
      <c r="N445" s="10" t="n">
        <v>0.10087719</v>
      </c>
      <c r="O445" s="5" t="n">
        <v>250.26</v>
      </c>
      <c r="P445" s="11" t="n">
        <v>1.169231</v>
      </c>
      <c r="Q445" s="7" t="n">
        <v>228</v>
      </c>
      <c r="R445" s="7" t="n">
        <v>23</v>
      </c>
      <c r="S445" s="7" t="n">
        <v>3</v>
      </c>
      <c r="T445" s="7" t="n">
        <v>4</v>
      </c>
      <c r="U445" s="7" t="n">
        <v>201</v>
      </c>
      <c r="V445" s="7" t="n">
        <v>55</v>
      </c>
    </row>
    <row r="446" customFormat="false" ht="15" hidden="false" customHeight="false" outlineLevel="0" collapsed="false">
      <c r="A446" s="4" t="s">
        <v>1718</v>
      </c>
      <c r="B446" s="4" t="str">
        <f aca="false">IF(AND(I446&gt;='Read Me &amp; Markers'!$B$18,J446&gt;='Read Me &amp; Markers'!$B$19,L446&gt;='Read Me &amp; Markers'!$B$20),"A. Proven winner",IF(AND(I446&gt;='Read Me &amp; Markers'!$B$18,J446&gt;='Read Me &amp; Markers'!$B$19,L446&gt;='Read Me &amp; Markers'!$B$21),"B. Strong performer",IF(AND(I446&gt;='Read Me &amp; Markers'!$B$22,L446&gt;='Read Me &amp; Markers'!$B$23),"C. Scale workhorse",IF(AND(I446&gt;='Read Me &amp; Markers'!$B$24,I446&lt;'Read Me &amp; Markers'!$B$18,J446&gt;='Read Me &amp; Markers'!$B$25,L446&gt;='Read Me &amp; Markers'!$B$26),"D. Promising (needs more spend)",""))))</f>
        <v/>
      </c>
      <c r="C446" s="4" t="s">
        <v>1361</v>
      </c>
      <c r="D446" s="4" t="s">
        <v>206</v>
      </c>
      <c r="E446" s="4" t="s">
        <v>1719</v>
      </c>
      <c r="F446" s="4" t="s">
        <v>253</v>
      </c>
      <c r="G446" s="4" t="s">
        <v>1363</v>
      </c>
      <c r="H446" s="4" t="s">
        <v>1720</v>
      </c>
      <c r="I446" s="5" t="n">
        <v>56.89</v>
      </c>
      <c r="J446" s="7" t="n">
        <v>3</v>
      </c>
      <c r="K446" s="5" t="n">
        <v>161.89</v>
      </c>
      <c r="L446" s="8" t="n">
        <v>2.845667</v>
      </c>
      <c r="M446" s="9" t="n">
        <v>18.96</v>
      </c>
      <c r="N446" s="10" t="n">
        <v>0.01932367</v>
      </c>
      <c r="O446" s="5" t="n">
        <v>54.97</v>
      </c>
      <c r="P446" s="11" t="n">
        <v>1.459803</v>
      </c>
      <c r="Q446" s="7" t="n">
        <v>1035</v>
      </c>
      <c r="R446" s="7" t="n">
        <v>20</v>
      </c>
      <c r="S446" s="7" t="n">
        <v>2</v>
      </c>
      <c r="T446" s="7" t="n">
        <v>2</v>
      </c>
      <c r="U446" s="7" t="n">
        <v>0</v>
      </c>
      <c r="V446" s="7" t="n">
        <v>0</v>
      </c>
    </row>
    <row r="447" customFormat="false" ht="15" hidden="false" customHeight="false" outlineLevel="0" collapsed="false">
      <c r="A447" s="4" t="s">
        <v>1721</v>
      </c>
      <c r="B447" s="4" t="str">
        <f aca="false">IF(AND(I447&gt;='Read Me &amp; Markers'!$B$18,J447&gt;='Read Me &amp; Markers'!$B$19,L447&gt;='Read Me &amp; Markers'!$B$20),"A. Proven winner",IF(AND(I447&gt;='Read Me &amp; Markers'!$B$18,J447&gt;='Read Me &amp; Markers'!$B$19,L447&gt;='Read Me &amp; Markers'!$B$21),"B. Strong performer",IF(AND(I447&gt;='Read Me &amp; Markers'!$B$22,L447&gt;='Read Me &amp; Markers'!$B$23),"C. Scale workhorse",IF(AND(I447&gt;='Read Me &amp; Markers'!$B$24,I447&lt;'Read Me &amp; Markers'!$B$18,J447&gt;='Read Me &amp; Markers'!$B$25,L447&gt;='Read Me &amp; Markers'!$B$26),"D. Promising (needs more spend)",""))))</f>
        <v/>
      </c>
      <c r="C447" s="4" t="s">
        <v>1722</v>
      </c>
      <c r="D447" s="4" t="s">
        <v>109</v>
      </c>
      <c r="E447" s="4" t="s">
        <v>738</v>
      </c>
      <c r="F447" s="4" t="s">
        <v>111</v>
      </c>
      <c r="G447" s="4" t="s">
        <v>739</v>
      </c>
      <c r="H447" s="4" t="s">
        <v>1723</v>
      </c>
      <c r="I447" s="5" t="n">
        <v>56.79</v>
      </c>
      <c r="J447" s="7" t="n">
        <v>1</v>
      </c>
      <c r="K447" s="5" t="n">
        <v>79.97</v>
      </c>
      <c r="L447" s="8" t="n">
        <v>1.40817</v>
      </c>
      <c r="M447" s="9" t="n">
        <v>56.79</v>
      </c>
      <c r="N447" s="10" t="n">
        <v>0.0088853</v>
      </c>
      <c r="O447" s="5" t="n">
        <v>45.87</v>
      </c>
      <c r="P447" s="11" t="n">
        <v>1.541719</v>
      </c>
      <c r="Q447" s="7" t="n">
        <v>1238</v>
      </c>
      <c r="R447" s="7" t="n">
        <v>11</v>
      </c>
      <c r="S447" s="7" t="n">
        <v>1</v>
      </c>
      <c r="T447" s="7" t="n">
        <v>1</v>
      </c>
      <c r="U447" s="7" t="n">
        <v>8</v>
      </c>
      <c r="V447" s="7" t="n">
        <v>1</v>
      </c>
    </row>
    <row r="448" customFormat="false" ht="15" hidden="false" customHeight="false" outlineLevel="0" collapsed="false">
      <c r="A448" s="4" t="s">
        <v>1724</v>
      </c>
      <c r="B448" s="4" t="str">
        <f aca="false">IF(AND(I448&gt;='Read Me &amp; Markers'!$B$18,J448&gt;='Read Me &amp; Markers'!$B$19,L448&gt;='Read Me &amp; Markers'!$B$20),"A. Proven winner",IF(AND(I448&gt;='Read Me &amp; Markers'!$B$18,J448&gt;='Read Me &amp; Markers'!$B$19,L448&gt;='Read Me &amp; Markers'!$B$21),"B. Strong performer",IF(AND(I448&gt;='Read Me &amp; Markers'!$B$22,L448&gt;='Read Me &amp; Markers'!$B$23),"C. Scale workhorse",IF(AND(I448&gt;='Read Me &amp; Markers'!$B$24,I448&lt;'Read Me &amp; Markers'!$B$18,J448&gt;='Read Me &amp; Markers'!$B$25,L448&gt;='Read Me &amp; Markers'!$B$26),"D. Promising (needs more spend)",""))))</f>
        <v/>
      </c>
      <c r="C448" s="4" t="s">
        <v>1725</v>
      </c>
      <c r="D448" s="4" t="s">
        <v>109</v>
      </c>
      <c r="E448" s="4" t="s">
        <v>1606</v>
      </c>
      <c r="F448" s="4" t="s">
        <v>87</v>
      </c>
      <c r="G448" s="4" t="s">
        <v>583</v>
      </c>
      <c r="H448" s="4" t="s">
        <v>1726</v>
      </c>
      <c r="I448" s="5" t="n">
        <v>56.66</v>
      </c>
      <c r="J448" s="7" t="n">
        <v>0</v>
      </c>
      <c r="K448" s="5" t="n">
        <v>0</v>
      </c>
      <c r="L448" s="8" t="n">
        <v>0</v>
      </c>
      <c r="M448" s="9" t="n">
        <v>0</v>
      </c>
      <c r="N448" s="10" t="n">
        <v>0.07021792</v>
      </c>
      <c r="O448" s="5" t="n">
        <v>137.19</v>
      </c>
      <c r="P448" s="11" t="n">
        <v>1.625984</v>
      </c>
      <c r="Q448" s="7" t="n">
        <v>413</v>
      </c>
      <c r="R448" s="7" t="n">
        <v>29</v>
      </c>
      <c r="S448" s="7" t="n">
        <v>1</v>
      </c>
      <c r="T448" s="7" t="n">
        <v>0</v>
      </c>
      <c r="U448" s="7" t="n">
        <v>380</v>
      </c>
      <c r="V448" s="7" t="n">
        <v>140</v>
      </c>
    </row>
    <row r="449" customFormat="false" ht="15" hidden="false" customHeight="false" outlineLevel="0" collapsed="false">
      <c r="A449" s="4" t="s">
        <v>1727</v>
      </c>
      <c r="B449" s="4" t="str">
        <f aca="false">IF(AND(I449&gt;='Read Me &amp; Markers'!$B$18,J449&gt;='Read Me &amp; Markers'!$B$19,L449&gt;='Read Me &amp; Markers'!$B$20),"A. Proven winner",IF(AND(I449&gt;='Read Me &amp; Markers'!$B$18,J449&gt;='Read Me &amp; Markers'!$B$19,L449&gt;='Read Me &amp; Markers'!$B$21),"B. Strong performer",IF(AND(I449&gt;='Read Me &amp; Markers'!$B$22,L449&gt;='Read Me &amp; Markers'!$B$23),"C. Scale workhorse",IF(AND(I449&gt;='Read Me &amp; Markers'!$B$24,I449&lt;'Read Me &amp; Markers'!$B$18,J449&gt;='Read Me &amp; Markers'!$B$25,L449&gt;='Read Me &amp; Markers'!$B$26),"D. Promising (needs more spend)",""))))</f>
        <v/>
      </c>
      <c r="C449" s="4" t="s">
        <v>169</v>
      </c>
      <c r="D449" s="4" t="s">
        <v>100</v>
      </c>
      <c r="E449" s="4" t="s">
        <v>1728</v>
      </c>
      <c r="F449" s="4" t="s">
        <v>87</v>
      </c>
      <c r="G449" s="4" t="s">
        <v>1729</v>
      </c>
      <c r="H449" s="4" t="s">
        <v>1730</v>
      </c>
      <c r="I449" s="5" t="n">
        <v>56.26</v>
      </c>
      <c r="J449" s="7" t="n">
        <v>0</v>
      </c>
      <c r="K449" s="5" t="n">
        <v>0</v>
      </c>
      <c r="L449" s="8" t="n">
        <v>0</v>
      </c>
      <c r="M449" s="9" t="n">
        <v>0</v>
      </c>
      <c r="N449" s="10" t="n">
        <v>0.01983299</v>
      </c>
      <c r="O449" s="5" t="n">
        <v>58.73</v>
      </c>
      <c r="P449" s="11" t="n">
        <v>1.270557</v>
      </c>
      <c r="Q449" s="7" t="n">
        <v>958</v>
      </c>
      <c r="R449" s="7" t="n">
        <v>19</v>
      </c>
      <c r="S449" s="7" t="n">
        <v>0</v>
      </c>
      <c r="T449" s="7" t="n">
        <v>0</v>
      </c>
      <c r="U449" s="7" t="n">
        <v>829</v>
      </c>
      <c r="V449" s="7" t="n">
        <v>44</v>
      </c>
    </row>
    <row r="450" customFormat="false" ht="15" hidden="false" customHeight="false" outlineLevel="0" collapsed="false">
      <c r="A450" s="4" t="s">
        <v>1731</v>
      </c>
      <c r="B450" s="4" t="str">
        <f aca="false">IF(AND(I450&gt;='Read Me &amp; Markers'!$B$18,J450&gt;='Read Me &amp; Markers'!$B$19,L450&gt;='Read Me &amp; Markers'!$B$20),"A. Proven winner",IF(AND(I450&gt;='Read Me &amp; Markers'!$B$18,J450&gt;='Read Me &amp; Markers'!$B$19,L450&gt;='Read Me &amp; Markers'!$B$21),"B. Strong performer",IF(AND(I450&gt;='Read Me &amp; Markers'!$B$22,L450&gt;='Read Me &amp; Markers'!$B$23),"C. Scale workhorse",IF(AND(I450&gt;='Read Me &amp; Markers'!$B$24,I450&lt;'Read Me &amp; Markers'!$B$18,J450&gt;='Read Me &amp; Markers'!$B$25,L450&gt;='Read Me &amp; Markers'!$B$26),"D. Promising (needs more spend)",""))))</f>
        <v/>
      </c>
      <c r="C450" s="4" t="s">
        <v>1732</v>
      </c>
      <c r="D450" s="4" t="s">
        <v>206</v>
      </c>
      <c r="E450" s="4" t="s">
        <v>1362</v>
      </c>
      <c r="F450" s="4" t="s">
        <v>253</v>
      </c>
      <c r="G450" s="4" t="s">
        <v>1363</v>
      </c>
      <c r="H450" s="4" t="s">
        <v>1733</v>
      </c>
      <c r="I450" s="5" t="n">
        <v>55.75</v>
      </c>
      <c r="J450" s="7" t="n">
        <v>0</v>
      </c>
      <c r="K450" s="5" t="n">
        <v>0</v>
      </c>
      <c r="L450" s="8" t="n">
        <v>0</v>
      </c>
      <c r="M450" s="9" t="n">
        <v>0</v>
      </c>
      <c r="N450" s="10" t="n">
        <v>0.01136364</v>
      </c>
      <c r="O450" s="5" t="n">
        <v>52.79</v>
      </c>
      <c r="P450" s="11" t="n">
        <v>1.37859</v>
      </c>
      <c r="Q450" s="7" t="n">
        <v>1056</v>
      </c>
      <c r="R450" s="7" t="n">
        <v>12</v>
      </c>
      <c r="S450" s="7" t="n">
        <v>1</v>
      </c>
      <c r="T450" s="7" t="n">
        <v>1</v>
      </c>
      <c r="U450" s="7" t="n">
        <v>0</v>
      </c>
      <c r="V450" s="7" t="n">
        <v>0</v>
      </c>
    </row>
    <row r="451" customFormat="false" ht="15" hidden="false" customHeight="false" outlineLevel="0" collapsed="false">
      <c r="A451" s="4" t="s">
        <v>1734</v>
      </c>
      <c r="B451" s="4" t="str">
        <f aca="false">IF(AND(I451&gt;='Read Me &amp; Markers'!$B$18,J451&gt;='Read Me &amp; Markers'!$B$19,L451&gt;='Read Me &amp; Markers'!$B$20),"A. Proven winner",IF(AND(I451&gt;='Read Me &amp; Markers'!$B$18,J451&gt;='Read Me &amp; Markers'!$B$19,L451&gt;='Read Me &amp; Markers'!$B$21),"B. Strong performer",IF(AND(I451&gt;='Read Me &amp; Markers'!$B$22,L451&gt;='Read Me &amp; Markers'!$B$23),"C. Scale workhorse",IF(AND(I451&gt;='Read Me &amp; Markers'!$B$24,I451&lt;'Read Me &amp; Markers'!$B$18,J451&gt;='Read Me &amp; Markers'!$B$25,L451&gt;='Read Me &amp; Markers'!$B$26),"D. Promising (needs more spend)",""))))</f>
        <v/>
      </c>
      <c r="C451" s="4" t="s">
        <v>1735</v>
      </c>
      <c r="D451" s="4" t="s">
        <v>109</v>
      </c>
      <c r="E451" s="4" t="s">
        <v>1736</v>
      </c>
      <c r="F451" s="4" t="s">
        <v>111</v>
      </c>
      <c r="G451" s="4" t="s">
        <v>286</v>
      </c>
      <c r="H451" s="4" t="s">
        <v>1737</v>
      </c>
      <c r="I451" s="5" t="n">
        <v>55.53</v>
      </c>
      <c r="J451" s="7" t="n">
        <v>1</v>
      </c>
      <c r="K451" s="5" t="n">
        <v>45.95</v>
      </c>
      <c r="L451" s="8" t="n">
        <v>0.827481</v>
      </c>
      <c r="M451" s="9" t="n">
        <v>55.53</v>
      </c>
      <c r="N451" s="10" t="n">
        <v>0.02923977</v>
      </c>
      <c r="O451" s="5" t="n">
        <v>108.25</v>
      </c>
      <c r="P451" s="11" t="n">
        <v>1.260442</v>
      </c>
      <c r="Q451" s="7" t="n">
        <v>513</v>
      </c>
      <c r="R451" s="7" t="n">
        <v>15</v>
      </c>
      <c r="S451" s="7" t="n">
        <v>0</v>
      </c>
      <c r="T451" s="7" t="n">
        <v>4</v>
      </c>
      <c r="U451" s="7" t="n">
        <v>501</v>
      </c>
      <c r="V451" s="7" t="n">
        <v>39</v>
      </c>
    </row>
    <row r="452" customFormat="false" ht="15" hidden="false" customHeight="false" outlineLevel="0" collapsed="false">
      <c r="A452" s="4" t="s">
        <v>1738</v>
      </c>
      <c r="B452" s="4" t="str">
        <f aca="false">IF(AND(I452&gt;='Read Me &amp; Markers'!$B$18,J452&gt;='Read Me &amp; Markers'!$B$19,L452&gt;='Read Me &amp; Markers'!$B$20),"A. Proven winner",IF(AND(I452&gt;='Read Me &amp; Markers'!$B$18,J452&gt;='Read Me &amp; Markers'!$B$19,L452&gt;='Read Me &amp; Markers'!$B$21),"B. Strong performer",IF(AND(I452&gt;='Read Me &amp; Markers'!$B$22,L452&gt;='Read Me &amp; Markers'!$B$23),"C. Scale workhorse",IF(AND(I452&gt;='Read Me &amp; Markers'!$B$24,I452&lt;'Read Me &amp; Markers'!$B$18,J452&gt;='Read Me &amp; Markers'!$B$25,L452&gt;='Read Me &amp; Markers'!$B$26),"D. Promising (needs more spend)",""))))</f>
        <v/>
      </c>
      <c r="C452" s="4" t="s">
        <v>1739</v>
      </c>
      <c r="D452" s="4" t="s">
        <v>109</v>
      </c>
      <c r="E452" s="4" t="s">
        <v>1190</v>
      </c>
      <c r="F452" s="4" t="s">
        <v>87</v>
      </c>
      <c r="G452" s="4" t="s">
        <v>583</v>
      </c>
      <c r="H452" s="4" t="s">
        <v>1740</v>
      </c>
      <c r="I452" s="5" t="n">
        <v>55.36</v>
      </c>
      <c r="J452" s="7" t="n">
        <v>0</v>
      </c>
      <c r="K452" s="5" t="n">
        <v>0</v>
      </c>
      <c r="L452" s="8" t="n">
        <v>0</v>
      </c>
      <c r="M452" s="9" t="n">
        <v>0</v>
      </c>
      <c r="N452" s="10" t="n">
        <v>0.04957265</v>
      </c>
      <c r="O452" s="5" t="n">
        <v>94.63</v>
      </c>
      <c r="P452" s="11" t="n">
        <v>1.097561</v>
      </c>
      <c r="Q452" s="7" t="n">
        <v>585</v>
      </c>
      <c r="R452" s="7" t="n">
        <v>29</v>
      </c>
      <c r="S452" s="7" t="n">
        <v>2</v>
      </c>
      <c r="T452" s="7" t="n">
        <v>1</v>
      </c>
      <c r="U452" s="7" t="n">
        <v>561</v>
      </c>
      <c r="V452" s="7" t="n">
        <v>164</v>
      </c>
    </row>
    <row r="453" customFormat="false" ht="15" hidden="false" customHeight="false" outlineLevel="0" collapsed="false">
      <c r="A453" s="4" t="s">
        <v>1741</v>
      </c>
      <c r="B453" s="4" t="str">
        <f aca="false">IF(AND(I453&gt;='Read Me &amp; Markers'!$B$18,J453&gt;='Read Me &amp; Markers'!$B$19,L453&gt;='Read Me &amp; Markers'!$B$20),"A. Proven winner",IF(AND(I453&gt;='Read Me &amp; Markers'!$B$18,J453&gt;='Read Me &amp; Markers'!$B$19,L453&gt;='Read Me &amp; Markers'!$B$21),"B. Strong performer",IF(AND(I453&gt;='Read Me &amp; Markers'!$B$22,L453&gt;='Read Me &amp; Markers'!$B$23),"C. Scale workhorse",IF(AND(I453&gt;='Read Me &amp; Markers'!$B$24,I453&lt;'Read Me &amp; Markers'!$B$18,J453&gt;='Read Me &amp; Markers'!$B$25,L453&gt;='Read Me &amp; Markers'!$B$26),"D. Promising (needs more spend)",""))))</f>
        <v/>
      </c>
      <c r="C453" s="4" t="s">
        <v>1742</v>
      </c>
      <c r="D453" s="4" t="s">
        <v>109</v>
      </c>
      <c r="E453" s="4" t="s">
        <v>474</v>
      </c>
      <c r="F453" s="4" t="s">
        <v>111</v>
      </c>
      <c r="G453" s="4" t="s">
        <v>475</v>
      </c>
      <c r="H453" s="4" t="s">
        <v>1743</v>
      </c>
      <c r="I453" s="5" t="n">
        <v>55.29</v>
      </c>
      <c r="J453" s="7" t="n">
        <v>0</v>
      </c>
      <c r="K453" s="5" t="n">
        <v>0</v>
      </c>
      <c r="L453" s="8" t="n">
        <v>0</v>
      </c>
      <c r="M453" s="9" t="n">
        <v>0</v>
      </c>
      <c r="N453" s="10" t="n">
        <v>0.01187905</v>
      </c>
      <c r="O453" s="5" t="n">
        <v>59.71</v>
      </c>
      <c r="P453" s="11" t="n">
        <v>1.328551</v>
      </c>
      <c r="Q453" s="7" t="n">
        <v>926</v>
      </c>
      <c r="R453" s="7" t="n">
        <v>11</v>
      </c>
      <c r="S453" s="7" t="n">
        <v>0</v>
      </c>
      <c r="T453" s="7" t="n">
        <v>1</v>
      </c>
      <c r="U453" s="7" t="n">
        <v>0</v>
      </c>
      <c r="V453" s="7" t="n">
        <v>0</v>
      </c>
    </row>
    <row r="454" customFormat="false" ht="15" hidden="false" customHeight="false" outlineLevel="0" collapsed="false">
      <c r="A454" s="4" t="s">
        <v>1744</v>
      </c>
      <c r="B454" s="4" t="str">
        <f aca="false">IF(AND(I454&gt;='Read Me &amp; Markers'!$B$18,J454&gt;='Read Me &amp; Markers'!$B$19,L454&gt;='Read Me &amp; Markers'!$B$20),"A. Proven winner",IF(AND(I454&gt;='Read Me &amp; Markers'!$B$18,J454&gt;='Read Me &amp; Markers'!$B$19,L454&gt;='Read Me &amp; Markers'!$B$21),"B. Strong performer",IF(AND(I454&gt;='Read Me &amp; Markers'!$B$22,L454&gt;='Read Me &amp; Markers'!$B$23),"C. Scale workhorse",IF(AND(I454&gt;='Read Me &amp; Markers'!$B$24,I454&lt;'Read Me &amp; Markers'!$B$18,J454&gt;='Read Me &amp; Markers'!$B$25,L454&gt;='Read Me &amp; Markers'!$B$26),"D. Promising (needs more spend)",""))))</f>
        <v/>
      </c>
      <c r="C454" s="4" t="s">
        <v>1745</v>
      </c>
      <c r="D454" s="4" t="s">
        <v>109</v>
      </c>
      <c r="E454" s="4" t="s">
        <v>469</v>
      </c>
      <c r="F454" s="4" t="s">
        <v>111</v>
      </c>
      <c r="G454" s="4" t="s">
        <v>470</v>
      </c>
      <c r="H454" s="4" t="s">
        <v>1746</v>
      </c>
      <c r="I454" s="5" t="n">
        <v>54.88</v>
      </c>
      <c r="J454" s="7" t="n">
        <v>0</v>
      </c>
      <c r="K454" s="5" t="n">
        <v>0</v>
      </c>
      <c r="L454" s="8" t="n">
        <v>0</v>
      </c>
      <c r="M454" s="9" t="n">
        <v>0</v>
      </c>
      <c r="N454" s="10" t="n">
        <v>0.04112554</v>
      </c>
      <c r="O454" s="5" t="n">
        <v>118.79</v>
      </c>
      <c r="P454" s="11" t="n">
        <v>1.215789</v>
      </c>
      <c r="Q454" s="7" t="n">
        <v>462</v>
      </c>
      <c r="R454" s="7" t="n">
        <v>19</v>
      </c>
      <c r="S454" s="7" t="n">
        <v>0</v>
      </c>
      <c r="T454" s="7" t="n">
        <v>1</v>
      </c>
      <c r="U454" s="7" t="n">
        <v>393</v>
      </c>
      <c r="V454" s="7" t="n">
        <v>69</v>
      </c>
    </row>
    <row r="455" customFormat="false" ht="15" hidden="false" customHeight="false" outlineLevel="0" collapsed="false">
      <c r="A455" s="4" t="s">
        <v>1747</v>
      </c>
      <c r="B455" s="4" t="str">
        <f aca="false">IF(AND(I455&gt;='Read Me &amp; Markers'!$B$18,J455&gt;='Read Me &amp; Markers'!$B$19,L455&gt;='Read Me &amp; Markers'!$B$20),"A. Proven winner",IF(AND(I455&gt;='Read Me &amp; Markers'!$B$18,J455&gt;='Read Me &amp; Markers'!$B$19,L455&gt;='Read Me &amp; Markers'!$B$21),"B. Strong performer",IF(AND(I455&gt;='Read Me &amp; Markers'!$B$22,L455&gt;='Read Me &amp; Markers'!$B$23),"C. Scale workhorse",IF(AND(I455&gt;='Read Me &amp; Markers'!$B$24,I455&lt;'Read Me &amp; Markers'!$B$18,J455&gt;='Read Me &amp; Markers'!$B$25,L455&gt;='Read Me &amp; Markers'!$B$26),"D. Promising (needs more spend)",""))))</f>
        <v/>
      </c>
      <c r="C455" s="4" t="s">
        <v>1748</v>
      </c>
      <c r="D455" s="4" t="s">
        <v>109</v>
      </c>
      <c r="E455" s="4" t="s">
        <v>316</v>
      </c>
      <c r="F455" s="4" t="s">
        <v>87</v>
      </c>
      <c r="G455" s="4" t="s">
        <v>317</v>
      </c>
      <c r="H455" s="4" t="s">
        <v>1749</v>
      </c>
      <c r="I455" s="5" t="n">
        <v>54.74</v>
      </c>
      <c r="J455" s="7" t="n">
        <v>0</v>
      </c>
      <c r="K455" s="5" t="n">
        <v>0</v>
      </c>
      <c r="L455" s="8" t="n">
        <v>0</v>
      </c>
      <c r="M455" s="9" t="n">
        <v>0</v>
      </c>
      <c r="N455" s="10" t="n">
        <v>0.03050398</v>
      </c>
      <c r="O455" s="5" t="n">
        <v>72.6</v>
      </c>
      <c r="P455" s="11" t="n">
        <v>1.642702</v>
      </c>
      <c r="Q455" s="7" t="n">
        <v>754</v>
      </c>
      <c r="R455" s="7" t="n">
        <v>23</v>
      </c>
      <c r="S455" s="7" t="n">
        <v>1</v>
      </c>
      <c r="T455" s="7" t="n">
        <v>3</v>
      </c>
      <c r="U455" s="7" t="n">
        <v>0</v>
      </c>
      <c r="V455" s="7" t="n">
        <v>0</v>
      </c>
    </row>
    <row r="456" customFormat="false" ht="15" hidden="false" customHeight="false" outlineLevel="0" collapsed="false">
      <c r="A456" s="4" t="s">
        <v>1750</v>
      </c>
      <c r="B456" s="4" t="str">
        <f aca="false">IF(AND(I456&gt;='Read Me &amp; Markers'!$B$18,J456&gt;='Read Me &amp; Markers'!$B$19,L456&gt;='Read Me &amp; Markers'!$B$20),"A. Proven winner",IF(AND(I456&gt;='Read Me &amp; Markers'!$B$18,J456&gt;='Read Me &amp; Markers'!$B$19,L456&gt;='Read Me &amp; Markers'!$B$21),"B. Strong performer",IF(AND(I456&gt;='Read Me &amp; Markers'!$B$22,L456&gt;='Read Me &amp; Markers'!$B$23),"C. Scale workhorse",IF(AND(I456&gt;='Read Me &amp; Markers'!$B$24,I456&lt;'Read Me &amp; Markers'!$B$18,J456&gt;='Read Me &amp; Markers'!$B$25,L456&gt;='Read Me &amp; Markers'!$B$26),"D. Promising (needs more spend)",""))))</f>
        <v/>
      </c>
      <c r="C456" s="4" t="s">
        <v>169</v>
      </c>
      <c r="D456" s="4" t="s">
        <v>154</v>
      </c>
      <c r="E456" s="4" t="s">
        <v>1751</v>
      </c>
      <c r="F456" s="4" t="s">
        <v>87</v>
      </c>
      <c r="G456" s="4" t="s">
        <v>1711</v>
      </c>
      <c r="H456" s="4" t="s">
        <v>1752</v>
      </c>
      <c r="I456" s="5" t="n">
        <v>54.64</v>
      </c>
      <c r="J456" s="7" t="n">
        <v>0</v>
      </c>
      <c r="K456" s="5" t="n">
        <v>0</v>
      </c>
      <c r="L456" s="8" t="n">
        <v>0</v>
      </c>
      <c r="M456" s="9" t="n">
        <v>0</v>
      </c>
      <c r="N456" s="10" t="n">
        <v>0.02909337</v>
      </c>
      <c r="O456" s="5" t="n">
        <v>36.97</v>
      </c>
      <c r="P456" s="11" t="n">
        <v>1.520576</v>
      </c>
      <c r="Q456" s="7" t="n">
        <v>1478</v>
      </c>
      <c r="R456" s="7" t="n">
        <v>43</v>
      </c>
      <c r="S456" s="7" t="n">
        <v>3</v>
      </c>
      <c r="T456" s="7" t="n">
        <v>6</v>
      </c>
      <c r="U456" s="7" t="n">
        <v>1135</v>
      </c>
      <c r="V456" s="7" t="n">
        <v>133</v>
      </c>
    </row>
    <row r="457" customFormat="false" ht="15" hidden="false" customHeight="false" outlineLevel="0" collapsed="false">
      <c r="A457" s="4" t="s">
        <v>1753</v>
      </c>
      <c r="B457" s="4" t="str">
        <f aca="false">IF(AND(I457&gt;='Read Me &amp; Markers'!$B$18,J457&gt;='Read Me &amp; Markers'!$B$19,L457&gt;='Read Me &amp; Markers'!$B$20),"A. Proven winner",IF(AND(I457&gt;='Read Me &amp; Markers'!$B$18,J457&gt;='Read Me &amp; Markers'!$B$19,L457&gt;='Read Me &amp; Markers'!$B$21),"B. Strong performer",IF(AND(I457&gt;='Read Me &amp; Markers'!$B$22,L457&gt;='Read Me &amp; Markers'!$B$23),"C. Scale workhorse",IF(AND(I457&gt;='Read Me &amp; Markers'!$B$24,I457&lt;'Read Me &amp; Markers'!$B$18,J457&gt;='Read Me &amp; Markers'!$B$25,L457&gt;='Read Me &amp; Markers'!$B$26),"D. Promising (needs more spend)",""))))</f>
        <v/>
      </c>
      <c r="C457" s="4" t="s">
        <v>1754</v>
      </c>
      <c r="D457" s="4" t="s">
        <v>109</v>
      </c>
      <c r="E457" s="4" t="s">
        <v>979</v>
      </c>
      <c r="F457" s="4" t="s">
        <v>87</v>
      </c>
      <c r="G457" s="4" t="s">
        <v>659</v>
      </c>
      <c r="H457" s="4" t="s">
        <v>1755</v>
      </c>
      <c r="I457" s="5" t="n">
        <v>54.12</v>
      </c>
      <c r="J457" s="7" t="n">
        <v>0</v>
      </c>
      <c r="K457" s="5" t="n">
        <v>0</v>
      </c>
      <c r="L457" s="8" t="n">
        <v>0</v>
      </c>
      <c r="M457" s="9" t="n">
        <v>0</v>
      </c>
      <c r="N457" s="10" t="n">
        <v>0.04752475</v>
      </c>
      <c r="O457" s="5" t="n">
        <v>107.17</v>
      </c>
      <c r="P457" s="11" t="n">
        <v>1.086022</v>
      </c>
      <c r="Q457" s="7" t="n">
        <v>505</v>
      </c>
      <c r="R457" s="7" t="n">
        <v>24</v>
      </c>
      <c r="S457" s="7" t="n">
        <v>0</v>
      </c>
      <c r="T457" s="7" t="n">
        <v>0</v>
      </c>
      <c r="U457" s="7" t="n">
        <v>472</v>
      </c>
      <c r="V457" s="7" t="n">
        <v>68</v>
      </c>
    </row>
    <row r="458" customFormat="false" ht="15" hidden="false" customHeight="false" outlineLevel="0" collapsed="false">
      <c r="A458" s="4" t="s">
        <v>1756</v>
      </c>
      <c r="B458" s="4" t="str">
        <f aca="false">IF(AND(I458&gt;='Read Me &amp; Markers'!$B$18,J458&gt;='Read Me &amp; Markers'!$B$19,L458&gt;='Read Me &amp; Markers'!$B$20),"A. Proven winner",IF(AND(I458&gt;='Read Me &amp; Markers'!$B$18,J458&gt;='Read Me &amp; Markers'!$B$19,L458&gt;='Read Me &amp; Markers'!$B$21),"B. Strong performer",IF(AND(I458&gt;='Read Me &amp; Markers'!$B$22,L458&gt;='Read Me &amp; Markers'!$B$23),"C. Scale workhorse",IF(AND(I458&gt;='Read Me &amp; Markers'!$B$24,I458&lt;'Read Me &amp; Markers'!$B$18,J458&gt;='Read Me &amp; Markers'!$B$25,L458&gt;='Read Me &amp; Markers'!$B$26),"D. Promising (needs more spend)",""))))</f>
        <v/>
      </c>
      <c r="C458" s="4" t="s">
        <v>129</v>
      </c>
      <c r="D458" s="4" t="s">
        <v>100</v>
      </c>
      <c r="E458" s="4" t="s">
        <v>1081</v>
      </c>
      <c r="F458" s="4" t="s">
        <v>87</v>
      </c>
      <c r="G458" s="4" t="s">
        <v>132</v>
      </c>
      <c r="H458" s="4" t="s">
        <v>1757</v>
      </c>
      <c r="I458" s="5" t="n">
        <v>53.86</v>
      </c>
      <c r="J458" s="7" t="n">
        <v>0</v>
      </c>
      <c r="K458" s="5" t="n">
        <v>0</v>
      </c>
      <c r="L458" s="8" t="n">
        <v>0</v>
      </c>
      <c r="M458" s="9" t="n">
        <v>0</v>
      </c>
      <c r="N458" s="10" t="n">
        <v>0.03064516</v>
      </c>
      <c r="O458" s="5" t="n">
        <v>86.87</v>
      </c>
      <c r="P458" s="11" t="n">
        <v>1.230159</v>
      </c>
      <c r="Q458" s="7" t="n">
        <v>620</v>
      </c>
      <c r="R458" s="7" t="n">
        <v>19</v>
      </c>
      <c r="S458" s="7" t="n">
        <v>2</v>
      </c>
      <c r="T458" s="7" t="n">
        <v>1</v>
      </c>
      <c r="U458" s="7" t="n">
        <v>424</v>
      </c>
      <c r="V458" s="7" t="n">
        <v>37</v>
      </c>
    </row>
    <row r="459" customFormat="false" ht="15" hidden="false" customHeight="false" outlineLevel="0" collapsed="false">
      <c r="A459" s="4" t="s">
        <v>1758</v>
      </c>
      <c r="B459" s="4" t="str">
        <f aca="false">IF(AND(I459&gt;='Read Me &amp; Markers'!$B$18,J459&gt;='Read Me &amp; Markers'!$B$19,L459&gt;='Read Me &amp; Markers'!$B$20),"A. Proven winner",IF(AND(I459&gt;='Read Me &amp; Markers'!$B$18,J459&gt;='Read Me &amp; Markers'!$B$19,L459&gt;='Read Me &amp; Markers'!$B$21),"B. Strong performer",IF(AND(I459&gt;='Read Me &amp; Markers'!$B$22,L459&gt;='Read Me &amp; Markers'!$B$23),"C. Scale workhorse",IF(AND(I459&gt;='Read Me &amp; Markers'!$B$24,I459&lt;'Read Me &amp; Markers'!$B$18,J459&gt;='Read Me &amp; Markers'!$B$25,L459&gt;='Read Me &amp; Markers'!$B$26),"D. Promising (needs more spend)",""))))</f>
        <v/>
      </c>
      <c r="C459" s="4" t="s">
        <v>1759</v>
      </c>
      <c r="D459" s="4" t="s">
        <v>109</v>
      </c>
      <c r="E459" s="4" t="s">
        <v>435</v>
      </c>
      <c r="F459" s="4" t="s">
        <v>430</v>
      </c>
      <c r="G459" s="4" t="s">
        <v>500</v>
      </c>
      <c r="H459" s="4" t="s">
        <v>1760</v>
      </c>
      <c r="I459" s="5" t="n">
        <v>53.53</v>
      </c>
      <c r="J459" s="7" t="n">
        <v>0</v>
      </c>
      <c r="K459" s="5" t="n">
        <v>0</v>
      </c>
      <c r="L459" s="8" t="n">
        <v>0</v>
      </c>
      <c r="M459" s="9" t="n">
        <v>0</v>
      </c>
      <c r="N459" s="10" t="n">
        <v>0.03783784</v>
      </c>
      <c r="O459" s="5" t="n">
        <v>144.68</v>
      </c>
      <c r="P459" s="11" t="n">
        <v>1.069364</v>
      </c>
      <c r="Q459" s="7" t="n">
        <v>370</v>
      </c>
      <c r="R459" s="7" t="n">
        <v>14</v>
      </c>
      <c r="S459" s="7" t="n">
        <v>3</v>
      </c>
      <c r="T459" s="7" t="n">
        <v>0</v>
      </c>
      <c r="U459" s="7" t="n">
        <v>347</v>
      </c>
      <c r="V459" s="7" t="n">
        <v>117</v>
      </c>
    </row>
    <row r="460" customFormat="false" ht="15" hidden="false" customHeight="false" outlineLevel="0" collapsed="false">
      <c r="A460" s="4" t="s">
        <v>1761</v>
      </c>
      <c r="B460" s="4" t="str">
        <f aca="false">IF(AND(I460&gt;='Read Me &amp; Markers'!$B$18,J460&gt;='Read Me &amp; Markers'!$B$19,L460&gt;='Read Me &amp; Markers'!$B$20),"A. Proven winner",IF(AND(I460&gt;='Read Me &amp; Markers'!$B$18,J460&gt;='Read Me &amp; Markers'!$B$19,L460&gt;='Read Me &amp; Markers'!$B$21),"B. Strong performer",IF(AND(I460&gt;='Read Me &amp; Markers'!$B$22,L460&gt;='Read Me &amp; Markers'!$B$23),"C. Scale workhorse",IF(AND(I460&gt;='Read Me &amp; Markers'!$B$24,I460&lt;'Read Me &amp; Markers'!$B$18,J460&gt;='Read Me &amp; Markers'!$B$25,L460&gt;='Read Me &amp; Markers'!$B$26),"D. Promising (needs more spend)",""))))</f>
        <v/>
      </c>
      <c r="C460" s="4" t="s">
        <v>1141</v>
      </c>
      <c r="D460" s="4" t="s">
        <v>154</v>
      </c>
      <c r="E460" s="4" t="s">
        <v>323</v>
      </c>
      <c r="F460" s="4" t="s">
        <v>87</v>
      </c>
      <c r="G460" s="4" t="s">
        <v>156</v>
      </c>
      <c r="H460" s="4" t="s">
        <v>1762</v>
      </c>
      <c r="I460" s="5" t="n">
        <v>53.46</v>
      </c>
      <c r="J460" s="7" t="n">
        <v>2</v>
      </c>
      <c r="K460" s="5" t="n">
        <v>94.32</v>
      </c>
      <c r="L460" s="8" t="n">
        <v>1.76431</v>
      </c>
      <c r="M460" s="9" t="n">
        <v>26.73</v>
      </c>
      <c r="N460" s="10" t="n">
        <v>0.02641509</v>
      </c>
      <c r="O460" s="5" t="n">
        <v>50.43</v>
      </c>
      <c r="P460" s="11" t="n">
        <v>1.184358</v>
      </c>
      <c r="Q460" s="7" t="n">
        <v>1060</v>
      </c>
      <c r="R460" s="7" t="n">
        <v>28</v>
      </c>
      <c r="S460" s="7" t="n">
        <v>2</v>
      </c>
      <c r="T460" s="7" t="n">
        <v>3</v>
      </c>
      <c r="U460" s="7" t="n">
        <v>885</v>
      </c>
      <c r="V460" s="7" t="n">
        <v>60</v>
      </c>
    </row>
    <row r="461" customFormat="false" ht="15" hidden="false" customHeight="false" outlineLevel="0" collapsed="false">
      <c r="A461" s="4" t="s">
        <v>1763</v>
      </c>
      <c r="B461" s="4" t="str">
        <f aca="false">IF(AND(I461&gt;='Read Me &amp; Markers'!$B$18,J461&gt;='Read Me &amp; Markers'!$B$19,L461&gt;='Read Me &amp; Markers'!$B$20),"A. Proven winner",IF(AND(I461&gt;='Read Me &amp; Markers'!$B$18,J461&gt;='Read Me &amp; Markers'!$B$19,L461&gt;='Read Me &amp; Markers'!$B$21),"B. Strong performer",IF(AND(I461&gt;='Read Me &amp; Markers'!$B$22,L461&gt;='Read Me &amp; Markers'!$B$23),"C. Scale workhorse",IF(AND(I461&gt;='Read Me &amp; Markers'!$B$24,I461&lt;'Read Me &amp; Markers'!$B$18,J461&gt;='Read Me &amp; Markers'!$B$25,L461&gt;='Read Me &amp; Markers'!$B$26),"D. Promising (needs more spend)",""))))</f>
        <v/>
      </c>
      <c r="C461" s="4" t="s">
        <v>98</v>
      </c>
      <c r="D461" s="4" t="s">
        <v>100</v>
      </c>
      <c r="E461" s="4" t="s">
        <v>123</v>
      </c>
      <c r="F461" s="4" t="s">
        <v>87</v>
      </c>
      <c r="G461" s="4" t="s">
        <v>124</v>
      </c>
      <c r="H461" s="4" t="s">
        <v>1764</v>
      </c>
      <c r="I461" s="5" t="n">
        <v>52.88</v>
      </c>
      <c r="J461" s="7" t="n">
        <v>0</v>
      </c>
      <c r="K461" s="5" t="n">
        <v>0</v>
      </c>
      <c r="L461" s="8" t="n">
        <v>0</v>
      </c>
      <c r="M461" s="9" t="n">
        <v>0</v>
      </c>
      <c r="N461" s="10" t="n">
        <v>0.03109453</v>
      </c>
      <c r="O461" s="5" t="n">
        <v>65.77</v>
      </c>
      <c r="P461" s="11" t="n">
        <v>1.180617</v>
      </c>
      <c r="Q461" s="7" t="n">
        <v>804</v>
      </c>
      <c r="R461" s="7" t="n">
        <v>25</v>
      </c>
      <c r="S461" s="7" t="n">
        <v>3</v>
      </c>
      <c r="T461" s="7" t="n">
        <v>3</v>
      </c>
      <c r="U461" s="7" t="n">
        <v>694</v>
      </c>
      <c r="V461" s="7" t="n">
        <v>67</v>
      </c>
    </row>
    <row r="462" customFormat="false" ht="15" hidden="false" customHeight="false" outlineLevel="0" collapsed="false">
      <c r="A462" s="4" t="s">
        <v>1765</v>
      </c>
      <c r="B462" s="4" t="str">
        <f aca="false">IF(AND(I462&gt;='Read Me &amp; Markers'!$B$18,J462&gt;='Read Me &amp; Markers'!$B$19,L462&gt;='Read Me &amp; Markers'!$B$20),"A. Proven winner",IF(AND(I462&gt;='Read Me &amp; Markers'!$B$18,J462&gt;='Read Me &amp; Markers'!$B$19,L462&gt;='Read Me &amp; Markers'!$B$21),"B. Strong performer",IF(AND(I462&gt;='Read Me &amp; Markers'!$B$22,L462&gt;='Read Me &amp; Markers'!$B$23),"C. Scale workhorse",IF(AND(I462&gt;='Read Me &amp; Markers'!$B$24,I462&lt;'Read Me &amp; Markers'!$B$18,J462&gt;='Read Me &amp; Markers'!$B$25,L462&gt;='Read Me &amp; Markers'!$B$26),"D. Promising (needs more spend)",""))))</f>
        <v/>
      </c>
      <c r="C462" s="4" t="s">
        <v>1766</v>
      </c>
      <c r="D462" s="4" t="s">
        <v>109</v>
      </c>
      <c r="E462" s="4" t="s">
        <v>582</v>
      </c>
      <c r="F462" s="4" t="s">
        <v>87</v>
      </c>
      <c r="G462" s="4" t="s">
        <v>583</v>
      </c>
      <c r="H462" s="4" t="s">
        <v>1767</v>
      </c>
      <c r="I462" s="5" t="n">
        <v>52.55</v>
      </c>
      <c r="J462" s="7" t="n">
        <v>0</v>
      </c>
      <c r="K462" s="5" t="n">
        <v>0</v>
      </c>
      <c r="L462" s="8" t="n">
        <v>0</v>
      </c>
      <c r="M462" s="9" t="n">
        <v>0</v>
      </c>
      <c r="N462" s="10" t="n">
        <v>0.06451613</v>
      </c>
      <c r="O462" s="5" t="n">
        <v>242.17</v>
      </c>
      <c r="P462" s="11" t="n">
        <v>1.068966</v>
      </c>
      <c r="Q462" s="7" t="n">
        <v>217</v>
      </c>
      <c r="R462" s="7" t="n">
        <v>14</v>
      </c>
      <c r="S462" s="7" t="n">
        <v>1</v>
      </c>
      <c r="T462" s="7" t="n">
        <v>0</v>
      </c>
      <c r="U462" s="7" t="n">
        <v>207</v>
      </c>
      <c r="V462" s="7" t="n">
        <v>47</v>
      </c>
    </row>
    <row r="463" customFormat="false" ht="15" hidden="false" customHeight="false" outlineLevel="0" collapsed="false">
      <c r="A463" s="4" t="s">
        <v>1768</v>
      </c>
      <c r="B463" s="4" t="str">
        <f aca="false">IF(AND(I463&gt;='Read Me &amp; Markers'!$B$18,J463&gt;='Read Me &amp; Markers'!$B$19,L463&gt;='Read Me &amp; Markers'!$B$20),"A. Proven winner",IF(AND(I463&gt;='Read Me &amp; Markers'!$B$18,J463&gt;='Read Me &amp; Markers'!$B$19,L463&gt;='Read Me &amp; Markers'!$B$21),"B. Strong performer",IF(AND(I463&gt;='Read Me &amp; Markers'!$B$22,L463&gt;='Read Me &amp; Markers'!$B$23),"C. Scale workhorse",IF(AND(I463&gt;='Read Me &amp; Markers'!$B$24,I463&lt;'Read Me &amp; Markers'!$B$18,J463&gt;='Read Me &amp; Markers'!$B$25,L463&gt;='Read Me &amp; Markers'!$B$26),"D. Promising (needs more spend)",""))))</f>
        <v/>
      </c>
      <c r="C463" s="4" t="s">
        <v>169</v>
      </c>
      <c r="D463" s="4" t="s">
        <v>154</v>
      </c>
      <c r="E463" s="4" t="s">
        <v>1769</v>
      </c>
      <c r="F463" s="4" t="s">
        <v>87</v>
      </c>
      <c r="G463" s="4" t="s">
        <v>102</v>
      </c>
      <c r="H463" s="4" t="s">
        <v>1770</v>
      </c>
      <c r="I463" s="5" t="n">
        <v>52.32</v>
      </c>
      <c r="J463" s="7" t="n">
        <v>1</v>
      </c>
      <c r="K463" s="5" t="n">
        <v>103.98</v>
      </c>
      <c r="L463" s="8" t="n">
        <v>1.987385</v>
      </c>
      <c r="M463" s="9" t="n">
        <v>52.32</v>
      </c>
      <c r="N463" s="10" t="n">
        <v>0.05535714</v>
      </c>
      <c r="O463" s="5" t="n">
        <v>93.43</v>
      </c>
      <c r="P463" s="11" t="n">
        <v>1.085271</v>
      </c>
      <c r="Q463" s="7" t="n">
        <v>560</v>
      </c>
      <c r="R463" s="7" t="n">
        <v>31</v>
      </c>
      <c r="S463" s="7" t="n">
        <v>4</v>
      </c>
      <c r="T463" s="7" t="n">
        <v>4</v>
      </c>
      <c r="U463" s="7" t="n">
        <v>464</v>
      </c>
      <c r="V463" s="7" t="n">
        <v>72</v>
      </c>
    </row>
    <row r="464" customFormat="false" ht="15" hidden="false" customHeight="false" outlineLevel="0" collapsed="false">
      <c r="A464" s="4" t="s">
        <v>1771</v>
      </c>
      <c r="B464" s="4" t="str">
        <f aca="false">IF(AND(I464&gt;='Read Me &amp; Markers'!$B$18,J464&gt;='Read Me &amp; Markers'!$B$19,L464&gt;='Read Me &amp; Markers'!$B$20),"A. Proven winner",IF(AND(I464&gt;='Read Me &amp; Markers'!$B$18,J464&gt;='Read Me &amp; Markers'!$B$19,L464&gt;='Read Me &amp; Markers'!$B$21),"B. Strong performer",IF(AND(I464&gt;='Read Me &amp; Markers'!$B$22,L464&gt;='Read Me &amp; Markers'!$B$23),"C. Scale workhorse",IF(AND(I464&gt;='Read Me &amp; Markers'!$B$24,I464&lt;'Read Me &amp; Markers'!$B$18,J464&gt;='Read Me &amp; Markers'!$B$25,L464&gt;='Read Me &amp; Markers'!$B$26),"D. Promising (needs more spend)",""))))</f>
        <v/>
      </c>
      <c r="C464" s="4" t="s">
        <v>129</v>
      </c>
      <c r="D464" s="4" t="s">
        <v>100</v>
      </c>
      <c r="E464" s="4" t="s">
        <v>1451</v>
      </c>
      <c r="F464" s="4" t="s">
        <v>87</v>
      </c>
      <c r="G464" s="4" t="s">
        <v>132</v>
      </c>
      <c r="H464" s="4" t="s">
        <v>1772</v>
      </c>
      <c r="I464" s="5" t="n">
        <v>51.32</v>
      </c>
      <c r="J464" s="7" t="n">
        <v>0</v>
      </c>
      <c r="K464" s="5" t="n">
        <v>0</v>
      </c>
      <c r="L464" s="8" t="n">
        <v>0</v>
      </c>
      <c r="M464" s="9" t="n">
        <v>0</v>
      </c>
      <c r="N464" s="10" t="n">
        <v>0.01954397</v>
      </c>
      <c r="O464" s="5" t="n">
        <v>167.17</v>
      </c>
      <c r="P464" s="11" t="n">
        <v>1.203922</v>
      </c>
      <c r="Q464" s="7" t="n">
        <v>307</v>
      </c>
      <c r="R464" s="7" t="n">
        <v>6</v>
      </c>
      <c r="S464" s="7" t="n">
        <v>0</v>
      </c>
      <c r="T464" s="7" t="n">
        <v>0</v>
      </c>
      <c r="U464" s="7" t="n">
        <v>257</v>
      </c>
      <c r="V464" s="7" t="n">
        <v>26</v>
      </c>
    </row>
    <row r="465" customFormat="false" ht="15" hidden="false" customHeight="false" outlineLevel="0" collapsed="false">
      <c r="A465" s="4" t="s">
        <v>1773</v>
      </c>
      <c r="B465" s="4" t="str">
        <f aca="false">IF(AND(I465&gt;='Read Me &amp; Markers'!$B$18,J465&gt;='Read Me &amp; Markers'!$B$19,L465&gt;='Read Me &amp; Markers'!$B$20),"A. Proven winner",IF(AND(I465&gt;='Read Me &amp; Markers'!$B$18,J465&gt;='Read Me &amp; Markers'!$B$19,L465&gt;='Read Me &amp; Markers'!$B$21),"B. Strong performer",IF(AND(I465&gt;='Read Me &amp; Markers'!$B$22,L465&gt;='Read Me &amp; Markers'!$B$23),"C. Scale workhorse",IF(AND(I465&gt;='Read Me &amp; Markers'!$B$24,I465&lt;'Read Me &amp; Markers'!$B$18,J465&gt;='Read Me &amp; Markers'!$B$25,L465&gt;='Read Me &amp; Markers'!$B$26),"D. Promising (needs more spend)",""))))</f>
        <v/>
      </c>
      <c r="C465" s="4" t="s">
        <v>98</v>
      </c>
      <c r="D465" s="4" t="s">
        <v>100</v>
      </c>
      <c r="E465" s="4" t="s">
        <v>1774</v>
      </c>
      <c r="F465" s="4" t="s">
        <v>87</v>
      </c>
      <c r="G465" s="4" t="s">
        <v>88</v>
      </c>
      <c r="H465" s="4" t="s">
        <v>1775</v>
      </c>
      <c r="I465" s="5" t="n">
        <v>51.22</v>
      </c>
      <c r="J465" s="7" t="n">
        <v>0</v>
      </c>
      <c r="K465" s="5" t="n">
        <v>0</v>
      </c>
      <c r="L465" s="8" t="n">
        <v>0</v>
      </c>
      <c r="M465" s="9" t="n">
        <v>0</v>
      </c>
      <c r="N465" s="10" t="n">
        <v>0.03693931</v>
      </c>
      <c r="O465" s="5" t="n">
        <v>135.15</v>
      </c>
      <c r="P465" s="11" t="n">
        <v>1.242623</v>
      </c>
      <c r="Q465" s="7" t="n">
        <v>379</v>
      </c>
      <c r="R465" s="7" t="n">
        <v>14</v>
      </c>
      <c r="S465" s="7" t="n">
        <v>0</v>
      </c>
      <c r="T465" s="7" t="n">
        <v>0</v>
      </c>
      <c r="U465" s="7" t="n">
        <v>328</v>
      </c>
      <c r="V465" s="7" t="n">
        <v>35</v>
      </c>
    </row>
    <row r="466" customFormat="false" ht="15" hidden="false" customHeight="false" outlineLevel="0" collapsed="false">
      <c r="A466" s="4" t="s">
        <v>1776</v>
      </c>
      <c r="B466" s="4" t="str">
        <f aca="false">IF(AND(I466&gt;='Read Me &amp; Markers'!$B$18,J466&gt;='Read Me &amp; Markers'!$B$19,L466&gt;='Read Me &amp; Markers'!$B$20),"A. Proven winner",IF(AND(I466&gt;='Read Me &amp; Markers'!$B$18,J466&gt;='Read Me &amp; Markers'!$B$19,L466&gt;='Read Me &amp; Markers'!$B$21),"B. Strong performer",IF(AND(I466&gt;='Read Me &amp; Markers'!$B$22,L466&gt;='Read Me &amp; Markers'!$B$23),"C. Scale workhorse",IF(AND(I466&gt;='Read Me &amp; Markers'!$B$24,I466&lt;'Read Me &amp; Markers'!$B$18,J466&gt;='Read Me &amp; Markers'!$B$25,L466&gt;='Read Me &amp; Markers'!$B$26),"D. Promising (needs more spend)",""))))</f>
        <v/>
      </c>
      <c r="C466" s="4" t="s">
        <v>1777</v>
      </c>
      <c r="D466" s="4" t="s">
        <v>109</v>
      </c>
      <c r="E466" s="4" t="s">
        <v>1778</v>
      </c>
      <c r="F466" s="4" t="s">
        <v>87</v>
      </c>
      <c r="G466" s="4" t="s">
        <v>1779</v>
      </c>
      <c r="H466" s="4" t="s">
        <v>1780</v>
      </c>
      <c r="I466" s="5" t="n">
        <v>50.95</v>
      </c>
      <c r="J466" s="7" t="n">
        <v>0</v>
      </c>
      <c r="K466" s="5" t="n">
        <v>0</v>
      </c>
      <c r="L466" s="8" t="n">
        <v>0</v>
      </c>
      <c r="M466" s="9" t="n">
        <v>0</v>
      </c>
      <c r="N466" s="10" t="n">
        <v>0.04</v>
      </c>
      <c r="O466" s="5" t="n">
        <v>145.57</v>
      </c>
      <c r="P466" s="11" t="n">
        <v>1.320755</v>
      </c>
      <c r="Q466" s="7" t="n">
        <v>350</v>
      </c>
      <c r="R466" s="7" t="n">
        <v>14</v>
      </c>
      <c r="S466" s="7" t="n">
        <v>5</v>
      </c>
      <c r="T466" s="7" t="n">
        <v>0</v>
      </c>
      <c r="U466" s="7" t="n">
        <v>311</v>
      </c>
      <c r="V466" s="7" t="n">
        <v>47</v>
      </c>
    </row>
    <row r="467" customFormat="false" ht="15" hidden="false" customHeight="false" outlineLevel="0" collapsed="false">
      <c r="A467" s="4" t="s">
        <v>1781</v>
      </c>
      <c r="B467" s="4" t="str">
        <f aca="false">IF(AND(I467&gt;='Read Me &amp; Markers'!$B$18,J467&gt;='Read Me &amp; Markers'!$B$19,L467&gt;='Read Me &amp; Markers'!$B$20),"A. Proven winner",IF(AND(I467&gt;='Read Me &amp; Markers'!$B$18,J467&gt;='Read Me &amp; Markers'!$B$19,L467&gt;='Read Me &amp; Markers'!$B$21),"B. Strong performer",IF(AND(I467&gt;='Read Me &amp; Markers'!$B$22,L467&gt;='Read Me &amp; Markers'!$B$23),"C. Scale workhorse",IF(AND(I467&gt;='Read Me &amp; Markers'!$B$24,I467&lt;'Read Me &amp; Markers'!$B$18,J467&gt;='Read Me &amp; Markers'!$B$25,L467&gt;='Read Me &amp; Markers'!$B$26),"D. Promising (needs more spend)",""))))</f>
        <v/>
      </c>
      <c r="C467" s="4" t="s">
        <v>169</v>
      </c>
      <c r="D467" s="4" t="s">
        <v>154</v>
      </c>
      <c r="E467" s="4" t="s">
        <v>1782</v>
      </c>
      <c r="F467" s="4" t="s">
        <v>87</v>
      </c>
      <c r="G467" s="4" t="s">
        <v>88</v>
      </c>
      <c r="H467" s="4" t="s">
        <v>1783</v>
      </c>
      <c r="I467" s="5" t="n">
        <v>50.9</v>
      </c>
      <c r="J467" s="7" t="n">
        <v>0</v>
      </c>
      <c r="K467" s="5" t="n">
        <v>0</v>
      </c>
      <c r="L467" s="8" t="n">
        <v>0</v>
      </c>
      <c r="M467" s="9" t="n">
        <v>0</v>
      </c>
      <c r="N467" s="10" t="n">
        <v>0.03100775</v>
      </c>
      <c r="O467" s="5" t="n">
        <v>49.32</v>
      </c>
      <c r="P467" s="11" t="n">
        <v>1.2</v>
      </c>
      <c r="Q467" s="7" t="n">
        <v>1032</v>
      </c>
      <c r="R467" s="7" t="n">
        <v>32</v>
      </c>
      <c r="S467" s="7" t="n">
        <v>2</v>
      </c>
      <c r="T467" s="7" t="n">
        <v>2</v>
      </c>
      <c r="U467" s="7" t="n">
        <v>718</v>
      </c>
      <c r="V467" s="7" t="n">
        <v>54</v>
      </c>
    </row>
    <row r="468" customFormat="false" ht="15" hidden="false" customHeight="false" outlineLevel="0" collapsed="false">
      <c r="A468" s="4" t="s">
        <v>1784</v>
      </c>
      <c r="B468" s="4" t="str">
        <f aca="false">IF(AND(I468&gt;='Read Me &amp; Markers'!$B$18,J468&gt;='Read Me &amp; Markers'!$B$19,L468&gt;='Read Me &amp; Markers'!$B$20),"A. Proven winner",IF(AND(I468&gt;='Read Me &amp; Markers'!$B$18,J468&gt;='Read Me &amp; Markers'!$B$19,L468&gt;='Read Me &amp; Markers'!$B$21),"B. Strong performer",IF(AND(I468&gt;='Read Me &amp; Markers'!$B$22,L468&gt;='Read Me &amp; Markers'!$B$23),"C. Scale workhorse",IF(AND(I468&gt;='Read Me &amp; Markers'!$B$24,I468&lt;'Read Me &amp; Markers'!$B$18,J468&gt;='Read Me &amp; Markers'!$B$25,L468&gt;='Read Me &amp; Markers'!$B$26),"D. Promising (needs more spend)",""))))</f>
        <v/>
      </c>
      <c r="C468" s="4" t="s">
        <v>169</v>
      </c>
      <c r="D468" s="4" t="s">
        <v>206</v>
      </c>
      <c r="E468" s="4" t="s">
        <v>742</v>
      </c>
      <c r="F468" s="4" t="s">
        <v>253</v>
      </c>
      <c r="G468" s="4" t="s">
        <v>743</v>
      </c>
      <c r="H468" s="4" t="s">
        <v>1785</v>
      </c>
      <c r="I468" s="5" t="n">
        <v>49.73</v>
      </c>
      <c r="J468" s="7" t="n">
        <v>0</v>
      </c>
      <c r="K468" s="5" t="n">
        <v>0</v>
      </c>
      <c r="L468" s="8" t="n">
        <v>0</v>
      </c>
      <c r="M468" s="9" t="n">
        <v>0</v>
      </c>
      <c r="N468" s="10" t="n">
        <v>0.01340483</v>
      </c>
      <c r="O468" s="5" t="n">
        <v>66.66</v>
      </c>
      <c r="P468" s="11" t="n">
        <v>1.167449</v>
      </c>
      <c r="Q468" s="7" t="n">
        <v>746</v>
      </c>
      <c r="R468" s="7" t="n">
        <v>10</v>
      </c>
      <c r="S468" s="7" t="n">
        <v>0</v>
      </c>
      <c r="T468" s="7" t="n">
        <v>0</v>
      </c>
      <c r="U468" s="7" t="n">
        <v>609</v>
      </c>
      <c r="V468" s="7" t="n">
        <v>50</v>
      </c>
    </row>
    <row r="469" customFormat="false" ht="15" hidden="false" customHeight="false" outlineLevel="0" collapsed="false">
      <c r="A469" s="4" t="s">
        <v>1786</v>
      </c>
      <c r="B469" s="4" t="str">
        <f aca="false">IF(AND(I469&gt;='Read Me &amp; Markers'!$B$18,J469&gt;='Read Me &amp; Markers'!$B$19,L469&gt;='Read Me &amp; Markers'!$B$20),"A. Proven winner",IF(AND(I469&gt;='Read Me &amp; Markers'!$B$18,J469&gt;='Read Me &amp; Markers'!$B$19,L469&gt;='Read Me &amp; Markers'!$B$21),"B. Strong performer",IF(AND(I469&gt;='Read Me &amp; Markers'!$B$22,L469&gt;='Read Me &amp; Markers'!$B$23),"C. Scale workhorse",IF(AND(I469&gt;='Read Me &amp; Markers'!$B$24,I469&lt;'Read Me &amp; Markers'!$B$18,J469&gt;='Read Me &amp; Markers'!$B$25,L469&gt;='Read Me &amp; Markers'!$B$26),"D. Promising (needs more spend)",""))))</f>
        <v/>
      </c>
      <c r="C469" s="4" t="s">
        <v>1787</v>
      </c>
      <c r="D469" s="4" t="s">
        <v>109</v>
      </c>
      <c r="E469" s="4" t="s">
        <v>869</v>
      </c>
      <c r="F469" s="4" t="s">
        <v>87</v>
      </c>
      <c r="G469" s="4" t="s">
        <v>599</v>
      </c>
      <c r="H469" s="4" t="s">
        <v>1788</v>
      </c>
      <c r="I469" s="5" t="n">
        <v>49.4</v>
      </c>
      <c r="J469" s="7" t="n">
        <v>0</v>
      </c>
      <c r="K469" s="5" t="n">
        <v>0</v>
      </c>
      <c r="L469" s="8" t="n">
        <v>0</v>
      </c>
      <c r="M469" s="9" t="n">
        <v>0</v>
      </c>
      <c r="N469" s="10" t="n">
        <v>0.04761905</v>
      </c>
      <c r="O469" s="5" t="n">
        <v>196.03</v>
      </c>
      <c r="P469" s="11" t="n">
        <v>1.130045</v>
      </c>
      <c r="Q469" s="7" t="n">
        <v>252</v>
      </c>
      <c r="R469" s="7" t="n">
        <v>12</v>
      </c>
      <c r="S469" s="7" t="n">
        <v>1</v>
      </c>
      <c r="T469" s="7" t="n">
        <v>1</v>
      </c>
      <c r="U469" s="7" t="n">
        <v>172</v>
      </c>
      <c r="V469" s="7" t="n">
        <v>17</v>
      </c>
    </row>
    <row r="470" customFormat="false" ht="15" hidden="false" customHeight="false" outlineLevel="0" collapsed="false">
      <c r="A470" s="4" t="s">
        <v>1789</v>
      </c>
      <c r="B470" s="4" t="str">
        <f aca="false">IF(AND(I470&gt;='Read Me &amp; Markers'!$B$18,J470&gt;='Read Me &amp; Markers'!$B$19,L470&gt;='Read Me &amp; Markers'!$B$20),"A. Proven winner",IF(AND(I470&gt;='Read Me &amp; Markers'!$B$18,J470&gt;='Read Me &amp; Markers'!$B$19,L470&gt;='Read Me &amp; Markers'!$B$21),"B. Strong performer",IF(AND(I470&gt;='Read Me &amp; Markers'!$B$22,L470&gt;='Read Me &amp; Markers'!$B$23),"C. Scale workhorse",IF(AND(I470&gt;='Read Me &amp; Markers'!$B$24,I470&lt;'Read Me &amp; Markers'!$B$18,J470&gt;='Read Me &amp; Markers'!$B$25,L470&gt;='Read Me &amp; Markers'!$B$26),"D. Promising (needs more spend)",""))))</f>
        <v/>
      </c>
      <c r="C470" s="4" t="s">
        <v>121</v>
      </c>
      <c r="D470" s="4" t="s">
        <v>154</v>
      </c>
      <c r="E470" s="4" t="s">
        <v>1084</v>
      </c>
      <c r="F470" s="4" t="s">
        <v>253</v>
      </c>
      <c r="G470" s="4" t="s">
        <v>1085</v>
      </c>
      <c r="H470" s="4" t="s">
        <v>1790</v>
      </c>
      <c r="I470" s="5" t="n">
        <v>49.36</v>
      </c>
      <c r="J470" s="7" t="n">
        <v>0</v>
      </c>
      <c r="K470" s="5" t="n">
        <v>0</v>
      </c>
      <c r="L470" s="8" t="n">
        <v>0</v>
      </c>
      <c r="M470" s="9" t="n">
        <v>0</v>
      </c>
      <c r="N470" s="10" t="n">
        <v>0.05506217</v>
      </c>
      <c r="O470" s="5" t="n">
        <v>87.67</v>
      </c>
      <c r="P470" s="11" t="n">
        <v>1.132797</v>
      </c>
      <c r="Q470" s="7" t="n">
        <v>563</v>
      </c>
      <c r="R470" s="7" t="n">
        <v>31</v>
      </c>
      <c r="S470" s="7" t="n">
        <v>0</v>
      </c>
      <c r="T470" s="7" t="n">
        <v>0</v>
      </c>
      <c r="U470" s="7" t="n">
        <v>503</v>
      </c>
      <c r="V470" s="7" t="n">
        <v>55</v>
      </c>
    </row>
    <row r="471" customFormat="false" ht="15" hidden="false" customHeight="false" outlineLevel="0" collapsed="false">
      <c r="A471" s="4" t="s">
        <v>1791</v>
      </c>
      <c r="B471" s="4" t="str">
        <f aca="false">IF(AND(I471&gt;='Read Me &amp; Markers'!$B$18,J471&gt;='Read Me &amp; Markers'!$B$19,L471&gt;='Read Me &amp; Markers'!$B$20),"A. Proven winner",IF(AND(I471&gt;='Read Me &amp; Markers'!$B$18,J471&gt;='Read Me &amp; Markers'!$B$19,L471&gt;='Read Me &amp; Markers'!$B$21),"B. Strong performer",IF(AND(I471&gt;='Read Me &amp; Markers'!$B$22,L471&gt;='Read Me &amp; Markers'!$B$23),"C. Scale workhorse",IF(AND(I471&gt;='Read Me &amp; Markers'!$B$24,I471&lt;'Read Me &amp; Markers'!$B$18,J471&gt;='Read Me &amp; Markers'!$B$25,L471&gt;='Read Me &amp; Markers'!$B$26),"D. Promising (needs more spend)",""))))</f>
        <v/>
      </c>
      <c r="C471" s="4" t="s">
        <v>1792</v>
      </c>
      <c r="D471" s="4" t="s">
        <v>100</v>
      </c>
      <c r="E471" s="4" t="s">
        <v>1793</v>
      </c>
      <c r="F471" s="4" t="s">
        <v>87</v>
      </c>
      <c r="G471" s="4" t="s">
        <v>984</v>
      </c>
      <c r="H471" s="4" t="s">
        <v>1794</v>
      </c>
      <c r="I471" s="5" t="n">
        <v>49.27</v>
      </c>
      <c r="J471" s="7" t="n">
        <v>0</v>
      </c>
      <c r="K471" s="5" t="n">
        <v>0</v>
      </c>
      <c r="L471" s="8" t="n">
        <v>0</v>
      </c>
      <c r="M471" s="9" t="n">
        <v>0</v>
      </c>
      <c r="N471" s="10" t="n">
        <v>0.0163728</v>
      </c>
      <c r="O471" s="5" t="n">
        <v>62.05</v>
      </c>
      <c r="P471" s="11" t="n">
        <v>1.20303</v>
      </c>
      <c r="Q471" s="7" t="n">
        <v>794</v>
      </c>
      <c r="R471" s="7" t="n">
        <v>13</v>
      </c>
      <c r="S471" s="7" t="n">
        <v>0</v>
      </c>
      <c r="T471" s="7" t="n">
        <v>0</v>
      </c>
      <c r="U471" s="7" t="n">
        <v>0</v>
      </c>
      <c r="V471" s="7" t="n">
        <v>0</v>
      </c>
    </row>
    <row r="472" customFormat="false" ht="15" hidden="false" customHeight="false" outlineLevel="0" collapsed="false">
      <c r="A472" s="4" t="s">
        <v>1795</v>
      </c>
      <c r="B472" s="4" t="str">
        <f aca="false">IF(AND(I472&gt;='Read Me &amp; Markers'!$B$18,J472&gt;='Read Me &amp; Markers'!$B$19,L472&gt;='Read Me &amp; Markers'!$B$20),"A. Proven winner",IF(AND(I472&gt;='Read Me &amp; Markers'!$B$18,J472&gt;='Read Me &amp; Markers'!$B$19,L472&gt;='Read Me &amp; Markers'!$B$21),"B. Strong performer",IF(AND(I472&gt;='Read Me &amp; Markers'!$B$22,L472&gt;='Read Me &amp; Markers'!$B$23),"C. Scale workhorse",IF(AND(I472&gt;='Read Me &amp; Markers'!$B$24,I472&lt;'Read Me &amp; Markers'!$B$18,J472&gt;='Read Me &amp; Markers'!$B$25,L472&gt;='Read Me &amp; Markers'!$B$26),"D. Promising (needs more spend)",""))))</f>
        <v/>
      </c>
      <c r="C472" s="4" t="s">
        <v>169</v>
      </c>
      <c r="D472" s="4" t="s">
        <v>100</v>
      </c>
      <c r="E472" s="4" t="s">
        <v>1029</v>
      </c>
      <c r="F472" s="4" t="s">
        <v>87</v>
      </c>
      <c r="G472" s="4" t="s">
        <v>623</v>
      </c>
      <c r="H472" s="4" t="s">
        <v>1796</v>
      </c>
      <c r="I472" s="5" t="n">
        <v>48.67</v>
      </c>
      <c r="J472" s="7" t="n">
        <v>0</v>
      </c>
      <c r="K472" s="5" t="n">
        <v>0</v>
      </c>
      <c r="L472" s="8" t="n">
        <v>0</v>
      </c>
      <c r="M472" s="9" t="n">
        <v>0</v>
      </c>
      <c r="N472" s="10" t="n">
        <v>0.06168831</v>
      </c>
      <c r="O472" s="5" t="n">
        <v>158.02</v>
      </c>
      <c r="P472" s="11" t="n">
        <v>1.198444</v>
      </c>
      <c r="Q472" s="7" t="n">
        <v>308</v>
      </c>
      <c r="R472" s="7" t="n">
        <v>19</v>
      </c>
      <c r="S472" s="7" t="n">
        <v>0</v>
      </c>
      <c r="T472" s="7" t="n">
        <v>1</v>
      </c>
      <c r="U472" s="7" t="n">
        <v>242</v>
      </c>
      <c r="V472" s="7" t="n">
        <v>33</v>
      </c>
    </row>
    <row r="473" customFormat="false" ht="15" hidden="false" customHeight="false" outlineLevel="0" collapsed="false">
      <c r="A473" s="4" t="s">
        <v>1797</v>
      </c>
      <c r="B473" s="4" t="str">
        <f aca="false">IF(AND(I473&gt;='Read Me &amp; Markers'!$B$18,J473&gt;='Read Me &amp; Markers'!$B$19,L473&gt;='Read Me &amp; Markers'!$B$20),"A. Proven winner",IF(AND(I473&gt;='Read Me &amp; Markers'!$B$18,J473&gt;='Read Me &amp; Markers'!$B$19,L473&gt;='Read Me &amp; Markers'!$B$21),"B. Strong performer",IF(AND(I473&gt;='Read Me &amp; Markers'!$B$22,L473&gt;='Read Me &amp; Markers'!$B$23),"C. Scale workhorse",IF(AND(I473&gt;='Read Me &amp; Markers'!$B$24,I473&lt;'Read Me &amp; Markers'!$B$18,J473&gt;='Read Me &amp; Markers'!$B$25,L473&gt;='Read Me &amp; Markers'!$B$26),"D. Promising (needs more spend)",""))))</f>
        <v/>
      </c>
      <c r="C473" s="4" t="s">
        <v>226</v>
      </c>
      <c r="D473" s="4" t="s">
        <v>369</v>
      </c>
      <c r="E473" s="4" t="s">
        <v>1798</v>
      </c>
      <c r="F473" s="4" t="s">
        <v>253</v>
      </c>
      <c r="G473" s="4" t="s">
        <v>1799</v>
      </c>
      <c r="H473" s="4" t="s">
        <v>1800</v>
      </c>
      <c r="I473" s="5" t="n">
        <v>48.38</v>
      </c>
      <c r="J473" s="7" t="n">
        <v>0</v>
      </c>
      <c r="K473" s="5" t="n">
        <v>0</v>
      </c>
      <c r="L473" s="8" t="n">
        <v>0</v>
      </c>
      <c r="M473" s="9" t="n">
        <v>0</v>
      </c>
      <c r="N473" s="10" t="n">
        <v>0.02380952</v>
      </c>
      <c r="O473" s="5" t="n">
        <v>48</v>
      </c>
      <c r="P473" s="11" t="n">
        <v>1.105263</v>
      </c>
      <c r="Q473" s="7" t="n">
        <v>1008</v>
      </c>
      <c r="R473" s="7" t="n">
        <v>24</v>
      </c>
      <c r="S473" s="7" t="n">
        <v>2</v>
      </c>
      <c r="T473" s="7" t="n">
        <v>2</v>
      </c>
      <c r="U473" s="7" t="n">
        <v>850</v>
      </c>
      <c r="V473" s="7" t="n">
        <v>66</v>
      </c>
    </row>
    <row r="474" customFormat="false" ht="15" hidden="false" customHeight="false" outlineLevel="0" collapsed="false">
      <c r="A474" s="4" t="s">
        <v>1801</v>
      </c>
      <c r="B474" s="4" t="str">
        <f aca="false">IF(AND(I474&gt;='Read Me &amp; Markers'!$B$18,J474&gt;='Read Me &amp; Markers'!$B$19,L474&gt;='Read Me &amp; Markers'!$B$20),"A. Proven winner",IF(AND(I474&gt;='Read Me &amp; Markers'!$B$18,J474&gt;='Read Me &amp; Markers'!$B$19,L474&gt;='Read Me &amp; Markers'!$B$21),"B. Strong performer",IF(AND(I474&gt;='Read Me &amp; Markers'!$B$22,L474&gt;='Read Me &amp; Markers'!$B$23),"C. Scale workhorse",IF(AND(I474&gt;='Read Me &amp; Markers'!$B$24,I474&lt;'Read Me &amp; Markers'!$B$18,J474&gt;='Read Me &amp; Markers'!$B$25,L474&gt;='Read Me &amp; Markers'!$B$26),"D. Promising (needs more spend)",""))))</f>
        <v/>
      </c>
      <c r="C474" s="4" t="s">
        <v>129</v>
      </c>
      <c r="D474" s="4" t="s">
        <v>100</v>
      </c>
      <c r="E474" s="4" t="s">
        <v>1366</v>
      </c>
      <c r="F474" s="4" t="s">
        <v>87</v>
      </c>
      <c r="G474" s="4" t="s">
        <v>279</v>
      </c>
      <c r="H474" s="4" t="s">
        <v>1802</v>
      </c>
      <c r="I474" s="5" t="n">
        <v>48.29</v>
      </c>
      <c r="J474" s="7" t="n">
        <v>0</v>
      </c>
      <c r="K474" s="5" t="n">
        <v>0</v>
      </c>
      <c r="L474" s="8" t="n">
        <v>0</v>
      </c>
      <c r="M474" s="9" t="n">
        <v>0</v>
      </c>
      <c r="N474" s="10" t="n">
        <v>0.10060976</v>
      </c>
      <c r="O474" s="5" t="n">
        <v>147.23</v>
      </c>
      <c r="P474" s="11" t="n">
        <v>1.071895</v>
      </c>
      <c r="Q474" s="7" t="n">
        <v>328</v>
      </c>
      <c r="R474" s="7" t="n">
        <v>33</v>
      </c>
      <c r="S474" s="7" t="n">
        <v>2</v>
      </c>
      <c r="T474" s="7" t="n">
        <v>1</v>
      </c>
      <c r="U474" s="7" t="n">
        <v>299</v>
      </c>
      <c r="V474" s="7" t="n">
        <v>80</v>
      </c>
    </row>
    <row r="475" customFormat="false" ht="15" hidden="false" customHeight="false" outlineLevel="0" collapsed="false">
      <c r="A475" s="4" t="s">
        <v>1803</v>
      </c>
      <c r="B475" s="4" t="str">
        <f aca="false">IF(AND(I475&gt;='Read Me &amp; Markers'!$B$18,J475&gt;='Read Me &amp; Markers'!$B$19,L475&gt;='Read Me &amp; Markers'!$B$20),"A. Proven winner",IF(AND(I475&gt;='Read Me &amp; Markers'!$B$18,J475&gt;='Read Me &amp; Markers'!$B$19,L475&gt;='Read Me &amp; Markers'!$B$21),"B. Strong performer",IF(AND(I475&gt;='Read Me &amp; Markers'!$B$22,L475&gt;='Read Me &amp; Markers'!$B$23),"C. Scale workhorse",IF(AND(I475&gt;='Read Me &amp; Markers'!$B$24,I475&lt;'Read Me &amp; Markers'!$B$18,J475&gt;='Read Me &amp; Markers'!$B$25,L475&gt;='Read Me &amp; Markers'!$B$26),"D. Promising (needs more spend)",""))))</f>
        <v/>
      </c>
      <c r="C475" s="4" t="s">
        <v>1804</v>
      </c>
      <c r="D475" s="4" t="s">
        <v>528</v>
      </c>
      <c r="E475" s="4" t="s">
        <v>1805</v>
      </c>
      <c r="F475" s="4" t="s">
        <v>230</v>
      </c>
      <c r="G475" s="4" t="s">
        <v>378</v>
      </c>
      <c r="H475" s="4" t="s">
        <v>1806</v>
      </c>
      <c r="I475" s="5" t="n">
        <v>48.08</v>
      </c>
      <c r="J475" s="7" t="n">
        <v>2</v>
      </c>
      <c r="K475" s="5" t="n">
        <v>79.96</v>
      </c>
      <c r="L475" s="8" t="n">
        <v>1.663062</v>
      </c>
      <c r="M475" s="9" t="n">
        <v>24.04</v>
      </c>
      <c r="N475" s="10" t="n">
        <v>0.07751938</v>
      </c>
      <c r="O475" s="5" t="n">
        <v>124.24</v>
      </c>
      <c r="P475" s="11" t="n">
        <v>1.075</v>
      </c>
      <c r="Q475" s="7" t="n">
        <v>387</v>
      </c>
      <c r="R475" s="7" t="n">
        <v>30</v>
      </c>
      <c r="S475" s="7" t="n">
        <v>3</v>
      </c>
      <c r="T475" s="7" t="n">
        <v>3</v>
      </c>
      <c r="U475" s="7" t="n">
        <v>326</v>
      </c>
      <c r="V475" s="7" t="n">
        <v>55</v>
      </c>
    </row>
    <row r="476" customFormat="false" ht="15" hidden="false" customHeight="false" outlineLevel="0" collapsed="false">
      <c r="A476" s="4" t="s">
        <v>1807</v>
      </c>
      <c r="B476" s="4" t="str">
        <f aca="false">IF(AND(I476&gt;='Read Me &amp; Markers'!$B$18,J476&gt;='Read Me &amp; Markers'!$B$19,L476&gt;='Read Me &amp; Markers'!$B$20),"A. Proven winner",IF(AND(I476&gt;='Read Me &amp; Markers'!$B$18,J476&gt;='Read Me &amp; Markers'!$B$19,L476&gt;='Read Me &amp; Markers'!$B$21),"B. Strong performer",IF(AND(I476&gt;='Read Me &amp; Markers'!$B$22,L476&gt;='Read Me &amp; Markers'!$B$23),"C. Scale workhorse",IF(AND(I476&gt;='Read Me &amp; Markers'!$B$24,I476&lt;'Read Me &amp; Markers'!$B$18,J476&gt;='Read Me &amp; Markers'!$B$25,L476&gt;='Read Me &amp; Markers'!$B$26),"D. Promising (needs more spend)",""))))</f>
        <v/>
      </c>
      <c r="C476" s="4" t="s">
        <v>1808</v>
      </c>
      <c r="D476" s="4" t="s">
        <v>109</v>
      </c>
      <c r="E476" s="4" t="s">
        <v>1809</v>
      </c>
      <c r="F476" s="4" t="s">
        <v>87</v>
      </c>
      <c r="G476" s="4" t="s">
        <v>508</v>
      </c>
      <c r="H476" s="4" t="s">
        <v>1810</v>
      </c>
      <c r="I476" s="5" t="n">
        <v>47.91</v>
      </c>
      <c r="J476" s="7" t="n">
        <v>0</v>
      </c>
      <c r="K476" s="5" t="n">
        <v>0</v>
      </c>
      <c r="L476" s="8" t="n">
        <v>0</v>
      </c>
      <c r="M476" s="9" t="n">
        <v>0</v>
      </c>
      <c r="N476" s="10" t="n">
        <v>0.02067183</v>
      </c>
      <c r="O476" s="5" t="n">
        <v>61.9</v>
      </c>
      <c r="P476" s="11" t="n">
        <v>1.327616</v>
      </c>
      <c r="Q476" s="7" t="n">
        <v>774</v>
      </c>
      <c r="R476" s="7" t="n">
        <v>16</v>
      </c>
      <c r="S476" s="7" t="n">
        <v>3</v>
      </c>
      <c r="T476" s="7" t="n">
        <v>0</v>
      </c>
      <c r="U476" s="7" t="n">
        <v>0</v>
      </c>
      <c r="V476" s="7" t="n">
        <v>0</v>
      </c>
    </row>
    <row r="477" customFormat="false" ht="15" hidden="false" customHeight="false" outlineLevel="0" collapsed="false">
      <c r="A477" s="4" t="s">
        <v>1811</v>
      </c>
      <c r="B477" s="4" t="str">
        <f aca="false">IF(AND(I477&gt;='Read Me &amp; Markers'!$B$18,J477&gt;='Read Me &amp; Markers'!$B$19,L477&gt;='Read Me &amp; Markers'!$B$20),"A. Proven winner",IF(AND(I477&gt;='Read Me &amp; Markers'!$B$18,J477&gt;='Read Me &amp; Markers'!$B$19,L477&gt;='Read Me &amp; Markers'!$B$21),"B. Strong performer",IF(AND(I477&gt;='Read Me &amp; Markers'!$B$22,L477&gt;='Read Me &amp; Markers'!$B$23),"C. Scale workhorse",IF(AND(I477&gt;='Read Me &amp; Markers'!$B$24,I477&lt;'Read Me &amp; Markers'!$B$18,J477&gt;='Read Me &amp; Markers'!$B$25,L477&gt;='Read Me &amp; Markers'!$B$26),"D. Promising (needs more spend)",""))))</f>
        <v/>
      </c>
      <c r="C477" s="4" t="s">
        <v>1812</v>
      </c>
      <c r="D477" s="4" t="s">
        <v>154</v>
      </c>
      <c r="E477" s="4" t="s">
        <v>1813</v>
      </c>
      <c r="F477" s="4" t="s">
        <v>253</v>
      </c>
      <c r="G477" s="4" t="s">
        <v>156</v>
      </c>
      <c r="H477" s="4" t="s">
        <v>1814</v>
      </c>
      <c r="I477" s="5" t="n">
        <v>47.73</v>
      </c>
      <c r="J477" s="7" t="n">
        <v>0</v>
      </c>
      <c r="K477" s="5" t="n">
        <v>0</v>
      </c>
      <c r="L477" s="8" t="n">
        <v>0</v>
      </c>
      <c r="M477" s="9" t="n">
        <v>0</v>
      </c>
      <c r="N477" s="10" t="n">
        <v>0.02293578</v>
      </c>
      <c r="O477" s="5" t="n">
        <v>72.98</v>
      </c>
      <c r="P477" s="11" t="n">
        <v>1.302789</v>
      </c>
      <c r="Q477" s="7" t="n">
        <v>654</v>
      </c>
      <c r="R477" s="7" t="n">
        <v>15</v>
      </c>
      <c r="S477" s="7" t="n">
        <v>1</v>
      </c>
      <c r="T477" s="7" t="n">
        <v>0</v>
      </c>
      <c r="U477" s="7" t="n">
        <v>515</v>
      </c>
      <c r="V477" s="7" t="n">
        <v>35</v>
      </c>
    </row>
    <row r="478" customFormat="false" ht="15" hidden="false" customHeight="false" outlineLevel="0" collapsed="false">
      <c r="A478" s="4" t="s">
        <v>1815</v>
      </c>
      <c r="B478" s="4" t="str">
        <f aca="false">IF(AND(I478&gt;='Read Me &amp; Markers'!$B$18,J478&gt;='Read Me &amp; Markers'!$B$19,L478&gt;='Read Me &amp; Markers'!$B$20),"A. Proven winner",IF(AND(I478&gt;='Read Me &amp; Markers'!$B$18,J478&gt;='Read Me &amp; Markers'!$B$19,L478&gt;='Read Me &amp; Markers'!$B$21),"B. Strong performer",IF(AND(I478&gt;='Read Me &amp; Markers'!$B$22,L478&gt;='Read Me &amp; Markers'!$B$23),"C. Scale workhorse",IF(AND(I478&gt;='Read Me &amp; Markers'!$B$24,I478&lt;'Read Me &amp; Markers'!$B$18,J478&gt;='Read Me &amp; Markers'!$B$25,L478&gt;='Read Me &amp; Markers'!$B$26),"D. Promising (needs more spend)",""))))</f>
        <v/>
      </c>
      <c r="C478" s="4" t="s">
        <v>645</v>
      </c>
      <c r="D478" s="4" t="s">
        <v>154</v>
      </c>
      <c r="E478" s="4" t="s">
        <v>335</v>
      </c>
      <c r="F478" s="4" t="s">
        <v>87</v>
      </c>
      <c r="G478" s="4" t="s">
        <v>336</v>
      </c>
      <c r="H478" s="4" t="s">
        <v>1476</v>
      </c>
      <c r="I478" s="5" t="n">
        <v>47.25</v>
      </c>
      <c r="J478" s="7" t="n">
        <v>1</v>
      </c>
      <c r="K478" s="5" t="n">
        <v>79.95</v>
      </c>
      <c r="L478" s="8" t="n">
        <v>1.692063</v>
      </c>
      <c r="M478" s="9" t="n">
        <v>47.25</v>
      </c>
      <c r="N478" s="10" t="n">
        <v>0.02560976</v>
      </c>
      <c r="O478" s="5" t="n">
        <v>57.62</v>
      </c>
      <c r="P478" s="11" t="n">
        <v>1.15493</v>
      </c>
      <c r="Q478" s="7" t="n">
        <v>820</v>
      </c>
      <c r="R478" s="7" t="n">
        <v>21</v>
      </c>
      <c r="S478" s="7" t="n">
        <v>6</v>
      </c>
      <c r="T478" s="7" t="n">
        <v>2</v>
      </c>
      <c r="U478" s="7" t="n">
        <v>691</v>
      </c>
      <c r="V478" s="7" t="n">
        <v>86</v>
      </c>
    </row>
    <row r="479" customFormat="false" ht="15" hidden="false" customHeight="false" outlineLevel="0" collapsed="false">
      <c r="A479" s="4" t="s">
        <v>1816</v>
      </c>
      <c r="B479" s="4" t="str">
        <f aca="false">IF(AND(I479&gt;='Read Me &amp; Markers'!$B$18,J479&gt;='Read Me &amp; Markers'!$B$19,L479&gt;='Read Me &amp; Markers'!$B$20),"A. Proven winner",IF(AND(I479&gt;='Read Me &amp; Markers'!$B$18,J479&gt;='Read Me &amp; Markers'!$B$19,L479&gt;='Read Me &amp; Markers'!$B$21),"B. Strong performer",IF(AND(I479&gt;='Read Me &amp; Markers'!$B$22,L479&gt;='Read Me &amp; Markers'!$B$23),"C. Scale workhorse",IF(AND(I479&gt;='Read Me &amp; Markers'!$B$24,I479&lt;'Read Me &amp; Markers'!$B$18,J479&gt;='Read Me &amp; Markers'!$B$25,L479&gt;='Read Me &amp; Markers'!$B$26),"D. Promising (needs more spend)",""))))</f>
        <v/>
      </c>
      <c r="C479" s="4" t="s">
        <v>129</v>
      </c>
      <c r="D479" s="4" t="s">
        <v>100</v>
      </c>
      <c r="E479" s="4" t="s">
        <v>1332</v>
      </c>
      <c r="F479" s="4" t="s">
        <v>172</v>
      </c>
      <c r="G479" s="4" t="s">
        <v>254</v>
      </c>
      <c r="H479" s="4" t="s">
        <v>1817</v>
      </c>
      <c r="I479" s="5" t="n">
        <v>46.78</v>
      </c>
      <c r="J479" s="7" t="n">
        <v>1</v>
      </c>
      <c r="K479" s="5" t="n">
        <v>45.95</v>
      </c>
      <c r="L479" s="8" t="n">
        <v>0.982257</v>
      </c>
      <c r="M479" s="9" t="n">
        <v>46.78</v>
      </c>
      <c r="N479" s="10" t="n">
        <v>0.09011628</v>
      </c>
      <c r="O479" s="5" t="n">
        <v>135.99</v>
      </c>
      <c r="P479" s="11" t="n">
        <v>1.092063</v>
      </c>
      <c r="Q479" s="7" t="n">
        <v>344</v>
      </c>
      <c r="R479" s="7" t="n">
        <v>31</v>
      </c>
      <c r="S479" s="7" t="n">
        <v>3</v>
      </c>
      <c r="T479" s="7" t="n">
        <v>3</v>
      </c>
      <c r="U479" s="7" t="n">
        <v>299</v>
      </c>
      <c r="V479" s="7" t="n">
        <v>94</v>
      </c>
    </row>
    <row r="480" customFormat="false" ht="15" hidden="false" customHeight="false" outlineLevel="0" collapsed="false">
      <c r="A480" s="4" t="s">
        <v>1818</v>
      </c>
      <c r="B480" s="4" t="str">
        <f aca="false">IF(AND(I480&gt;='Read Me &amp; Markers'!$B$18,J480&gt;='Read Me &amp; Markers'!$B$19,L480&gt;='Read Me &amp; Markers'!$B$20),"A. Proven winner",IF(AND(I480&gt;='Read Me &amp; Markers'!$B$18,J480&gt;='Read Me &amp; Markers'!$B$19,L480&gt;='Read Me &amp; Markers'!$B$21),"B. Strong performer",IF(AND(I480&gt;='Read Me &amp; Markers'!$B$22,L480&gt;='Read Me &amp; Markers'!$B$23),"C. Scale workhorse",IF(AND(I480&gt;='Read Me &amp; Markers'!$B$24,I480&lt;'Read Me &amp; Markers'!$B$18,J480&gt;='Read Me &amp; Markers'!$B$25,L480&gt;='Read Me &amp; Markers'!$B$26),"D. Promising (needs more spend)",""))))</f>
        <v/>
      </c>
      <c r="C480" s="4" t="s">
        <v>1819</v>
      </c>
      <c r="D480" s="4" t="s">
        <v>109</v>
      </c>
      <c r="E480" s="4" t="s">
        <v>687</v>
      </c>
      <c r="F480" s="4" t="s">
        <v>87</v>
      </c>
      <c r="G480" s="4" t="s">
        <v>317</v>
      </c>
      <c r="H480" s="4" t="s">
        <v>1820</v>
      </c>
      <c r="I480" s="5" t="n">
        <v>46.63</v>
      </c>
      <c r="J480" s="7" t="n">
        <v>0</v>
      </c>
      <c r="K480" s="5" t="n">
        <v>0</v>
      </c>
      <c r="L480" s="8" t="n">
        <v>0</v>
      </c>
      <c r="M480" s="9" t="n">
        <v>0</v>
      </c>
      <c r="N480" s="10" t="n">
        <v>0.02487562</v>
      </c>
      <c r="O480" s="5" t="n">
        <v>58</v>
      </c>
      <c r="P480" s="11" t="n">
        <v>1.189349</v>
      </c>
      <c r="Q480" s="7" t="n">
        <v>804</v>
      </c>
      <c r="R480" s="7" t="n">
        <v>20</v>
      </c>
      <c r="S480" s="7" t="n">
        <v>0</v>
      </c>
      <c r="T480" s="7" t="n">
        <v>1</v>
      </c>
      <c r="U480" s="7" t="n">
        <v>0</v>
      </c>
      <c r="V480" s="7" t="n">
        <v>0</v>
      </c>
    </row>
    <row r="481" customFormat="false" ht="15" hidden="false" customHeight="false" outlineLevel="0" collapsed="false">
      <c r="A481" s="4" t="s">
        <v>1821</v>
      </c>
      <c r="B481" s="4" t="str">
        <f aca="false">IF(AND(I481&gt;='Read Me &amp; Markers'!$B$18,J481&gt;='Read Me &amp; Markers'!$B$19,L481&gt;='Read Me &amp; Markers'!$B$20),"A. Proven winner",IF(AND(I481&gt;='Read Me &amp; Markers'!$B$18,J481&gt;='Read Me &amp; Markers'!$B$19,L481&gt;='Read Me &amp; Markers'!$B$21),"B. Strong performer",IF(AND(I481&gt;='Read Me &amp; Markers'!$B$22,L481&gt;='Read Me &amp; Markers'!$B$23),"C. Scale workhorse",IF(AND(I481&gt;='Read Me &amp; Markers'!$B$24,I481&lt;'Read Me &amp; Markers'!$B$18,J481&gt;='Read Me &amp; Markers'!$B$25,L481&gt;='Read Me &amp; Markers'!$B$26),"D. Promising (needs more spend)",""))))</f>
        <v/>
      </c>
      <c r="C481" s="4" t="s">
        <v>121</v>
      </c>
      <c r="D481" s="4" t="s">
        <v>100</v>
      </c>
      <c r="E481" s="4" t="s">
        <v>690</v>
      </c>
      <c r="F481" s="4" t="s">
        <v>87</v>
      </c>
      <c r="G481" s="4" t="s">
        <v>342</v>
      </c>
      <c r="H481" s="4" t="s">
        <v>1822</v>
      </c>
      <c r="I481" s="5" t="n">
        <v>46.5</v>
      </c>
      <c r="J481" s="7" t="n">
        <v>0</v>
      </c>
      <c r="K481" s="5" t="n">
        <v>0</v>
      </c>
      <c r="L481" s="8" t="n">
        <v>0</v>
      </c>
      <c r="M481" s="9" t="n">
        <v>0</v>
      </c>
      <c r="N481" s="10" t="n">
        <v>0.04371585</v>
      </c>
      <c r="O481" s="5" t="n">
        <v>127.05</v>
      </c>
      <c r="P481" s="11" t="n">
        <v>1.02809</v>
      </c>
      <c r="Q481" s="7" t="n">
        <v>366</v>
      </c>
      <c r="R481" s="7" t="n">
        <v>16</v>
      </c>
      <c r="S481" s="7" t="n">
        <v>2</v>
      </c>
      <c r="T481" s="7" t="n">
        <v>2</v>
      </c>
      <c r="U481" s="7" t="n">
        <v>327</v>
      </c>
      <c r="V481" s="7" t="n">
        <v>63</v>
      </c>
    </row>
    <row r="482" customFormat="false" ht="15" hidden="false" customHeight="false" outlineLevel="0" collapsed="false">
      <c r="A482" s="4" t="s">
        <v>1823</v>
      </c>
      <c r="B482" s="4" t="str">
        <f aca="false">IF(AND(I482&gt;='Read Me &amp; Markers'!$B$18,J482&gt;='Read Me &amp; Markers'!$B$19,L482&gt;='Read Me &amp; Markers'!$B$20),"A. Proven winner",IF(AND(I482&gt;='Read Me &amp; Markers'!$B$18,J482&gt;='Read Me &amp; Markers'!$B$19,L482&gt;='Read Me &amp; Markers'!$B$21),"B. Strong performer",IF(AND(I482&gt;='Read Me &amp; Markers'!$B$22,L482&gt;='Read Me &amp; Markers'!$B$23),"C. Scale workhorse",IF(AND(I482&gt;='Read Me &amp; Markers'!$B$24,I482&lt;'Read Me &amp; Markers'!$B$18,J482&gt;='Read Me &amp; Markers'!$B$25,L482&gt;='Read Me &amp; Markers'!$B$26),"D. Promising (needs more spend)",""))))</f>
        <v/>
      </c>
      <c r="C482" s="4" t="s">
        <v>169</v>
      </c>
      <c r="D482" s="4" t="s">
        <v>528</v>
      </c>
      <c r="E482" s="4" t="s">
        <v>1824</v>
      </c>
      <c r="F482" s="4" t="s">
        <v>230</v>
      </c>
      <c r="G482" s="4" t="s">
        <v>530</v>
      </c>
      <c r="H482" s="4" t="s">
        <v>1825</v>
      </c>
      <c r="I482" s="5" t="n">
        <v>46.4</v>
      </c>
      <c r="J482" s="7" t="n">
        <v>0</v>
      </c>
      <c r="K482" s="5" t="n">
        <v>0</v>
      </c>
      <c r="L482" s="8" t="n">
        <v>0</v>
      </c>
      <c r="M482" s="9" t="n">
        <v>0</v>
      </c>
      <c r="N482" s="10" t="n">
        <v>0.06818182</v>
      </c>
      <c r="O482" s="5" t="n">
        <v>95.87</v>
      </c>
      <c r="P482" s="11" t="n">
        <v>1.146919</v>
      </c>
      <c r="Q482" s="7" t="n">
        <v>484</v>
      </c>
      <c r="R482" s="7" t="n">
        <v>33</v>
      </c>
      <c r="S482" s="7" t="n">
        <v>1</v>
      </c>
      <c r="T482" s="7" t="n">
        <v>1</v>
      </c>
      <c r="U482" s="7" t="n">
        <v>467</v>
      </c>
      <c r="V482" s="7" t="n">
        <v>80</v>
      </c>
    </row>
    <row r="483" customFormat="false" ht="15" hidden="false" customHeight="false" outlineLevel="0" collapsed="false">
      <c r="A483" s="4" t="s">
        <v>1826</v>
      </c>
      <c r="B483" s="4" t="str">
        <f aca="false">IF(AND(I483&gt;='Read Me &amp; Markers'!$B$18,J483&gt;='Read Me &amp; Markers'!$B$19,L483&gt;='Read Me &amp; Markers'!$B$20),"A. Proven winner",IF(AND(I483&gt;='Read Me &amp; Markers'!$B$18,J483&gt;='Read Me &amp; Markers'!$B$19,L483&gt;='Read Me &amp; Markers'!$B$21),"B. Strong performer",IF(AND(I483&gt;='Read Me &amp; Markers'!$B$22,L483&gt;='Read Me &amp; Markers'!$B$23),"C. Scale workhorse",IF(AND(I483&gt;='Read Me &amp; Markers'!$B$24,I483&lt;'Read Me &amp; Markers'!$B$18,J483&gt;='Read Me &amp; Markers'!$B$25,L483&gt;='Read Me &amp; Markers'!$B$26),"D. Promising (needs more spend)",""))))</f>
        <v/>
      </c>
      <c r="C483" s="4" t="s">
        <v>1827</v>
      </c>
      <c r="D483" s="4" t="s">
        <v>109</v>
      </c>
      <c r="E483" s="4" t="s">
        <v>1166</v>
      </c>
      <c r="F483" s="4" t="s">
        <v>87</v>
      </c>
      <c r="G483" s="4" t="s">
        <v>588</v>
      </c>
      <c r="H483" s="4" t="s">
        <v>1828</v>
      </c>
      <c r="I483" s="5" t="n">
        <v>46.14</v>
      </c>
      <c r="J483" s="7" t="n">
        <v>0</v>
      </c>
      <c r="K483" s="5" t="n">
        <v>0</v>
      </c>
      <c r="L483" s="8" t="n">
        <v>0</v>
      </c>
      <c r="M483" s="9" t="n">
        <v>0</v>
      </c>
      <c r="N483" s="10" t="n">
        <v>0.03116883</v>
      </c>
      <c r="O483" s="5" t="n">
        <v>119.84</v>
      </c>
      <c r="P483" s="11" t="n">
        <v>1.072423</v>
      </c>
      <c r="Q483" s="7" t="n">
        <v>385</v>
      </c>
      <c r="R483" s="7" t="n">
        <v>12</v>
      </c>
      <c r="S483" s="7" t="n">
        <v>0</v>
      </c>
      <c r="T483" s="7" t="n">
        <v>0</v>
      </c>
      <c r="U483" s="7" t="n">
        <v>317</v>
      </c>
      <c r="V483" s="7" t="n">
        <v>52</v>
      </c>
    </row>
    <row r="484" customFormat="false" ht="15" hidden="false" customHeight="false" outlineLevel="0" collapsed="false">
      <c r="A484" s="4" t="s">
        <v>1829</v>
      </c>
      <c r="B484" s="4" t="str">
        <f aca="false">IF(AND(I484&gt;='Read Me &amp; Markers'!$B$18,J484&gt;='Read Me &amp; Markers'!$B$19,L484&gt;='Read Me &amp; Markers'!$B$20),"A. Proven winner",IF(AND(I484&gt;='Read Me &amp; Markers'!$B$18,J484&gt;='Read Me &amp; Markers'!$B$19,L484&gt;='Read Me &amp; Markers'!$B$21),"B. Strong performer",IF(AND(I484&gt;='Read Me &amp; Markers'!$B$22,L484&gt;='Read Me &amp; Markers'!$B$23),"C. Scale workhorse",IF(AND(I484&gt;='Read Me &amp; Markers'!$B$24,I484&lt;'Read Me &amp; Markers'!$B$18,J484&gt;='Read Me &amp; Markers'!$B$25,L484&gt;='Read Me &amp; Markers'!$B$26),"D. Promising (needs more spend)",""))))</f>
        <v/>
      </c>
      <c r="C484" s="4" t="s">
        <v>1830</v>
      </c>
      <c r="D484" s="4" t="s">
        <v>109</v>
      </c>
      <c r="E484" s="4" t="s">
        <v>482</v>
      </c>
      <c r="F484" s="4" t="s">
        <v>111</v>
      </c>
      <c r="G484" s="4" t="s">
        <v>483</v>
      </c>
      <c r="H484" s="4" t="s">
        <v>1831</v>
      </c>
      <c r="I484" s="5" t="n">
        <v>45.79</v>
      </c>
      <c r="J484" s="7" t="n">
        <v>0</v>
      </c>
      <c r="K484" s="5" t="n">
        <v>0</v>
      </c>
      <c r="L484" s="8" t="n">
        <v>0</v>
      </c>
      <c r="M484" s="9" t="n">
        <v>0</v>
      </c>
      <c r="N484" s="10" t="n">
        <v>0.02641509</v>
      </c>
      <c r="O484" s="5" t="n">
        <v>172.79</v>
      </c>
      <c r="P484" s="11" t="n">
        <v>1.157205</v>
      </c>
      <c r="Q484" s="7" t="n">
        <v>265</v>
      </c>
      <c r="R484" s="7" t="n">
        <v>7</v>
      </c>
      <c r="S484" s="7" t="n">
        <v>1</v>
      </c>
      <c r="T484" s="7" t="n">
        <v>1</v>
      </c>
      <c r="U484" s="7" t="n">
        <v>250</v>
      </c>
      <c r="V484" s="7" t="n">
        <v>85</v>
      </c>
    </row>
    <row r="485" customFormat="false" ht="15" hidden="false" customHeight="false" outlineLevel="0" collapsed="false">
      <c r="A485" s="4" t="s">
        <v>1832</v>
      </c>
      <c r="B485" s="4" t="str">
        <f aca="false">IF(AND(I485&gt;='Read Me &amp; Markers'!$B$18,J485&gt;='Read Me &amp; Markers'!$B$19,L485&gt;='Read Me &amp; Markers'!$B$20),"A. Proven winner",IF(AND(I485&gt;='Read Me &amp; Markers'!$B$18,J485&gt;='Read Me &amp; Markers'!$B$19,L485&gt;='Read Me &amp; Markers'!$B$21),"B. Strong performer",IF(AND(I485&gt;='Read Me &amp; Markers'!$B$22,L485&gt;='Read Me &amp; Markers'!$B$23),"C. Scale workhorse",IF(AND(I485&gt;='Read Me &amp; Markers'!$B$24,I485&lt;'Read Me &amp; Markers'!$B$18,J485&gt;='Read Me &amp; Markers'!$B$25,L485&gt;='Read Me &amp; Markers'!$B$26),"D. Promising (needs more spend)",""))))</f>
        <v/>
      </c>
      <c r="C485" s="4" t="s">
        <v>129</v>
      </c>
      <c r="D485" s="4" t="s">
        <v>100</v>
      </c>
      <c r="E485" s="4" t="s">
        <v>537</v>
      </c>
      <c r="F485" s="4" t="s">
        <v>87</v>
      </c>
      <c r="G485" s="4" t="s">
        <v>538</v>
      </c>
      <c r="H485" s="4" t="s">
        <v>1833</v>
      </c>
      <c r="I485" s="5" t="n">
        <v>45.76</v>
      </c>
      <c r="J485" s="7" t="n">
        <v>0</v>
      </c>
      <c r="K485" s="5" t="n">
        <v>0</v>
      </c>
      <c r="L485" s="8" t="n">
        <v>0</v>
      </c>
      <c r="M485" s="9" t="n">
        <v>0</v>
      </c>
      <c r="N485" s="10" t="n">
        <v>0.03399433</v>
      </c>
      <c r="O485" s="5" t="n">
        <v>129.63</v>
      </c>
      <c r="P485" s="11" t="n">
        <v>1.184564</v>
      </c>
      <c r="Q485" s="7" t="n">
        <v>353</v>
      </c>
      <c r="R485" s="7" t="n">
        <v>12</v>
      </c>
      <c r="S485" s="7" t="n">
        <v>0</v>
      </c>
      <c r="T485" s="7" t="n">
        <v>0</v>
      </c>
      <c r="U485" s="7" t="n">
        <v>290</v>
      </c>
      <c r="V485" s="7" t="n">
        <v>43</v>
      </c>
    </row>
    <row r="486" customFormat="false" ht="15" hidden="false" customHeight="false" outlineLevel="0" collapsed="false">
      <c r="A486" s="4" t="s">
        <v>1834</v>
      </c>
      <c r="B486" s="4" t="str">
        <f aca="false">IF(AND(I486&gt;='Read Me &amp; Markers'!$B$18,J486&gt;='Read Me &amp; Markers'!$B$19,L486&gt;='Read Me &amp; Markers'!$B$20),"A. Proven winner",IF(AND(I486&gt;='Read Me &amp; Markers'!$B$18,J486&gt;='Read Me &amp; Markers'!$B$19,L486&gt;='Read Me &amp; Markers'!$B$21),"B. Strong performer",IF(AND(I486&gt;='Read Me &amp; Markers'!$B$22,L486&gt;='Read Me &amp; Markers'!$B$23),"C. Scale workhorse",IF(AND(I486&gt;='Read Me &amp; Markers'!$B$24,I486&lt;'Read Me &amp; Markers'!$B$18,J486&gt;='Read Me &amp; Markers'!$B$25,L486&gt;='Read Me &amp; Markers'!$B$26),"D. Promising (needs more spend)",""))))</f>
        <v/>
      </c>
      <c r="C486" s="4" t="s">
        <v>129</v>
      </c>
      <c r="D486" s="4" t="s">
        <v>206</v>
      </c>
      <c r="E486" s="4" t="s">
        <v>1835</v>
      </c>
      <c r="F486" s="4" t="s">
        <v>253</v>
      </c>
      <c r="G486" s="4" t="s">
        <v>132</v>
      </c>
      <c r="H486" s="4" t="s">
        <v>1836</v>
      </c>
      <c r="I486" s="5" t="n">
        <v>45.48</v>
      </c>
      <c r="J486" s="7" t="n">
        <v>1</v>
      </c>
      <c r="K486" s="5" t="n">
        <v>99.98</v>
      </c>
      <c r="L486" s="8" t="n">
        <v>2.198329</v>
      </c>
      <c r="M486" s="9" t="n">
        <v>45.48</v>
      </c>
      <c r="N486" s="10" t="n">
        <v>0.03421053</v>
      </c>
      <c r="O486" s="5" t="n">
        <v>119.68</v>
      </c>
      <c r="P486" s="11" t="n">
        <v>1.141141</v>
      </c>
      <c r="Q486" s="7" t="n">
        <v>380</v>
      </c>
      <c r="R486" s="7" t="n">
        <v>13</v>
      </c>
      <c r="S486" s="7" t="n">
        <v>1</v>
      </c>
      <c r="T486" s="7" t="n">
        <v>1</v>
      </c>
      <c r="U486" s="7" t="n">
        <v>321</v>
      </c>
      <c r="V486" s="7" t="n">
        <v>51</v>
      </c>
    </row>
    <row r="487" customFormat="false" ht="15" hidden="false" customHeight="false" outlineLevel="0" collapsed="false">
      <c r="A487" s="4" t="s">
        <v>1837</v>
      </c>
      <c r="B487" s="4" t="str">
        <f aca="false">IF(AND(I487&gt;='Read Me &amp; Markers'!$B$18,J487&gt;='Read Me &amp; Markers'!$B$19,L487&gt;='Read Me &amp; Markers'!$B$20),"A. Proven winner",IF(AND(I487&gt;='Read Me &amp; Markers'!$B$18,J487&gt;='Read Me &amp; Markers'!$B$19,L487&gt;='Read Me &amp; Markers'!$B$21),"B. Strong performer",IF(AND(I487&gt;='Read Me &amp; Markers'!$B$22,L487&gt;='Read Me &amp; Markers'!$B$23),"C. Scale workhorse",IF(AND(I487&gt;='Read Me &amp; Markers'!$B$24,I487&lt;'Read Me &amp; Markers'!$B$18,J487&gt;='Read Me &amp; Markers'!$B$25,L487&gt;='Read Me &amp; Markers'!$B$26),"D. Promising (needs more spend)",""))))</f>
        <v/>
      </c>
      <c r="C487" s="4" t="s">
        <v>1838</v>
      </c>
      <c r="D487" s="4" t="s">
        <v>109</v>
      </c>
      <c r="E487" s="4" t="s">
        <v>1068</v>
      </c>
      <c r="F487" s="4" t="s">
        <v>87</v>
      </c>
      <c r="G487" s="4" t="s">
        <v>378</v>
      </c>
      <c r="H487" s="4" t="s">
        <v>1839</v>
      </c>
      <c r="I487" s="5" t="n">
        <v>45.11</v>
      </c>
      <c r="J487" s="7" t="n">
        <v>0</v>
      </c>
      <c r="K487" s="5" t="n">
        <v>0</v>
      </c>
      <c r="L487" s="8" t="n">
        <v>0</v>
      </c>
      <c r="M487" s="9" t="n">
        <v>0</v>
      </c>
      <c r="N487" s="10" t="n">
        <v>0.04316547</v>
      </c>
      <c r="O487" s="5" t="n">
        <v>162.27</v>
      </c>
      <c r="P487" s="11" t="n">
        <v>1.188034</v>
      </c>
      <c r="Q487" s="7" t="n">
        <v>278</v>
      </c>
      <c r="R487" s="7" t="n">
        <v>12</v>
      </c>
      <c r="S487" s="7" t="n">
        <v>0</v>
      </c>
      <c r="T487" s="7" t="n">
        <v>0</v>
      </c>
      <c r="U487" s="7" t="n">
        <v>219</v>
      </c>
      <c r="V487" s="7" t="n">
        <v>34</v>
      </c>
    </row>
    <row r="488" customFormat="false" ht="15" hidden="false" customHeight="false" outlineLevel="0" collapsed="false">
      <c r="A488" s="4" t="s">
        <v>1840</v>
      </c>
      <c r="B488" s="4" t="str">
        <f aca="false">IF(AND(I488&gt;='Read Me &amp; Markers'!$B$18,J488&gt;='Read Me &amp; Markers'!$B$19,L488&gt;='Read Me &amp; Markers'!$B$20),"A. Proven winner",IF(AND(I488&gt;='Read Me &amp; Markers'!$B$18,J488&gt;='Read Me &amp; Markers'!$B$19,L488&gt;='Read Me &amp; Markers'!$B$21),"B. Strong performer",IF(AND(I488&gt;='Read Me &amp; Markers'!$B$22,L488&gt;='Read Me &amp; Markers'!$B$23),"C. Scale workhorse",IF(AND(I488&gt;='Read Me &amp; Markers'!$B$24,I488&lt;'Read Me &amp; Markers'!$B$18,J488&gt;='Read Me &amp; Markers'!$B$25,L488&gt;='Read Me &amp; Markers'!$B$26),"D. Promising (needs more spend)",""))))</f>
        <v/>
      </c>
      <c r="C488" s="4" t="s">
        <v>1223</v>
      </c>
      <c r="D488" s="4" t="s">
        <v>109</v>
      </c>
      <c r="E488" s="4" t="s">
        <v>110</v>
      </c>
      <c r="F488" s="4" t="s">
        <v>87</v>
      </c>
      <c r="G488" s="4" t="s">
        <v>112</v>
      </c>
      <c r="H488" s="4" t="s">
        <v>1841</v>
      </c>
      <c r="I488" s="5" t="n">
        <v>45.05</v>
      </c>
      <c r="J488" s="7" t="n">
        <v>0</v>
      </c>
      <c r="K488" s="5" t="n">
        <v>0</v>
      </c>
      <c r="L488" s="8" t="n">
        <v>0</v>
      </c>
      <c r="M488" s="9" t="n">
        <v>0</v>
      </c>
      <c r="N488" s="10" t="n">
        <v>0.02878788</v>
      </c>
      <c r="O488" s="5" t="n">
        <v>68.26</v>
      </c>
      <c r="P488" s="11" t="n">
        <v>1.259542</v>
      </c>
      <c r="Q488" s="7" t="n">
        <v>660</v>
      </c>
      <c r="R488" s="7" t="n">
        <v>19</v>
      </c>
      <c r="S488" s="7" t="n">
        <v>0</v>
      </c>
      <c r="T488" s="7" t="n">
        <v>1</v>
      </c>
      <c r="U488" s="7" t="n">
        <v>0</v>
      </c>
      <c r="V488" s="7" t="n">
        <v>0</v>
      </c>
    </row>
    <row r="489" customFormat="false" ht="15" hidden="false" customHeight="false" outlineLevel="0" collapsed="false">
      <c r="A489" s="4" t="s">
        <v>1842</v>
      </c>
      <c r="B489" s="4" t="str">
        <f aca="false">IF(AND(I489&gt;='Read Me &amp; Markers'!$B$18,J489&gt;='Read Me &amp; Markers'!$B$19,L489&gt;='Read Me &amp; Markers'!$B$20),"A. Proven winner",IF(AND(I489&gt;='Read Me &amp; Markers'!$B$18,J489&gt;='Read Me &amp; Markers'!$B$19,L489&gt;='Read Me &amp; Markers'!$B$21),"B. Strong performer",IF(AND(I489&gt;='Read Me &amp; Markers'!$B$22,L489&gt;='Read Me &amp; Markers'!$B$23),"C. Scale workhorse",IF(AND(I489&gt;='Read Me &amp; Markers'!$B$24,I489&lt;'Read Me &amp; Markers'!$B$18,J489&gt;='Read Me &amp; Markers'!$B$25,L489&gt;='Read Me &amp; Markers'!$B$26),"D. Promising (needs more spend)",""))))</f>
        <v/>
      </c>
      <c r="C489" s="4" t="s">
        <v>169</v>
      </c>
      <c r="D489" s="4" t="s">
        <v>100</v>
      </c>
      <c r="E489" s="4" t="s">
        <v>1843</v>
      </c>
      <c r="F489" s="4" t="s">
        <v>87</v>
      </c>
      <c r="G489" s="4" t="s">
        <v>294</v>
      </c>
      <c r="H489" s="4" t="s">
        <v>1844</v>
      </c>
      <c r="I489" s="5" t="n">
        <v>44.87</v>
      </c>
      <c r="J489" s="7" t="n">
        <v>0</v>
      </c>
      <c r="K489" s="5" t="n">
        <v>0</v>
      </c>
      <c r="L489" s="8" t="n">
        <v>0</v>
      </c>
      <c r="M489" s="9" t="n">
        <v>0</v>
      </c>
      <c r="N489" s="10" t="n">
        <v>0.02843602</v>
      </c>
      <c r="O489" s="5" t="n">
        <v>53.16</v>
      </c>
      <c r="P489" s="11" t="n">
        <v>1.406667</v>
      </c>
      <c r="Q489" s="7" t="n">
        <v>844</v>
      </c>
      <c r="R489" s="7" t="n">
        <v>24</v>
      </c>
      <c r="S489" s="7" t="n">
        <v>1</v>
      </c>
      <c r="T489" s="7" t="n">
        <v>2</v>
      </c>
      <c r="U489" s="7" t="n">
        <v>507</v>
      </c>
      <c r="V489" s="7" t="n">
        <v>60</v>
      </c>
    </row>
    <row r="490" customFormat="false" ht="15" hidden="false" customHeight="false" outlineLevel="0" collapsed="false">
      <c r="A490" s="4" t="s">
        <v>1845</v>
      </c>
      <c r="B490" s="4" t="str">
        <f aca="false">IF(AND(I490&gt;='Read Me &amp; Markers'!$B$18,J490&gt;='Read Me &amp; Markers'!$B$19,L490&gt;='Read Me &amp; Markers'!$B$20),"A. Proven winner",IF(AND(I490&gt;='Read Me &amp; Markers'!$B$18,J490&gt;='Read Me &amp; Markers'!$B$19,L490&gt;='Read Me &amp; Markers'!$B$21),"B. Strong performer",IF(AND(I490&gt;='Read Me &amp; Markers'!$B$22,L490&gt;='Read Me &amp; Markers'!$B$23),"C. Scale workhorse",IF(AND(I490&gt;='Read Me &amp; Markers'!$B$24,I490&lt;'Read Me &amp; Markers'!$B$18,J490&gt;='Read Me &amp; Markers'!$B$25,L490&gt;='Read Me &amp; Markers'!$B$26),"D. Promising (needs more spend)",""))))</f>
        <v/>
      </c>
      <c r="C490" s="4" t="s">
        <v>121</v>
      </c>
      <c r="D490" s="4" t="s">
        <v>206</v>
      </c>
      <c r="E490" s="4" t="s">
        <v>754</v>
      </c>
      <c r="F490" s="4" t="s">
        <v>230</v>
      </c>
      <c r="G490" s="4" t="s">
        <v>208</v>
      </c>
      <c r="H490" s="4" t="s">
        <v>1846</v>
      </c>
      <c r="I490" s="5" t="n">
        <v>44.82</v>
      </c>
      <c r="J490" s="7" t="n">
        <v>0</v>
      </c>
      <c r="K490" s="5" t="n">
        <v>0</v>
      </c>
      <c r="L490" s="8" t="n">
        <v>0</v>
      </c>
      <c r="M490" s="9" t="n">
        <v>0</v>
      </c>
      <c r="N490" s="10" t="n">
        <v>0.02148438</v>
      </c>
      <c r="O490" s="5" t="n">
        <v>87.54</v>
      </c>
      <c r="P490" s="11" t="n">
        <v>1.201878</v>
      </c>
      <c r="Q490" s="7" t="n">
        <v>512</v>
      </c>
      <c r="R490" s="7" t="n">
        <v>11</v>
      </c>
      <c r="S490" s="7" t="n">
        <v>0</v>
      </c>
      <c r="T490" s="7" t="n">
        <v>0</v>
      </c>
      <c r="U490" s="7" t="n">
        <v>380</v>
      </c>
      <c r="V490" s="7" t="n">
        <v>21</v>
      </c>
    </row>
    <row r="491" customFormat="false" ht="15" hidden="false" customHeight="false" outlineLevel="0" collapsed="false">
      <c r="A491" s="4" t="s">
        <v>1847</v>
      </c>
      <c r="B491" s="4" t="str">
        <f aca="false">IF(AND(I491&gt;='Read Me &amp; Markers'!$B$18,J491&gt;='Read Me &amp; Markers'!$B$19,L491&gt;='Read Me &amp; Markers'!$B$20),"A. Proven winner",IF(AND(I491&gt;='Read Me &amp; Markers'!$B$18,J491&gt;='Read Me &amp; Markers'!$B$19,L491&gt;='Read Me &amp; Markers'!$B$21),"B. Strong performer",IF(AND(I491&gt;='Read Me &amp; Markers'!$B$22,L491&gt;='Read Me &amp; Markers'!$B$23),"C. Scale workhorse",IF(AND(I491&gt;='Read Me &amp; Markers'!$B$24,I491&lt;'Read Me &amp; Markers'!$B$18,J491&gt;='Read Me &amp; Markers'!$B$25,L491&gt;='Read Me &amp; Markers'!$B$26),"D. Promising (needs more spend)",""))))</f>
        <v/>
      </c>
      <c r="C491" s="4" t="s">
        <v>1848</v>
      </c>
      <c r="D491" s="4" t="s">
        <v>109</v>
      </c>
      <c r="E491" s="4" t="s">
        <v>1220</v>
      </c>
      <c r="F491" s="4" t="s">
        <v>87</v>
      </c>
      <c r="G491" s="4" t="s">
        <v>588</v>
      </c>
      <c r="H491" s="4" t="s">
        <v>1849</v>
      </c>
      <c r="I491" s="5" t="n">
        <v>44.32</v>
      </c>
      <c r="J491" s="7" t="n">
        <v>0</v>
      </c>
      <c r="K491" s="5" t="n">
        <v>0</v>
      </c>
      <c r="L491" s="8" t="n">
        <v>0</v>
      </c>
      <c r="M491" s="9" t="n">
        <v>0</v>
      </c>
      <c r="N491" s="10" t="n">
        <v>0.06228374</v>
      </c>
      <c r="O491" s="5" t="n">
        <v>153.36</v>
      </c>
      <c r="P491" s="11" t="n">
        <v>1.151394</v>
      </c>
      <c r="Q491" s="7" t="n">
        <v>289</v>
      </c>
      <c r="R491" s="7" t="n">
        <v>18</v>
      </c>
      <c r="S491" s="7" t="n">
        <v>0</v>
      </c>
      <c r="T491" s="7" t="n">
        <v>2</v>
      </c>
      <c r="U491" s="7" t="n">
        <v>227</v>
      </c>
      <c r="V491" s="7" t="n">
        <v>39</v>
      </c>
    </row>
    <row r="492" customFormat="false" ht="15" hidden="false" customHeight="false" outlineLevel="0" collapsed="false">
      <c r="A492" s="4" t="s">
        <v>1850</v>
      </c>
      <c r="B492" s="4" t="str">
        <f aca="false">IF(AND(I492&gt;='Read Me &amp; Markers'!$B$18,J492&gt;='Read Me &amp; Markers'!$B$19,L492&gt;='Read Me &amp; Markers'!$B$20),"A. Proven winner",IF(AND(I492&gt;='Read Me &amp; Markers'!$B$18,J492&gt;='Read Me &amp; Markers'!$B$19,L492&gt;='Read Me &amp; Markers'!$B$21),"B. Strong performer",IF(AND(I492&gt;='Read Me &amp; Markers'!$B$22,L492&gt;='Read Me &amp; Markers'!$B$23),"C. Scale workhorse",IF(AND(I492&gt;='Read Me &amp; Markers'!$B$24,I492&lt;'Read Me &amp; Markers'!$B$18,J492&gt;='Read Me &amp; Markers'!$B$25,L492&gt;='Read Me &amp; Markers'!$B$26),"D. Promising (needs more spend)",""))))</f>
        <v/>
      </c>
      <c r="C492" s="4" t="s">
        <v>1361</v>
      </c>
      <c r="D492" s="4" t="s">
        <v>206</v>
      </c>
      <c r="E492" s="4" t="s">
        <v>1851</v>
      </c>
      <c r="F492" s="4" t="s">
        <v>253</v>
      </c>
      <c r="G492" s="4" t="s">
        <v>1363</v>
      </c>
      <c r="H492" s="4" t="s">
        <v>1852</v>
      </c>
      <c r="I492" s="5" t="n">
        <v>44.18</v>
      </c>
      <c r="J492" s="7" t="n">
        <v>0</v>
      </c>
      <c r="K492" s="5" t="n">
        <v>0</v>
      </c>
      <c r="L492" s="8" t="n">
        <v>0</v>
      </c>
      <c r="M492" s="9" t="n">
        <v>0</v>
      </c>
      <c r="N492" s="10" t="n">
        <v>0.01371951</v>
      </c>
      <c r="O492" s="5" t="n">
        <v>67.35</v>
      </c>
      <c r="P492" s="11" t="n">
        <v>1.487528</v>
      </c>
      <c r="Q492" s="7" t="n">
        <v>656</v>
      </c>
      <c r="R492" s="7" t="n">
        <v>9</v>
      </c>
      <c r="S492" s="7" t="n">
        <v>1</v>
      </c>
      <c r="T492" s="7" t="n">
        <v>1</v>
      </c>
      <c r="U492" s="7" t="n">
        <v>0</v>
      </c>
      <c r="V492" s="7" t="n">
        <v>0</v>
      </c>
    </row>
    <row r="493" customFormat="false" ht="15" hidden="false" customHeight="false" outlineLevel="0" collapsed="false">
      <c r="A493" s="4" t="s">
        <v>1853</v>
      </c>
      <c r="B493" s="4" t="str">
        <f aca="false">IF(AND(I493&gt;='Read Me &amp; Markers'!$B$18,J493&gt;='Read Me &amp; Markers'!$B$19,L493&gt;='Read Me &amp; Markers'!$B$20),"A. Proven winner",IF(AND(I493&gt;='Read Me &amp; Markers'!$B$18,J493&gt;='Read Me &amp; Markers'!$B$19,L493&gt;='Read Me &amp; Markers'!$B$21),"B. Strong performer",IF(AND(I493&gt;='Read Me &amp; Markers'!$B$22,L493&gt;='Read Me &amp; Markers'!$B$23),"C. Scale workhorse",IF(AND(I493&gt;='Read Me &amp; Markers'!$B$24,I493&lt;'Read Me &amp; Markers'!$B$18,J493&gt;='Read Me &amp; Markers'!$B$25,L493&gt;='Read Me &amp; Markers'!$B$26),"D. Promising (needs more spend)",""))))</f>
        <v/>
      </c>
      <c r="C493" s="4" t="s">
        <v>1854</v>
      </c>
      <c r="D493" s="4" t="s">
        <v>109</v>
      </c>
      <c r="E493" s="4" t="s">
        <v>848</v>
      </c>
      <c r="F493" s="4" t="s">
        <v>87</v>
      </c>
      <c r="G493" s="4" t="s">
        <v>588</v>
      </c>
      <c r="H493" s="4" t="s">
        <v>1855</v>
      </c>
      <c r="I493" s="5" t="n">
        <v>43.9</v>
      </c>
      <c r="J493" s="7" t="n">
        <v>0</v>
      </c>
      <c r="K493" s="5" t="n">
        <v>0</v>
      </c>
      <c r="L493" s="8" t="n">
        <v>0</v>
      </c>
      <c r="M493" s="9" t="n">
        <v>0</v>
      </c>
      <c r="N493" s="10" t="n">
        <v>0.0313253</v>
      </c>
      <c r="O493" s="5" t="n">
        <v>105.78</v>
      </c>
      <c r="P493" s="11" t="n">
        <v>1.192529</v>
      </c>
      <c r="Q493" s="7" t="n">
        <v>415</v>
      </c>
      <c r="R493" s="7" t="n">
        <v>13</v>
      </c>
      <c r="S493" s="7" t="n">
        <v>1</v>
      </c>
      <c r="T493" s="7" t="n">
        <v>1</v>
      </c>
      <c r="U493" s="7" t="n">
        <v>285</v>
      </c>
      <c r="V493" s="7" t="n">
        <v>56</v>
      </c>
    </row>
    <row r="494" customFormat="false" ht="15" hidden="false" customHeight="false" outlineLevel="0" collapsed="false">
      <c r="A494" s="4" t="s">
        <v>1856</v>
      </c>
      <c r="B494" s="4" t="str">
        <f aca="false">IF(AND(I494&gt;='Read Me &amp; Markers'!$B$18,J494&gt;='Read Me &amp; Markers'!$B$19,L494&gt;='Read Me &amp; Markers'!$B$20),"A. Proven winner",IF(AND(I494&gt;='Read Me &amp; Markers'!$B$18,J494&gt;='Read Me &amp; Markers'!$B$19,L494&gt;='Read Me &amp; Markers'!$B$21),"B. Strong performer",IF(AND(I494&gt;='Read Me &amp; Markers'!$B$22,L494&gt;='Read Me &amp; Markers'!$B$23),"C. Scale workhorse",IF(AND(I494&gt;='Read Me &amp; Markers'!$B$24,I494&lt;'Read Me &amp; Markers'!$B$18,J494&gt;='Read Me &amp; Markers'!$B$25,L494&gt;='Read Me &amp; Markers'!$B$26),"D. Promising (needs more spend)",""))))</f>
        <v/>
      </c>
      <c r="C494" s="4" t="s">
        <v>1857</v>
      </c>
      <c r="D494" s="4" t="s">
        <v>109</v>
      </c>
      <c r="E494" s="4" t="s">
        <v>1858</v>
      </c>
      <c r="F494" s="4" t="s">
        <v>172</v>
      </c>
      <c r="G494" s="4" t="s">
        <v>378</v>
      </c>
      <c r="H494" s="4" t="s">
        <v>1859</v>
      </c>
      <c r="I494" s="5" t="n">
        <v>43.79</v>
      </c>
      <c r="J494" s="7" t="n">
        <v>1</v>
      </c>
      <c r="K494" s="5" t="n">
        <v>45.95</v>
      </c>
      <c r="L494" s="8" t="n">
        <v>1.049326</v>
      </c>
      <c r="M494" s="9" t="n">
        <v>43.79</v>
      </c>
      <c r="N494" s="10" t="n">
        <v>0.04</v>
      </c>
      <c r="O494" s="5" t="n">
        <v>125.11</v>
      </c>
      <c r="P494" s="11" t="n">
        <v>1.182432</v>
      </c>
      <c r="Q494" s="7" t="n">
        <v>350</v>
      </c>
      <c r="R494" s="7" t="n">
        <v>14</v>
      </c>
      <c r="S494" s="7" t="n">
        <v>0</v>
      </c>
      <c r="T494" s="7" t="n">
        <v>1</v>
      </c>
      <c r="U494" s="7" t="n">
        <v>291</v>
      </c>
      <c r="V494" s="7" t="n">
        <v>39</v>
      </c>
    </row>
    <row r="495" customFormat="false" ht="15" hidden="false" customHeight="false" outlineLevel="0" collapsed="false">
      <c r="A495" s="4" t="s">
        <v>1860</v>
      </c>
      <c r="B495" s="4" t="str">
        <f aca="false">IF(AND(I495&gt;='Read Me &amp; Markers'!$B$18,J495&gt;='Read Me &amp; Markers'!$B$19,L495&gt;='Read Me &amp; Markers'!$B$20),"A. Proven winner",IF(AND(I495&gt;='Read Me &amp; Markers'!$B$18,J495&gt;='Read Me &amp; Markers'!$B$19,L495&gt;='Read Me &amp; Markers'!$B$21),"B. Strong performer",IF(AND(I495&gt;='Read Me &amp; Markers'!$B$22,L495&gt;='Read Me &amp; Markers'!$B$23),"C. Scale workhorse",IF(AND(I495&gt;='Read Me &amp; Markers'!$B$24,I495&lt;'Read Me &amp; Markers'!$B$18,J495&gt;='Read Me &amp; Markers'!$B$25,L495&gt;='Read Me &amp; Markers'!$B$26),"D. Promising (needs more spend)",""))))</f>
        <v/>
      </c>
      <c r="C495" s="4" t="s">
        <v>121</v>
      </c>
      <c r="D495" s="4" t="s">
        <v>100</v>
      </c>
      <c r="E495" s="4" t="s">
        <v>1052</v>
      </c>
      <c r="F495" s="4" t="s">
        <v>87</v>
      </c>
      <c r="G495" s="4" t="s">
        <v>342</v>
      </c>
      <c r="H495" s="4" t="s">
        <v>1861</v>
      </c>
      <c r="I495" s="5" t="n">
        <v>43.28</v>
      </c>
      <c r="J495" s="7" t="n">
        <v>1</v>
      </c>
      <c r="K495" s="5" t="n">
        <v>48.74</v>
      </c>
      <c r="L495" s="8" t="n">
        <v>1.126155</v>
      </c>
      <c r="M495" s="9" t="n">
        <v>43.28</v>
      </c>
      <c r="N495" s="10" t="n">
        <v>0.0443038</v>
      </c>
      <c r="O495" s="5" t="n">
        <v>136.96</v>
      </c>
      <c r="P495" s="11" t="n">
        <v>1.029316</v>
      </c>
      <c r="Q495" s="7" t="n">
        <v>316</v>
      </c>
      <c r="R495" s="7" t="n">
        <v>14</v>
      </c>
      <c r="S495" s="7" t="n">
        <v>4</v>
      </c>
      <c r="T495" s="7" t="n">
        <v>1</v>
      </c>
      <c r="U495" s="7" t="n">
        <v>291</v>
      </c>
      <c r="V495" s="7" t="n">
        <v>60</v>
      </c>
    </row>
    <row r="496" customFormat="false" ht="15" hidden="false" customHeight="false" outlineLevel="0" collapsed="false">
      <c r="A496" s="4" t="s">
        <v>1862</v>
      </c>
      <c r="B496" s="4" t="str">
        <f aca="false">IF(AND(I496&gt;='Read Me &amp; Markers'!$B$18,J496&gt;='Read Me &amp; Markers'!$B$19,L496&gt;='Read Me &amp; Markers'!$B$20),"A. Proven winner",IF(AND(I496&gt;='Read Me &amp; Markers'!$B$18,J496&gt;='Read Me &amp; Markers'!$B$19,L496&gt;='Read Me &amp; Markers'!$B$21),"B. Strong performer",IF(AND(I496&gt;='Read Me &amp; Markers'!$B$22,L496&gt;='Read Me &amp; Markers'!$B$23),"C. Scale workhorse",IF(AND(I496&gt;='Read Me &amp; Markers'!$B$24,I496&lt;'Read Me &amp; Markers'!$B$18,J496&gt;='Read Me &amp; Markers'!$B$25,L496&gt;='Read Me &amp; Markers'!$B$26),"D. Promising (needs more spend)",""))))</f>
        <v/>
      </c>
      <c r="C496" s="4" t="s">
        <v>1863</v>
      </c>
      <c r="D496" s="4" t="s">
        <v>109</v>
      </c>
      <c r="E496" s="4" t="s">
        <v>429</v>
      </c>
      <c r="F496" s="4" t="s">
        <v>111</v>
      </c>
      <c r="G496" s="4" t="s">
        <v>431</v>
      </c>
      <c r="H496" s="4" t="s">
        <v>1864</v>
      </c>
      <c r="I496" s="5" t="n">
        <v>43.05</v>
      </c>
      <c r="J496" s="7" t="n">
        <v>1</v>
      </c>
      <c r="K496" s="5" t="n">
        <v>35.96</v>
      </c>
      <c r="L496" s="8" t="n">
        <v>0.835308</v>
      </c>
      <c r="M496" s="9" t="n">
        <v>43.05</v>
      </c>
      <c r="N496" s="10" t="n">
        <v>0.05583756</v>
      </c>
      <c r="O496" s="5" t="n">
        <v>218.53</v>
      </c>
      <c r="P496" s="11" t="n">
        <v>1.158824</v>
      </c>
      <c r="Q496" s="7" t="n">
        <v>197</v>
      </c>
      <c r="R496" s="7" t="n">
        <v>11</v>
      </c>
      <c r="S496" s="7" t="n">
        <v>3</v>
      </c>
      <c r="T496" s="7" t="n">
        <v>2</v>
      </c>
      <c r="U496" s="7" t="n">
        <v>184</v>
      </c>
      <c r="V496" s="7" t="n">
        <v>61</v>
      </c>
    </row>
    <row r="497" customFormat="false" ht="15" hidden="false" customHeight="false" outlineLevel="0" collapsed="false">
      <c r="A497" s="4" t="s">
        <v>1865</v>
      </c>
      <c r="B497" s="4" t="str">
        <f aca="false">IF(AND(I497&gt;='Read Me &amp; Markers'!$B$18,J497&gt;='Read Me &amp; Markers'!$B$19,L497&gt;='Read Me &amp; Markers'!$B$20),"A. Proven winner",IF(AND(I497&gt;='Read Me &amp; Markers'!$B$18,J497&gt;='Read Me &amp; Markers'!$B$19,L497&gt;='Read Me &amp; Markers'!$B$21),"B. Strong performer",IF(AND(I497&gt;='Read Me &amp; Markers'!$B$22,L497&gt;='Read Me &amp; Markers'!$B$23),"C. Scale workhorse",IF(AND(I497&gt;='Read Me &amp; Markers'!$B$24,I497&lt;'Read Me &amp; Markers'!$B$18,J497&gt;='Read Me &amp; Markers'!$B$25,L497&gt;='Read Me &amp; Markers'!$B$26),"D. Promising (needs more spend)",""))))</f>
        <v/>
      </c>
      <c r="C497" s="4" t="s">
        <v>333</v>
      </c>
      <c r="D497" s="4" t="s">
        <v>528</v>
      </c>
      <c r="E497" s="4" t="s">
        <v>1866</v>
      </c>
      <c r="F497" s="4" t="s">
        <v>230</v>
      </c>
      <c r="G497" s="4" t="s">
        <v>530</v>
      </c>
      <c r="H497" s="4" t="s">
        <v>1867</v>
      </c>
      <c r="I497" s="5" t="n">
        <v>42.92</v>
      </c>
      <c r="J497" s="7" t="n">
        <v>0</v>
      </c>
      <c r="K497" s="5" t="n">
        <v>0</v>
      </c>
      <c r="L497" s="8" t="n">
        <v>0</v>
      </c>
      <c r="M497" s="9" t="n">
        <v>0</v>
      </c>
      <c r="N497" s="10" t="n">
        <v>0.05263158</v>
      </c>
      <c r="O497" s="5" t="n">
        <v>150.6</v>
      </c>
      <c r="P497" s="11" t="n">
        <v>1.163265</v>
      </c>
      <c r="Q497" s="7" t="n">
        <v>285</v>
      </c>
      <c r="R497" s="7" t="n">
        <v>15</v>
      </c>
      <c r="S497" s="7" t="n">
        <v>0</v>
      </c>
      <c r="T497" s="7" t="n">
        <v>0</v>
      </c>
      <c r="U497" s="7" t="n">
        <v>261</v>
      </c>
      <c r="V497" s="7" t="n">
        <v>30</v>
      </c>
    </row>
    <row r="498" customFormat="false" ht="15" hidden="false" customHeight="false" outlineLevel="0" collapsed="false">
      <c r="A498" s="4" t="s">
        <v>1868</v>
      </c>
      <c r="B498" s="4" t="str">
        <f aca="false">IF(AND(I498&gt;='Read Me &amp; Markers'!$B$18,J498&gt;='Read Me &amp; Markers'!$B$19,L498&gt;='Read Me &amp; Markers'!$B$20),"A. Proven winner",IF(AND(I498&gt;='Read Me &amp; Markers'!$B$18,J498&gt;='Read Me &amp; Markers'!$B$19,L498&gt;='Read Me &amp; Markers'!$B$21),"B. Strong performer",IF(AND(I498&gt;='Read Me &amp; Markers'!$B$22,L498&gt;='Read Me &amp; Markers'!$B$23),"C. Scale workhorse",IF(AND(I498&gt;='Read Me &amp; Markers'!$B$24,I498&lt;'Read Me &amp; Markers'!$B$18,J498&gt;='Read Me &amp; Markers'!$B$25,L498&gt;='Read Me &amp; Markers'!$B$26),"D. Promising (needs more spend)",""))))</f>
        <v/>
      </c>
      <c r="C498" s="4" t="s">
        <v>1869</v>
      </c>
      <c r="D498" s="4" t="s">
        <v>109</v>
      </c>
      <c r="E498" s="4" t="s">
        <v>1590</v>
      </c>
      <c r="F498" s="4" t="s">
        <v>87</v>
      </c>
      <c r="G498" s="4" t="s">
        <v>599</v>
      </c>
      <c r="H498" s="4" t="s">
        <v>1870</v>
      </c>
      <c r="I498" s="5" t="n">
        <v>42.91</v>
      </c>
      <c r="J498" s="7" t="n">
        <v>0</v>
      </c>
      <c r="K498" s="5" t="n">
        <v>0</v>
      </c>
      <c r="L498" s="8" t="n">
        <v>0</v>
      </c>
      <c r="M498" s="9" t="n">
        <v>0</v>
      </c>
      <c r="N498" s="10" t="n">
        <v>0.01388889</v>
      </c>
      <c r="O498" s="5" t="n">
        <v>85.14</v>
      </c>
      <c r="P498" s="11" t="n">
        <v>1.238329</v>
      </c>
      <c r="Q498" s="7" t="n">
        <v>504</v>
      </c>
      <c r="R498" s="7" t="n">
        <v>7</v>
      </c>
      <c r="S498" s="7" t="n">
        <v>0</v>
      </c>
      <c r="T498" s="7" t="n">
        <v>0</v>
      </c>
      <c r="U498" s="7" t="n">
        <v>0</v>
      </c>
      <c r="V498" s="7" t="n">
        <v>0</v>
      </c>
    </row>
    <row r="499" customFormat="false" ht="15" hidden="false" customHeight="false" outlineLevel="0" collapsed="false">
      <c r="A499" s="4" t="s">
        <v>1871</v>
      </c>
      <c r="B499" s="4" t="str">
        <f aca="false">IF(AND(I499&gt;='Read Me &amp; Markers'!$B$18,J499&gt;='Read Me &amp; Markers'!$B$19,L499&gt;='Read Me &amp; Markers'!$B$20),"A. Proven winner",IF(AND(I499&gt;='Read Me &amp; Markers'!$B$18,J499&gt;='Read Me &amp; Markers'!$B$19,L499&gt;='Read Me &amp; Markers'!$B$21),"B. Strong performer",IF(AND(I499&gt;='Read Me &amp; Markers'!$B$22,L499&gt;='Read Me &amp; Markers'!$B$23),"C. Scale workhorse",IF(AND(I499&gt;='Read Me &amp; Markers'!$B$24,I499&lt;'Read Me &amp; Markers'!$B$18,J499&gt;='Read Me &amp; Markers'!$B$25,L499&gt;='Read Me &amp; Markers'!$B$26),"D. Promising (needs more spend)",""))))</f>
        <v/>
      </c>
      <c r="C499" s="4" t="s">
        <v>1872</v>
      </c>
      <c r="D499" s="4" t="s">
        <v>109</v>
      </c>
      <c r="E499" s="4" t="s">
        <v>1873</v>
      </c>
      <c r="F499" s="4" t="s">
        <v>87</v>
      </c>
      <c r="G499" s="4" t="s">
        <v>317</v>
      </c>
      <c r="H499" s="4" t="s">
        <v>1874</v>
      </c>
      <c r="I499" s="5" t="n">
        <v>42.71</v>
      </c>
      <c r="J499" s="7" t="n">
        <v>0</v>
      </c>
      <c r="K499" s="5" t="n">
        <v>0</v>
      </c>
      <c r="L499" s="8" t="n">
        <v>0</v>
      </c>
      <c r="M499" s="9" t="n">
        <v>0</v>
      </c>
      <c r="N499" s="10" t="n">
        <v>0.01792115</v>
      </c>
      <c r="O499" s="5" t="n">
        <v>51.03</v>
      </c>
      <c r="P499" s="11" t="n">
        <v>1.183876</v>
      </c>
      <c r="Q499" s="7" t="n">
        <v>837</v>
      </c>
      <c r="R499" s="7" t="n">
        <v>15</v>
      </c>
      <c r="S499" s="7" t="n">
        <v>3</v>
      </c>
      <c r="T499" s="7" t="n">
        <v>2</v>
      </c>
      <c r="U499" s="7" t="n">
        <v>0</v>
      </c>
      <c r="V499" s="7" t="n">
        <v>0</v>
      </c>
    </row>
    <row r="500" customFormat="false" ht="15" hidden="false" customHeight="false" outlineLevel="0" collapsed="false">
      <c r="A500" s="4" t="s">
        <v>1875</v>
      </c>
      <c r="B500" s="4" t="str">
        <f aca="false">IF(AND(I500&gt;='Read Me &amp; Markers'!$B$18,J500&gt;='Read Me &amp; Markers'!$B$19,L500&gt;='Read Me &amp; Markers'!$B$20),"A. Proven winner",IF(AND(I500&gt;='Read Me &amp; Markers'!$B$18,J500&gt;='Read Me &amp; Markers'!$B$19,L500&gt;='Read Me &amp; Markers'!$B$21),"B. Strong performer",IF(AND(I500&gt;='Read Me &amp; Markers'!$B$22,L500&gt;='Read Me &amp; Markers'!$B$23),"C. Scale workhorse",IF(AND(I500&gt;='Read Me &amp; Markers'!$B$24,I500&lt;'Read Me &amp; Markers'!$B$18,J500&gt;='Read Me &amp; Markers'!$B$25,L500&gt;='Read Me &amp; Markers'!$B$26),"D. Promising (needs more spend)",""))))</f>
        <v/>
      </c>
      <c r="C500" s="4" t="s">
        <v>169</v>
      </c>
      <c r="D500" s="4" t="s">
        <v>154</v>
      </c>
      <c r="E500" s="4" t="s">
        <v>1876</v>
      </c>
      <c r="F500" s="4" t="s">
        <v>253</v>
      </c>
      <c r="G500" s="4" t="s">
        <v>1877</v>
      </c>
      <c r="H500" s="4" t="s">
        <v>1878</v>
      </c>
      <c r="I500" s="5" t="n">
        <v>42.57</v>
      </c>
      <c r="J500" s="7" t="n">
        <v>0</v>
      </c>
      <c r="K500" s="5" t="n">
        <v>0</v>
      </c>
      <c r="L500" s="8" t="n">
        <v>0</v>
      </c>
      <c r="M500" s="9" t="n">
        <v>0</v>
      </c>
      <c r="N500" s="10" t="n">
        <v>0.0237849</v>
      </c>
      <c r="O500" s="5" t="n">
        <v>44.02</v>
      </c>
      <c r="P500" s="11" t="n">
        <v>1.310298</v>
      </c>
      <c r="Q500" s="7" t="n">
        <v>967</v>
      </c>
      <c r="R500" s="7" t="n">
        <v>23</v>
      </c>
      <c r="S500" s="7" t="n">
        <v>0</v>
      </c>
      <c r="T500" s="7" t="n">
        <v>0</v>
      </c>
      <c r="U500" s="7" t="n">
        <v>692</v>
      </c>
      <c r="V500" s="7" t="n">
        <v>51</v>
      </c>
    </row>
    <row r="501" customFormat="false" ht="15" hidden="false" customHeight="false" outlineLevel="0" collapsed="false">
      <c r="A501" s="4" t="s">
        <v>1879</v>
      </c>
      <c r="B501" s="4" t="str">
        <f aca="false">IF(AND(I501&gt;='Read Me &amp; Markers'!$B$18,J501&gt;='Read Me &amp; Markers'!$B$19,L501&gt;='Read Me &amp; Markers'!$B$20),"A. Proven winner",IF(AND(I501&gt;='Read Me &amp; Markers'!$B$18,J501&gt;='Read Me &amp; Markers'!$B$19,L501&gt;='Read Me &amp; Markers'!$B$21),"B. Strong performer",IF(AND(I501&gt;='Read Me &amp; Markers'!$B$22,L501&gt;='Read Me &amp; Markers'!$B$23),"C. Scale workhorse",IF(AND(I501&gt;='Read Me &amp; Markers'!$B$24,I501&lt;'Read Me &amp; Markers'!$B$18,J501&gt;='Read Me &amp; Markers'!$B$25,L501&gt;='Read Me &amp; Markers'!$B$26),"D. Promising (needs more spend)",""))))</f>
        <v/>
      </c>
      <c r="C501" s="4" t="s">
        <v>1880</v>
      </c>
      <c r="D501" s="4" t="s">
        <v>109</v>
      </c>
      <c r="E501" s="4" t="s">
        <v>1809</v>
      </c>
      <c r="F501" s="4" t="s">
        <v>87</v>
      </c>
      <c r="G501" s="4" t="s">
        <v>508</v>
      </c>
      <c r="H501" s="4" t="s">
        <v>1881</v>
      </c>
      <c r="I501" s="5" t="n">
        <v>41.95</v>
      </c>
      <c r="J501" s="7" t="n">
        <v>0</v>
      </c>
      <c r="K501" s="5" t="n">
        <v>0</v>
      </c>
      <c r="L501" s="8" t="n">
        <v>0</v>
      </c>
      <c r="M501" s="9" t="n">
        <v>0</v>
      </c>
      <c r="N501" s="10" t="n">
        <v>0.03118503</v>
      </c>
      <c r="O501" s="5" t="n">
        <v>87.21</v>
      </c>
      <c r="P501" s="11" t="n">
        <v>1.390173</v>
      </c>
      <c r="Q501" s="7" t="n">
        <v>481</v>
      </c>
      <c r="R501" s="7" t="n">
        <v>15</v>
      </c>
      <c r="S501" s="7" t="n">
        <v>2</v>
      </c>
      <c r="T501" s="7" t="n">
        <v>0</v>
      </c>
      <c r="U501" s="7" t="n">
        <v>0</v>
      </c>
      <c r="V501" s="7" t="n">
        <v>0</v>
      </c>
    </row>
    <row r="502" customFormat="false" ht="15" hidden="false" customHeight="false" outlineLevel="0" collapsed="false">
      <c r="A502" s="4" t="s">
        <v>1882</v>
      </c>
      <c r="B502" s="4" t="str">
        <f aca="false">IF(AND(I502&gt;='Read Me &amp; Markers'!$B$18,J502&gt;='Read Me &amp; Markers'!$B$19,L502&gt;='Read Me &amp; Markers'!$B$20),"A. Proven winner",IF(AND(I502&gt;='Read Me &amp; Markers'!$B$18,J502&gt;='Read Me &amp; Markers'!$B$19,L502&gt;='Read Me &amp; Markers'!$B$21),"B. Strong performer",IF(AND(I502&gt;='Read Me &amp; Markers'!$B$22,L502&gt;='Read Me &amp; Markers'!$B$23),"C. Scale workhorse",IF(AND(I502&gt;='Read Me &amp; Markers'!$B$24,I502&lt;'Read Me &amp; Markers'!$B$18,J502&gt;='Read Me &amp; Markers'!$B$25,L502&gt;='Read Me &amp; Markers'!$B$26),"D. Promising (needs more spend)",""))))</f>
        <v/>
      </c>
      <c r="C502" s="4" t="s">
        <v>1883</v>
      </c>
      <c r="D502" s="4" t="s">
        <v>109</v>
      </c>
      <c r="E502" s="4" t="s">
        <v>512</v>
      </c>
      <c r="F502" s="4" t="s">
        <v>430</v>
      </c>
      <c r="G502" s="4" t="s">
        <v>490</v>
      </c>
      <c r="H502" s="4" t="s">
        <v>1884</v>
      </c>
      <c r="I502" s="5" t="n">
        <v>41.24</v>
      </c>
      <c r="J502" s="7" t="n">
        <v>1</v>
      </c>
      <c r="K502" s="5" t="n">
        <v>35.96</v>
      </c>
      <c r="L502" s="8" t="n">
        <v>0.871969</v>
      </c>
      <c r="M502" s="9" t="n">
        <v>41.24</v>
      </c>
      <c r="N502" s="10" t="n">
        <v>0.03042596</v>
      </c>
      <c r="O502" s="5" t="n">
        <v>83.65</v>
      </c>
      <c r="P502" s="11" t="n">
        <v>1.060215</v>
      </c>
      <c r="Q502" s="7" t="n">
        <v>493</v>
      </c>
      <c r="R502" s="7" t="n">
        <v>15</v>
      </c>
      <c r="S502" s="7" t="n">
        <v>2</v>
      </c>
      <c r="T502" s="7" t="n">
        <v>4</v>
      </c>
      <c r="U502" s="7" t="n">
        <v>478</v>
      </c>
      <c r="V502" s="7" t="n">
        <v>186</v>
      </c>
    </row>
    <row r="503" customFormat="false" ht="15" hidden="false" customHeight="false" outlineLevel="0" collapsed="false">
      <c r="A503" s="4" t="s">
        <v>1885</v>
      </c>
      <c r="B503" s="4" t="str">
        <f aca="false">IF(AND(I503&gt;='Read Me &amp; Markers'!$B$18,J503&gt;='Read Me &amp; Markers'!$B$19,L503&gt;='Read Me &amp; Markers'!$B$20),"A. Proven winner",IF(AND(I503&gt;='Read Me &amp; Markers'!$B$18,J503&gt;='Read Me &amp; Markers'!$B$19,L503&gt;='Read Me &amp; Markers'!$B$21),"B. Strong performer",IF(AND(I503&gt;='Read Me &amp; Markers'!$B$22,L503&gt;='Read Me &amp; Markers'!$B$23),"C. Scale workhorse",IF(AND(I503&gt;='Read Me &amp; Markers'!$B$24,I503&lt;'Read Me &amp; Markers'!$B$18,J503&gt;='Read Me &amp; Markers'!$B$25,L503&gt;='Read Me &amp; Markers'!$B$26),"D. Promising (needs more spend)",""))))</f>
        <v/>
      </c>
      <c r="C503" s="4" t="s">
        <v>169</v>
      </c>
      <c r="D503" s="4" t="s">
        <v>100</v>
      </c>
      <c r="E503" s="4" t="s">
        <v>1886</v>
      </c>
      <c r="F503" s="4" t="s">
        <v>87</v>
      </c>
      <c r="G503" s="4" t="s">
        <v>1200</v>
      </c>
      <c r="H503" s="4" t="s">
        <v>1887</v>
      </c>
      <c r="I503" s="5" t="n">
        <v>41.18</v>
      </c>
      <c r="J503" s="7" t="n">
        <v>0</v>
      </c>
      <c r="K503" s="5" t="n">
        <v>0</v>
      </c>
      <c r="L503" s="8" t="n">
        <v>0</v>
      </c>
      <c r="M503" s="9" t="n">
        <v>0</v>
      </c>
      <c r="N503" s="10" t="n">
        <v>0.06148867</v>
      </c>
      <c r="O503" s="5" t="n">
        <v>133.27</v>
      </c>
      <c r="P503" s="11" t="n">
        <v>1.188462</v>
      </c>
      <c r="Q503" s="7" t="n">
        <v>309</v>
      </c>
      <c r="R503" s="7" t="n">
        <v>19</v>
      </c>
      <c r="S503" s="7" t="n">
        <v>0</v>
      </c>
      <c r="T503" s="7" t="n">
        <v>0</v>
      </c>
      <c r="U503" s="7" t="n">
        <v>268</v>
      </c>
      <c r="V503" s="7" t="n">
        <v>38</v>
      </c>
    </row>
    <row r="504" customFormat="false" ht="15" hidden="false" customHeight="false" outlineLevel="0" collapsed="false">
      <c r="A504" s="4" t="s">
        <v>1888</v>
      </c>
      <c r="B504" s="4" t="str">
        <f aca="false">IF(AND(I504&gt;='Read Me &amp; Markers'!$B$18,J504&gt;='Read Me &amp; Markers'!$B$19,L504&gt;='Read Me &amp; Markers'!$B$20),"A. Proven winner",IF(AND(I504&gt;='Read Me &amp; Markers'!$B$18,J504&gt;='Read Me &amp; Markers'!$B$19,L504&gt;='Read Me &amp; Markers'!$B$21),"B. Strong performer",IF(AND(I504&gt;='Read Me &amp; Markers'!$B$22,L504&gt;='Read Me &amp; Markers'!$B$23),"C. Scale workhorse",IF(AND(I504&gt;='Read Me &amp; Markers'!$B$24,I504&lt;'Read Me &amp; Markers'!$B$18,J504&gt;='Read Me &amp; Markers'!$B$25,L504&gt;='Read Me &amp; Markers'!$B$26),"D. Promising (needs more spend)",""))))</f>
        <v/>
      </c>
      <c r="C504" s="4" t="s">
        <v>1889</v>
      </c>
      <c r="D504" s="4" t="s">
        <v>100</v>
      </c>
      <c r="E504" s="4" t="s">
        <v>1890</v>
      </c>
      <c r="F504" s="4" t="s">
        <v>253</v>
      </c>
      <c r="G504" s="4" t="s">
        <v>984</v>
      </c>
      <c r="H504" s="4" t="s">
        <v>1891</v>
      </c>
      <c r="I504" s="5" t="n">
        <v>40.75</v>
      </c>
      <c r="J504" s="7" t="n">
        <v>0</v>
      </c>
      <c r="K504" s="5" t="n">
        <v>0</v>
      </c>
      <c r="L504" s="8" t="n">
        <v>0</v>
      </c>
      <c r="M504" s="9" t="n">
        <v>0</v>
      </c>
      <c r="N504" s="10" t="n">
        <v>0.02225755</v>
      </c>
      <c r="O504" s="5" t="n">
        <v>64.79</v>
      </c>
      <c r="P504" s="11" t="n">
        <v>1.385463</v>
      </c>
      <c r="Q504" s="7" t="n">
        <v>629</v>
      </c>
      <c r="R504" s="7" t="n">
        <v>14</v>
      </c>
      <c r="S504" s="7" t="n">
        <v>0</v>
      </c>
      <c r="T504" s="7" t="n">
        <v>0</v>
      </c>
      <c r="U504" s="7" t="n">
        <v>0</v>
      </c>
      <c r="V504" s="7" t="n">
        <v>0</v>
      </c>
    </row>
    <row r="505" customFormat="false" ht="15" hidden="false" customHeight="false" outlineLevel="0" collapsed="false">
      <c r="A505" s="4" t="s">
        <v>1892</v>
      </c>
      <c r="B505" s="4" t="str">
        <f aca="false">IF(AND(I505&gt;='Read Me &amp; Markers'!$B$18,J505&gt;='Read Me &amp; Markers'!$B$19,L505&gt;='Read Me &amp; Markers'!$B$20),"A. Proven winner",IF(AND(I505&gt;='Read Me &amp; Markers'!$B$18,J505&gt;='Read Me &amp; Markers'!$B$19,L505&gt;='Read Me &amp; Markers'!$B$21),"B. Strong performer",IF(AND(I505&gt;='Read Me &amp; Markers'!$B$22,L505&gt;='Read Me &amp; Markers'!$B$23),"C. Scale workhorse",IF(AND(I505&gt;='Read Me &amp; Markers'!$B$24,I505&lt;'Read Me &amp; Markers'!$B$18,J505&gt;='Read Me &amp; Markers'!$B$25,L505&gt;='Read Me &amp; Markers'!$B$26),"D. Promising (needs more spend)",""))))</f>
        <v/>
      </c>
      <c r="C505" s="4" t="s">
        <v>1893</v>
      </c>
      <c r="D505" s="4" t="s">
        <v>109</v>
      </c>
      <c r="E505" s="4" t="s">
        <v>1809</v>
      </c>
      <c r="F505" s="4" t="s">
        <v>87</v>
      </c>
      <c r="G505" s="4" t="s">
        <v>508</v>
      </c>
      <c r="H505" s="4" t="s">
        <v>1894</v>
      </c>
      <c r="I505" s="5" t="n">
        <v>40.64</v>
      </c>
      <c r="J505" s="7" t="n">
        <v>0</v>
      </c>
      <c r="K505" s="5" t="n">
        <v>0</v>
      </c>
      <c r="L505" s="8" t="n">
        <v>0</v>
      </c>
      <c r="M505" s="9" t="n">
        <v>0</v>
      </c>
      <c r="N505" s="10" t="n">
        <v>0.0124805</v>
      </c>
      <c r="O505" s="5" t="n">
        <v>63.4</v>
      </c>
      <c r="P505" s="11" t="n">
        <v>1.384449</v>
      </c>
      <c r="Q505" s="7" t="n">
        <v>641</v>
      </c>
      <c r="R505" s="7" t="n">
        <v>8</v>
      </c>
      <c r="S505" s="7" t="n">
        <v>0</v>
      </c>
      <c r="T505" s="7" t="n">
        <v>0</v>
      </c>
      <c r="U505" s="7" t="n">
        <v>0</v>
      </c>
      <c r="V505" s="7" t="n">
        <v>0</v>
      </c>
    </row>
    <row r="506" customFormat="false" ht="15" hidden="false" customHeight="false" outlineLevel="0" collapsed="false">
      <c r="A506" s="4" t="s">
        <v>1895</v>
      </c>
      <c r="B506" s="4" t="str">
        <f aca="false">IF(AND(I506&gt;='Read Me &amp; Markers'!$B$18,J506&gt;='Read Me &amp; Markers'!$B$19,L506&gt;='Read Me &amp; Markers'!$B$20),"A. Proven winner",IF(AND(I506&gt;='Read Me &amp; Markers'!$B$18,J506&gt;='Read Me &amp; Markers'!$B$19,L506&gt;='Read Me &amp; Markers'!$B$21),"B. Strong performer",IF(AND(I506&gt;='Read Me &amp; Markers'!$B$22,L506&gt;='Read Me &amp; Markers'!$B$23),"C. Scale workhorse",IF(AND(I506&gt;='Read Me &amp; Markers'!$B$24,I506&lt;'Read Me &amp; Markers'!$B$18,J506&gt;='Read Me &amp; Markers'!$B$25,L506&gt;='Read Me &amp; Markers'!$B$26),"D. Promising (needs more spend)",""))))</f>
        <v/>
      </c>
      <c r="C506" s="4" t="s">
        <v>1896</v>
      </c>
      <c r="D506" s="4" t="s">
        <v>109</v>
      </c>
      <c r="E506" s="4" t="s">
        <v>435</v>
      </c>
      <c r="F506" s="4" t="s">
        <v>87</v>
      </c>
      <c r="G506" s="4" t="s">
        <v>436</v>
      </c>
      <c r="H506" s="4" t="s">
        <v>1897</v>
      </c>
      <c r="I506" s="5" t="n">
        <v>40.62</v>
      </c>
      <c r="J506" s="7" t="n">
        <v>0</v>
      </c>
      <c r="K506" s="5" t="n">
        <v>0</v>
      </c>
      <c r="L506" s="8" t="n">
        <v>0</v>
      </c>
      <c r="M506" s="9" t="n">
        <v>0</v>
      </c>
      <c r="N506" s="10" t="n">
        <v>0.05714286</v>
      </c>
      <c r="O506" s="5" t="n">
        <v>232.11</v>
      </c>
      <c r="P506" s="11" t="n">
        <v>1.232394</v>
      </c>
      <c r="Q506" s="7" t="n">
        <v>175</v>
      </c>
      <c r="R506" s="7" t="n">
        <v>10</v>
      </c>
      <c r="S506" s="7" t="n">
        <v>0</v>
      </c>
      <c r="T506" s="7" t="n">
        <v>1</v>
      </c>
      <c r="U506" s="7" t="n">
        <v>164</v>
      </c>
      <c r="V506" s="7" t="n">
        <v>28</v>
      </c>
    </row>
    <row r="507" customFormat="false" ht="15" hidden="false" customHeight="false" outlineLevel="0" collapsed="false">
      <c r="A507" s="4" t="s">
        <v>1898</v>
      </c>
      <c r="B507" s="4" t="str">
        <f aca="false">IF(AND(I507&gt;='Read Me &amp; Markers'!$B$18,J507&gt;='Read Me &amp; Markers'!$B$19,L507&gt;='Read Me &amp; Markers'!$B$20),"A. Proven winner",IF(AND(I507&gt;='Read Me &amp; Markers'!$B$18,J507&gt;='Read Me &amp; Markers'!$B$19,L507&gt;='Read Me &amp; Markers'!$B$21),"B. Strong performer",IF(AND(I507&gt;='Read Me &amp; Markers'!$B$22,L507&gt;='Read Me &amp; Markers'!$B$23),"C. Scale workhorse",IF(AND(I507&gt;='Read Me &amp; Markers'!$B$24,I507&lt;'Read Me &amp; Markers'!$B$18,J507&gt;='Read Me &amp; Markers'!$B$25,L507&gt;='Read Me &amp; Markers'!$B$26),"D. Promising (needs more spend)",""))))</f>
        <v/>
      </c>
      <c r="C507" s="4" t="s">
        <v>1899</v>
      </c>
      <c r="D507" s="4" t="s">
        <v>109</v>
      </c>
      <c r="E507" s="4" t="s">
        <v>435</v>
      </c>
      <c r="F507" s="4" t="s">
        <v>111</v>
      </c>
      <c r="G507" s="4" t="s">
        <v>436</v>
      </c>
      <c r="H507" s="4" t="s">
        <v>1900</v>
      </c>
      <c r="I507" s="5" t="n">
        <v>40.31</v>
      </c>
      <c r="J507" s="7" t="n">
        <v>1</v>
      </c>
      <c r="K507" s="5" t="n">
        <v>35.96</v>
      </c>
      <c r="L507" s="8" t="n">
        <v>0.892086</v>
      </c>
      <c r="M507" s="9" t="n">
        <v>40.31</v>
      </c>
      <c r="N507" s="10" t="n">
        <v>0.02597403</v>
      </c>
      <c r="O507" s="5" t="n">
        <v>130.88</v>
      </c>
      <c r="P507" s="11" t="n">
        <v>1.073171</v>
      </c>
      <c r="Q507" s="7" t="n">
        <v>308</v>
      </c>
      <c r="R507" s="7" t="n">
        <v>8</v>
      </c>
      <c r="S507" s="7" t="n">
        <v>3</v>
      </c>
      <c r="T507" s="7" t="n">
        <v>4</v>
      </c>
      <c r="U507" s="7" t="n">
        <v>290</v>
      </c>
      <c r="V507" s="7" t="n">
        <v>126</v>
      </c>
    </row>
    <row r="508" customFormat="false" ht="15" hidden="false" customHeight="false" outlineLevel="0" collapsed="false">
      <c r="A508" s="4" t="s">
        <v>1901</v>
      </c>
      <c r="B508" s="4" t="str">
        <f aca="false">IF(AND(I508&gt;='Read Me &amp; Markers'!$B$18,J508&gt;='Read Me &amp; Markers'!$B$19,L508&gt;='Read Me &amp; Markers'!$B$20),"A. Proven winner",IF(AND(I508&gt;='Read Me &amp; Markers'!$B$18,J508&gt;='Read Me &amp; Markers'!$B$19,L508&gt;='Read Me &amp; Markers'!$B$21),"B. Strong performer",IF(AND(I508&gt;='Read Me &amp; Markers'!$B$22,L508&gt;='Read Me &amp; Markers'!$B$23),"C. Scale workhorse",IF(AND(I508&gt;='Read Me &amp; Markers'!$B$24,I508&lt;'Read Me &amp; Markers'!$B$18,J508&gt;='Read Me &amp; Markers'!$B$25,L508&gt;='Read Me &amp; Markers'!$B$26),"D. Promising (needs more spend)",""))))</f>
        <v/>
      </c>
      <c r="C508" s="4" t="s">
        <v>1599</v>
      </c>
      <c r="D508" s="4" t="s">
        <v>109</v>
      </c>
      <c r="E508" s="4" t="s">
        <v>1902</v>
      </c>
      <c r="F508" s="4" t="s">
        <v>87</v>
      </c>
      <c r="G508" s="4" t="s">
        <v>588</v>
      </c>
      <c r="H508" s="4" t="s">
        <v>1903</v>
      </c>
      <c r="I508" s="5" t="n">
        <v>40.29</v>
      </c>
      <c r="J508" s="7" t="n">
        <v>0</v>
      </c>
      <c r="K508" s="5" t="n">
        <v>0</v>
      </c>
      <c r="L508" s="8" t="n">
        <v>0</v>
      </c>
      <c r="M508" s="9" t="n">
        <v>0</v>
      </c>
      <c r="N508" s="10" t="n">
        <v>0.05405405</v>
      </c>
      <c r="O508" s="5" t="n">
        <v>181.49</v>
      </c>
      <c r="P508" s="11" t="n">
        <v>1.193548</v>
      </c>
      <c r="Q508" s="7" t="n">
        <v>222</v>
      </c>
      <c r="R508" s="7" t="n">
        <v>12</v>
      </c>
      <c r="S508" s="7" t="n">
        <v>0</v>
      </c>
      <c r="T508" s="7" t="n">
        <v>0</v>
      </c>
      <c r="U508" s="7" t="n">
        <v>200</v>
      </c>
      <c r="V508" s="7" t="n">
        <v>36</v>
      </c>
    </row>
    <row r="509" customFormat="false" ht="15" hidden="false" customHeight="false" outlineLevel="0" collapsed="false">
      <c r="A509" s="4" t="s">
        <v>1904</v>
      </c>
      <c r="B509" s="4" t="str">
        <f aca="false">IF(AND(I509&gt;='Read Me &amp; Markers'!$B$18,J509&gt;='Read Me &amp; Markers'!$B$19,L509&gt;='Read Me &amp; Markers'!$B$20),"A. Proven winner",IF(AND(I509&gt;='Read Me &amp; Markers'!$B$18,J509&gt;='Read Me &amp; Markers'!$B$19,L509&gt;='Read Me &amp; Markers'!$B$21),"B. Strong performer",IF(AND(I509&gt;='Read Me &amp; Markers'!$B$22,L509&gt;='Read Me &amp; Markers'!$B$23),"C. Scale workhorse",IF(AND(I509&gt;='Read Me &amp; Markers'!$B$24,I509&lt;'Read Me &amp; Markers'!$B$18,J509&gt;='Read Me &amp; Markers'!$B$25,L509&gt;='Read Me &amp; Markers'!$B$26),"D. Promising (needs more spend)",""))))</f>
        <v/>
      </c>
      <c r="C509" s="4" t="s">
        <v>1905</v>
      </c>
      <c r="D509" s="4" t="s">
        <v>109</v>
      </c>
      <c r="E509" s="4" t="s">
        <v>979</v>
      </c>
      <c r="F509" s="4" t="s">
        <v>87</v>
      </c>
      <c r="G509" s="4" t="s">
        <v>659</v>
      </c>
      <c r="H509" s="4" t="s">
        <v>980</v>
      </c>
      <c r="I509" s="5" t="n">
        <v>39.67</v>
      </c>
      <c r="J509" s="7" t="n">
        <v>0</v>
      </c>
      <c r="K509" s="5" t="n">
        <v>0</v>
      </c>
      <c r="L509" s="8" t="n">
        <v>0</v>
      </c>
      <c r="M509" s="9" t="n">
        <v>0</v>
      </c>
      <c r="N509" s="10" t="n">
        <v>0.01641587</v>
      </c>
      <c r="O509" s="5" t="n">
        <v>54.27</v>
      </c>
      <c r="P509" s="11" t="n">
        <v>1.082963</v>
      </c>
      <c r="Q509" s="7" t="n">
        <v>731</v>
      </c>
      <c r="R509" s="7" t="n">
        <v>12</v>
      </c>
      <c r="S509" s="7" t="n">
        <v>0</v>
      </c>
      <c r="T509" s="7" t="n">
        <v>0</v>
      </c>
      <c r="U509" s="7" t="n">
        <v>0</v>
      </c>
      <c r="V509" s="7" t="n">
        <v>0</v>
      </c>
    </row>
    <row r="510" customFormat="false" ht="15" hidden="false" customHeight="false" outlineLevel="0" collapsed="false">
      <c r="A510" s="4" t="s">
        <v>1906</v>
      </c>
      <c r="B510" s="4" t="str">
        <f aca="false">IF(AND(I510&gt;='Read Me &amp; Markers'!$B$18,J510&gt;='Read Me &amp; Markers'!$B$19,L510&gt;='Read Me &amp; Markers'!$B$20),"A. Proven winner",IF(AND(I510&gt;='Read Me &amp; Markers'!$B$18,J510&gt;='Read Me &amp; Markers'!$B$19,L510&gt;='Read Me &amp; Markers'!$B$21),"B. Strong performer",IF(AND(I510&gt;='Read Me &amp; Markers'!$B$22,L510&gt;='Read Me &amp; Markers'!$B$23),"C. Scale workhorse",IF(AND(I510&gt;='Read Me &amp; Markers'!$B$24,I510&lt;'Read Me &amp; Markers'!$B$18,J510&gt;='Read Me &amp; Markers'!$B$25,L510&gt;='Read Me &amp; Markers'!$B$26),"D. Promising (needs more spend)",""))))</f>
        <v/>
      </c>
      <c r="C510" s="4" t="s">
        <v>1907</v>
      </c>
      <c r="D510" s="4" t="s">
        <v>528</v>
      </c>
      <c r="E510" s="4" t="s">
        <v>1908</v>
      </c>
      <c r="F510" s="4" t="s">
        <v>230</v>
      </c>
      <c r="G510" s="4" t="s">
        <v>378</v>
      </c>
      <c r="H510" s="4" t="s">
        <v>1909</v>
      </c>
      <c r="I510" s="5" t="n">
        <v>39.09</v>
      </c>
      <c r="J510" s="7" t="n">
        <v>0</v>
      </c>
      <c r="K510" s="5" t="n">
        <v>0</v>
      </c>
      <c r="L510" s="8" t="n">
        <v>0</v>
      </c>
      <c r="M510" s="9" t="n">
        <v>0</v>
      </c>
      <c r="N510" s="10" t="n">
        <v>0.07092199</v>
      </c>
      <c r="O510" s="5" t="n">
        <v>138.62</v>
      </c>
      <c r="P510" s="11" t="n">
        <v>1.04059</v>
      </c>
      <c r="Q510" s="7" t="n">
        <v>282</v>
      </c>
      <c r="R510" s="7" t="n">
        <v>20</v>
      </c>
      <c r="S510" s="7" t="n">
        <v>3</v>
      </c>
      <c r="T510" s="7" t="n">
        <v>1</v>
      </c>
      <c r="U510" s="7" t="n">
        <v>240</v>
      </c>
      <c r="V510" s="7" t="n">
        <v>69</v>
      </c>
    </row>
    <row r="511" customFormat="false" ht="15" hidden="false" customHeight="false" outlineLevel="0" collapsed="false">
      <c r="A511" s="4" t="s">
        <v>1910</v>
      </c>
      <c r="B511" s="4" t="str">
        <f aca="false">IF(AND(I511&gt;='Read Me &amp; Markers'!$B$18,J511&gt;='Read Me &amp; Markers'!$B$19,L511&gt;='Read Me &amp; Markers'!$B$20),"A. Proven winner",IF(AND(I511&gt;='Read Me &amp; Markers'!$B$18,J511&gt;='Read Me &amp; Markers'!$B$19,L511&gt;='Read Me &amp; Markers'!$B$21),"B. Strong performer",IF(AND(I511&gt;='Read Me &amp; Markers'!$B$22,L511&gt;='Read Me &amp; Markers'!$B$23),"C. Scale workhorse",IF(AND(I511&gt;='Read Me &amp; Markers'!$B$24,I511&lt;'Read Me &amp; Markers'!$B$18,J511&gt;='Read Me &amp; Markers'!$B$25,L511&gt;='Read Me &amp; Markers'!$B$26),"D. Promising (needs more spend)",""))))</f>
        <v/>
      </c>
      <c r="C511" s="4" t="s">
        <v>1911</v>
      </c>
      <c r="D511" s="4" t="s">
        <v>109</v>
      </c>
      <c r="E511" s="4" t="s">
        <v>1472</v>
      </c>
      <c r="F511" s="4" t="s">
        <v>87</v>
      </c>
      <c r="G511" s="4" t="s">
        <v>599</v>
      </c>
      <c r="H511" s="4" t="s">
        <v>1912</v>
      </c>
      <c r="I511" s="5" t="n">
        <v>38.66</v>
      </c>
      <c r="J511" s="7" t="n">
        <v>0</v>
      </c>
      <c r="K511" s="5" t="n">
        <v>0</v>
      </c>
      <c r="L511" s="8" t="n">
        <v>0</v>
      </c>
      <c r="M511" s="9" t="n">
        <v>0</v>
      </c>
      <c r="N511" s="10" t="n">
        <v>0.06639004</v>
      </c>
      <c r="O511" s="5" t="n">
        <v>160.41</v>
      </c>
      <c r="P511" s="11" t="n">
        <v>1.075893</v>
      </c>
      <c r="Q511" s="7" t="n">
        <v>241</v>
      </c>
      <c r="R511" s="7" t="n">
        <v>16</v>
      </c>
      <c r="S511" s="7" t="n">
        <v>0</v>
      </c>
      <c r="T511" s="7" t="n">
        <v>0</v>
      </c>
      <c r="U511" s="7" t="n">
        <v>199</v>
      </c>
      <c r="V511" s="7" t="n">
        <v>44</v>
      </c>
    </row>
    <row r="512" customFormat="false" ht="15" hidden="false" customHeight="false" outlineLevel="0" collapsed="false">
      <c r="A512" s="4" t="s">
        <v>1913</v>
      </c>
      <c r="B512" s="4" t="str">
        <f aca="false">IF(AND(I512&gt;='Read Me &amp; Markers'!$B$18,J512&gt;='Read Me &amp; Markers'!$B$19,L512&gt;='Read Me &amp; Markers'!$B$20),"A. Proven winner",IF(AND(I512&gt;='Read Me &amp; Markers'!$B$18,J512&gt;='Read Me &amp; Markers'!$B$19,L512&gt;='Read Me &amp; Markers'!$B$21),"B. Strong performer",IF(AND(I512&gt;='Read Me &amp; Markers'!$B$22,L512&gt;='Read Me &amp; Markers'!$B$23),"C. Scale workhorse",IF(AND(I512&gt;='Read Me &amp; Markers'!$B$24,I512&lt;'Read Me &amp; Markers'!$B$18,J512&gt;='Read Me &amp; Markers'!$B$25,L512&gt;='Read Me &amp; Markers'!$B$26),"D. Promising (needs more spend)",""))))</f>
        <v/>
      </c>
      <c r="C512" s="4" t="s">
        <v>1914</v>
      </c>
      <c r="D512" s="4" t="s">
        <v>109</v>
      </c>
      <c r="E512" s="4" t="s">
        <v>469</v>
      </c>
      <c r="F512" s="4" t="s">
        <v>172</v>
      </c>
      <c r="G512" s="4" t="s">
        <v>470</v>
      </c>
      <c r="H512" s="4" t="s">
        <v>1915</v>
      </c>
      <c r="I512" s="5" t="n">
        <v>38.6</v>
      </c>
      <c r="J512" s="7" t="n">
        <v>0</v>
      </c>
      <c r="K512" s="5" t="n">
        <v>0</v>
      </c>
      <c r="L512" s="8" t="n">
        <v>0</v>
      </c>
      <c r="M512" s="9" t="n">
        <v>0</v>
      </c>
      <c r="N512" s="10" t="n">
        <v>0.0190779</v>
      </c>
      <c r="O512" s="5" t="n">
        <v>61.37</v>
      </c>
      <c r="P512" s="11" t="n">
        <v>1.238189</v>
      </c>
      <c r="Q512" s="7" t="n">
        <v>629</v>
      </c>
      <c r="R512" s="7" t="n">
        <v>12</v>
      </c>
      <c r="S512" s="7" t="n">
        <v>1</v>
      </c>
      <c r="T512" s="7" t="n">
        <v>2</v>
      </c>
      <c r="U512" s="7" t="n">
        <v>0</v>
      </c>
      <c r="V512" s="7" t="n">
        <v>0</v>
      </c>
    </row>
    <row r="513" customFormat="false" ht="15" hidden="false" customHeight="false" outlineLevel="0" collapsed="false">
      <c r="A513" s="4" t="s">
        <v>1916</v>
      </c>
      <c r="B513" s="4" t="str">
        <f aca="false">IF(AND(I513&gt;='Read Me &amp; Markers'!$B$18,J513&gt;='Read Me &amp; Markers'!$B$19,L513&gt;='Read Me &amp; Markers'!$B$20),"A. Proven winner",IF(AND(I513&gt;='Read Me &amp; Markers'!$B$18,J513&gt;='Read Me &amp; Markers'!$B$19,L513&gt;='Read Me &amp; Markers'!$B$21),"B. Strong performer",IF(AND(I513&gt;='Read Me &amp; Markers'!$B$22,L513&gt;='Read Me &amp; Markers'!$B$23),"C. Scale workhorse",IF(AND(I513&gt;='Read Me &amp; Markers'!$B$24,I513&lt;'Read Me &amp; Markers'!$B$18,J513&gt;='Read Me &amp; Markers'!$B$25,L513&gt;='Read Me &amp; Markers'!$B$26),"D. Promising (needs more spend)",""))))</f>
        <v/>
      </c>
      <c r="C513" s="4" t="s">
        <v>121</v>
      </c>
      <c r="D513" s="4" t="s">
        <v>100</v>
      </c>
      <c r="E513" s="4" t="s">
        <v>1366</v>
      </c>
      <c r="F513" s="4" t="s">
        <v>87</v>
      </c>
      <c r="G513" s="4" t="s">
        <v>279</v>
      </c>
      <c r="H513" s="4" t="s">
        <v>1917</v>
      </c>
      <c r="I513" s="5" t="n">
        <v>38.49</v>
      </c>
      <c r="J513" s="7" t="n">
        <v>0</v>
      </c>
      <c r="K513" s="5" t="n">
        <v>0</v>
      </c>
      <c r="L513" s="8" t="n">
        <v>0</v>
      </c>
      <c r="M513" s="9" t="n">
        <v>0</v>
      </c>
      <c r="N513" s="10" t="n">
        <v>0.03712871</v>
      </c>
      <c r="O513" s="5" t="n">
        <v>95.27</v>
      </c>
      <c r="P513" s="11" t="n">
        <v>1.274448</v>
      </c>
      <c r="Q513" s="7" t="n">
        <v>404</v>
      </c>
      <c r="R513" s="7" t="n">
        <v>15</v>
      </c>
      <c r="S513" s="7" t="n">
        <v>0</v>
      </c>
      <c r="T513" s="7" t="n">
        <v>0</v>
      </c>
      <c r="U513" s="7" t="n">
        <v>332</v>
      </c>
      <c r="V513" s="7" t="n">
        <v>38</v>
      </c>
    </row>
    <row r="514" customFormat="false" ht="15" hidden="false" customHeight="false" outlineLevel="0" collapsed="false">
      <c r="A514" s="4" t="s">
        <v>1918</v>
      </c>
      <c r="B514" s="4" t="str">
        <f aca="false">IF(AND(I514&gt;='Read Me &amp; Markers'!$B$18,J514&gt;='Read Me &amp; Markers'!$B$19,L514&gt;='Read Me &amp; Markers'!$B$20),"A. Proven winner",IF(AND(I514&gt;='Read Me &amp; Markers'!$B$18,J514&gt;='Read Me &amp; Markers'!$B$19,L514&gt;='Read Me &amp; Markers'!$B$21),"B. Strong performer",IF(AND(I514&gt;='Read Me &amp; Markers'!$B$22,L514&gt;='Read Me &amp; Markers'!$B$23),"C. Scale workhorse",IF(AND(I514&gt;='Read Me &amp; Markers'!$B$24,I514&lt;'Read Me &amp; Markers'!$B$18,J514&gt;='Read Me &amp; Markers'!$B$25,L514&gt;='Read Me &amp; Markers'!$B$26),"D. Promising (needs more spend)",""))))</f>
        <v/>
      </c>
      <c r="C514" s="4" t="s">
        <v>1919</v>
      </c>
      <c r="D514" s="4" t="s">
        <v>109</v>
      </c>
      <c r="E514" s="4" t="s">
        <v>1061</v>
      </c>
      <c r="F514" s="4" t="s">
        <v>87</v>
      </c>
      <c r="G514" s="4" t="s">
        <v>583</v>
      </c>
      <c r="H514" s="4" t="s">
        <v>1920</v>
      </c>
      <c r="I514" s="5" t="n">
        <v>38.47</v>
      </c>
      <c r="J514" s="7" t="n">
        <v>0</v>
      </c>
      <c r="K514" s="5" t="n">
        <v>0</v>
      </c>
      <c r="L514" s="8" t="n">
        <v>0</v>
      </c>
      <c r="M514" s="9" t="n">
        <v>0</v>
      </c>
      <c r="N514" s="10" t="n">
        <v>0.06140351</v>
      </c>
      <c r="O514" s="5" t="n">
        <v>112.49</v>
      </c>
      <c r="P514" s="11" t="n">
        <v>1.449153</v>
      </c>
      <c r="Q514" s="7" t="n">
        <v>342</v>
      </c>
      <c r="R514" s="7" t="n">
        <v>21</v>
      </c>
      <c r="S514" s="7" t="n">
        <v>0</v>
      </c>
      <c r="T514" s="7" t="n">
        <v>0</v>
      </c>
      <c r="U514" s="7" t="n">
        <v>0</v>
      </c>
      <c r="V514" s="7" t="n">
        <v>0</v>
      </c>
    </row>
    <row r="515" customFormat="false" ht="15" hidden="false" customHeight="false" outlineLevel="0" collapsed="false">
      <c r="A515" s="4" t="s">
        <v>1921</v>
      </c>
      <c r="B515" s="4" t="str">
        <f aca="false">IF(AND(I515&gt;='Read Me &amp; Markers'!$B$18,J515&gt;='Read Me &amp; Markers'!$B$19,L515&gt;='Read Me &amp; Markers'!$B$20),"A. Proven winner",IF(AND(I515&gt;='Read Me &amp; Markers'!$B$18,J515&gt;='Read Me &amp; Markers'!$B$19,L515&gt;='Read Me &amp; Markers'!$B$21),"B. Strong performer",IF(AND(I515&gt;='Read Me &amp; Markers'!$B$22,L515&gt;='Read Me &amp; Markers'!$B$23),"C. Scale workhorse",IF(AND(I515&gt;='Read Me &amp; Markers'!$B$24,I515&lt;'Read Me &amp; Markers'!$B$18,J515&gt;='Read Me &amp; Markers'!$B$25,L515&gt;='Read Me &amp; Markers'!$B$26),"D. Promising (needs more spend)",""))))</f>
        <v/>
      </c>
      <c r="C515" s="4" t="s">
        <v>121</v>
      </c>
      <c r="D515" s="4" t="s">
        <v>154</v>
      </c>
      <c r="E515" s="4" t="s">
        <v>1489</v>
      </c>
      <c r="F515" s="4" t="s">
        <v>253</v>
      </c>
      <c r="G515" s="4" t="s">
        <v>1085</v>
      </c>
      <c r="H515" s="4" t="s">
        <v>1922</v>
      </c>
      <c r="I515" s="5" t="n">
        <v>38.36</v>
      </c>
      <c r="J515" s="7" t="n">
        <v>0</v>
      </c>
      <c r="K515" s="5" t="n">
        <v>0</v>
      </c>
      <c r="L515" s="8" t="n">
        <v>0</v>
      </c>
      <c r="M515" s="9" t="n">
        <v>0</v>
      </c>
      <c r="N515" s="10" t="n">
        <v>0.04320988</v>
      </c>
      <c r="O515" s="5" t="n">
        <v>78.93</v>
      </c>
      <c r="P515" s="11" t="n">
        <v>1.132867</v>
      </c>
      <c r="Q515" s="7" t="n">
        <v>486</v>
      </c>
      <c r="R515" s="7" t="n">
        <v>21</v>
      </c>
      <c r="S515" s="7" t="n">
        <v>3</v>
      </c>
      <c r="T515" s="7" t="n">
        <v>2</v>
      </c>
      <c r="U515" s="7" t="n">
        <v>444</v>
      </c>
      <c r="V515" s="7" t="n">
        <v>27</v>
      </c>
    </row>
    <row r="516" customFormat="false" ht="15" hidden="false" customHeight="false" outlineLevel="0" collapsed="false">
      <c r="A516" s="4" t="s">
        <v>1923</v>
      </c>
      <c r="B516" s="4" t="str">
        <f aca="false">IF(AND(I516&gt;='Read Me &amp; Markers'!$B$18,J516&gt;='Read Me &amp; Markers'!$B$19,L516&gt;='Read Me &amp; Markers'!$B$20),"A. Proven winner",IF(AND(I516&gt;='Read Me &amp; Markers'!$B$18,J516&gt;='Read Me &amp; Markers'!$B$19,L516&gt;='Read Me &amp; Markers'!$B$21),"B. Strong performer",IF(AND(I516&gt;='Read Me &amp; Markers'!$B$22,L516&gt;='Read Me &amp; Markers'!$B$23),"C. Scale workhorse",IF(AND(I516&gt;='Read Me &amp; Markers'!$B$24,I516&lt;'Read Me &amp; Markers'!$B$18,J516&gt;='Read Me &amp; Markers'!$B$25,L516&gt;='Read Me &amp; Markers'!$B$26),"D. Promising (needs more spend)",""))))</f>
        <v/>
      </c>
      <c r="C516" s="4" t="s">
        <v>129</v>
      </c>
      <c r="D516" s="4" t="s">
        <v>100</v>
      </c>
      <c r="E516" s="4" t="s">
        <v>1032</v>
      </c>
      <c r="F516" s="4" t="s">
        <v>87</v>
      </c>
      <c r="G516" s="4" t="s">
        <v>538</v>
      </c>
      <c r="H516" s="4" t="s">
        <v>1924</v>
      </c>
      <c r="I516" s="5" t="n">
        <v>38.31</v>
      </c>
      <c r="J516" s="7" t="n">
        <v>0</v>
      </c>
      <c r="K516" s="5" t="n">
        <v>0</v>
      </c>
      <c r="L516" s="8" t="n">
        <v>0</v>
      </c>
      <c r="M516" s="9" t="n">
        <v>0</v>
      </c>
      <c r="N516" s="10" t="n">
        <v>0.05517241</v>
      </c>
      <c r="O516" s="5" t="n">
        <v>132.1</v>
      </c>
      <c r="P516" s="11" t="n">
        <v>1.137255</v>
      </c>
      <c r="Q516" s="7" t="n">
        <v>290</v>
      </c>
      <c r="R516" s="7" t="n">
        <v>16</v>
      </c>
      <c r="S516" s="7" t="n">
        <v>0</v>
      </c>
      <c r="T516" s="7" t="n">
        <v>0</v>
      </c>
      <c r="U516" s="7" t="n">
        <v>248</v>
      </c>
      <c r="V516" s="7" t="n">
        <v>24</v>
      </c>
    </row>
    <row r="517" customFormat="false" ht="15" hidden="false" customHeight="false" outlineLevel="0" collapsed="false">
      <c r="A517" s="4" t="s">
        <v>1925</v>
      </c>
      <c r="B517" s="4" t="str">
        <f aca="false">IF(AND(I517&gt;='Read Me &amp; Markers'!$B$18,J517&gt;='Read Me &amp; Markers'!$B$19,L517&gt;='Read Me &amp; Markers'!$B$20),"A. Proven winner",IF(AND(I517&gt;='Read Me &amp; Markers'!$B$18,J517&gt;='Read Me &amp; Markers'!$B$19,L517&gt;='Read Me &amp; Markers'!$B$21),"B. Strong performer",IF(AND(I517&gt;='Read Me &amp; Markers'!$B$22,L517&gt;='Read Me &amp; Markers'!$B$23),"C. Scale workhorse",IF(AND(I517&gt;='Read Me &amp; Markers'!$B$24,I517&lt;'Read Me &amp; Markers'!$B$18,J517&gt;='Read Me &amp; Markers'!$B$25,L517&gt;='Read Me &amp; Markers'!$B$26),"D. Promising (needs more spend)",""))))</f>
        <v/>
      </c>
      <c r="C517" s="4" t="s">
        <v>1926</v>
      </c>
      <c r="D517" s="4" t="s">
        <v>109</v>
      </c>
      <c r="E517" s="4" t="s">
        <v>687</v>
      </c>
      <c r="F517" s="4" t="s">
        <v>87</v>
      </c>
      <c r="G517" s="4" t="s">
        <v>317</v>
      </c>
      <c r="H517" s="4" t="s">
        <v>1927</v>
      </c>
      <c r="I517" s="5" t="n">
        <v>38.25</v>
      </c>
      <c r="J517" s="7" t="n">
        <v>0</v>
      </c>
      <c r="K517" s="5" t="n">
        <v>0</v>
      </c>
      <c r="L517" s="8" t="n">
        <v>0</v>
      </c>
      <c r="M517" s="9" t="n">
        <v>0</v>
      </c>
      <c r="N517" s="10" t="n">
        <v>0.01844532</v>
      </c>
      <c r="O517" s="5" t="n">
        <v>50.4</v>
      </c>
      <c r="P517" s="11" t="n">
        <v>1.465251</v>
      </c>
      <c r="Q517" s="7" t="n">
        <v>759</v>
      </c>
      <c r="R517" s="7" t="n">
        <v>14</v>
      </c>
      <c r="S517" s="7" t="n">
        <v>1</v>
      </c>
      <c r="T517" s="7" t="n">
        <v>1</v>
      </c>
      <c r="U517" s="7" t="n">
        <v>0</v>
      </c>
      <c r="V517" s="7" t="n">
        <v>0</v>
      </c>
    </row>
    <row r="518" customFormat="false" ht="15" hidden="false" customHeight="false" outlineLevel="0" collapsed="false">
      <c r="A518" s="4" t="s">
        <v>1928</v>
      </c>
      <c r="B518" s="4" t="str">
        <f aca="false">IF(AND(I518&gt;='Read Me &amp; Markers'!$B$18,J518&gt;='Read Me &amp; Markers'!$B$19,L518&gt;='Read Me &amp; Markers'!$B$20),"A. Proven winner",IF(AND(I518&gt;='Read Me &amp; Markers'!$B$18,J518&gt;='Read Me &amp; Markers'!$B$19,L518&gt;='Read Me &amp; Markers'!$B$21),"B. Strong performer",IF(AND(I518&gt;='Read Me &amp; Markers'!$B$22,L518&gt;='Read Me &amp; Markers'!$B$23),"C. Scale workhorse",IF(AND(I518&gt;='Read Me &amp; Markers'!$B$24,I518&lt;'Read Me &amp; Markers'!$B$18,J518&gt;='Read Me &amp; Markers'!$B$25,L518&gt;='Read Me &amp; Markers'!$B$26),"D. Promising (needs more spend)",""))))</f>
        <v/>
      </c>
      <c r="C518" s="4" t="s">
        <v>121</v>
      </c>
      <c r="D518" s="4" t="s">
        <v>100</v>
      </c>
      <c r="E518" s="4" t="s">
        <v>1929</v>
      </c>
      <c r="F518" s="4" t="s">
        <v>87</v>
      </c>
      <c r="G518" s="4" t="s">
        <v>623</v>
      </c>
      <c r="H518" s="4" t="s">
        <v>1930</v>
      </c>
      <c r="I518" s="5" t="n">
        <v>38.18</v>
      </c>
      <c r="J518" s="7" t="n">
        <v>0</v>
      </c>
      <c r="K518" s="5" t="n">
        <v>0</v>
      </c>
      <c r="L518" s="8" t="n">
        <v>0</v>
      </c>
      <c r="M518" s="9" t="n">
        <v>0</v>
      </c>
      <c r="N518" s="10" t="n">
        <v>0.04945055</v>
      </c>
      <c r="O518" s="5" t="n">
        <v>104.89</v>
      </c>
      <c r="P518" s="11" t="n">
        <v>1.497942</v>
      </c>
      <c r="Q518" s="7" t="n">
        <v>364</v>
      </c>
      <c r="R518" s="7" t="n">
        <v>18</v>
      </c>
      <c r="S518" s="7" t="n">
        <v>0</v>
      </c>
      <c r="T518" s="7" t="n">
        <v>0</v>
      </c>
      <c r="U518" s="7" t="n">
        <v>295</v>
      </c>
      <c r="V518" s="7" t="n">
        <v>45</v>
      </c>
    </row>
    <row r="519" customFormat="false" ht="15" hidden="false" customHeight="false" outlineLevel="0" collapsed="false">
      <c r="A519" s="4" t="s">
        <v>1931</v>
      </c>
      <c r="B519" s="4" t="str">
        <f aca="false">IF(AND(I519&gt;='Read Me &amp; Markers'!$B$18,J519&gt;='Read Me &amp; Markers'!$B$19,L519&gt;='Read Me &amp; Markers'!$B$20),"A. Proven winner",IF(AND(I519&gt;='Read Me &amp; Markers'!$B$18,J519&gt;='Read Me &amp; Markers'!$B$19,L519&gt;='Read Me &amp; Markers'!$B$21),"B. Strong performer",IF(AND(I519&gt;='Read Me &amp; Markers'!$B$22,L519&gt;='Read Me &amp; Markers'!$B$23),"C. Scale workhorse",IF(AND(I519&gt;='Read Me &amp; Markers'!$B$24,I519&lt;'Read Me &amp; Markers'!$B$18,J519&gt;='Read Me &amp; Markers'!$B$25,L519&gt;='Read Me &amp; Markers'!$B$26),"D. Promising (needs more spend)",""))))</f>
        <v/>
      </c>
      <c r="C519" s="4" t="s">
        <v>169</v>
      </c>
      <c r="D519" s="4" t="s">
        <v>154</v>
      </c>
      <c r="E519" s="4" t="s">
        <v>1932</v>
      </c>
      <c r="F519" s="4" t="s">
        <v>87</v>
      </c>
      <c r="G519" s="4" t="s">
        <v>102</v>
      </c>
      <c r="H519" s="4" t="s">
        <v>1933</v>
      </c>
      <c r="I519" s="5" t="n">
        <v>38.01</v>
      </c>
      <c r="J519" s="7" t="n">
        <v>0</v>
      </c>
      <c r="K519" s="5" t="n">
        <v>0</v>
      </c>
      <c r="L519" s="8" t="n">
        <v>0</v>
      </c>
      <c r="M519" s="9" t="n">
        <v>0</v>
      </c>
      <c r="N519" s="10" t="n">
        <v>0.03506787</v>
      </c>
      <c r="O519" s="5" t="n">
        <v>43</v>
      </c>
      <c r="P519" s="11" t="n">
        <v>1.311573</v>
      </c>
      <c r="Q519" s="7" t="n">
        <v>884</v>
      </c>
      <c r="R519" s="7" t="n">
        <v>31</v>
      </c>
      <c r="S519" s="7" t="n">
        <v>2</v>
      </c>
      <c r="T519" s="7" t="n">
        <v>0</v>
      </c>
      <c r="U519" s="7" t="n">
        <v>599</v>
      </c>
      <c r="V519" s="7" t="n">
        <v>52</v>
      </c>
    </row>
    <row r="520" customFormat="false" ht="15" hidden="false" customHeight="false" outlineLevel="0" collapsed="false">
      <c r="A520" s="4" t="s">
        <v>1934</v>
      </c>
      <c r="B520" s="4" t="str">
        <f aca="false">IF(AND(I520&gt;='Read Me &amp; Markers'!$B$18,J520&gt;='Read Me &amp; Markers'!$B$19,L520&gt;='Read Me &amp; Markers'!$B$20),"A. Proven winner",IF(AND(I520&gt;='Read Me &amp; Markers'!$B$18,J520&gt;='Read Me &amp; Markers'!$B$19,L520&gt;='Read Me &amp; Markers'!$B$21),"B. Strong performer",IF(AND(I520&gt;='Read Me &amp; Markers'!$B$22,L520&gt;='Read Me &amp; Markers'!$B$23),"C. Scale workhorse",IF(AND(I520&gt;='Read Me &amp; Markers'!$B$24,I520&lt;'Read Me &amp; Markers'!$B$18,J520&gt;='Read Me &amp; Markers'!$B$25,L520&gt;='Read Me &amp; Markers'!$B$26),"D. Promising (needs more spend)",""))))</f>
        <v/>
      </c>
      <c r="C520" s="4" t="s">
        <v>1935</v>
      </c>
      <c r="D520" s="4" t="s">
        <v>109</v>
      </c>
      <c r="E520" s="4" t="s">
        <v>1936</v>
      </c>
      <c r="F520" s="4" t="s">
        <v>111</v>
      </c>
      <c r="G520" s="4" t="s">
        <v>1937</v>
      </c>
      <c r="H520" s="4" t="s">
        <v>1938</v>
      </c>
      <c r="I520" s="5" t="n">
        <v>37.87</v>
      </c>
      <c r="J520" s="7" t="n">
        <v>0</v>
      </c>
      <c r="K520" s="5" t="n">
        <v>0</v>
      </c>
      <c r="L520" s="8" t="n">
        <v>0</v>
      </c>
      <c r="M520" s="9" t="n">
        <v>0</v>
      </c>
      <c r="N520" s="10" t="n">
        <v>0.01952278</v>
      </c>
      <c r="O520" s="5" t="n">
        <v>82.15</v>
      </c>
      <c r="P520" s="11" t="n">
        <v>1.092417</v>
      </c>
      <c r="Q520" s="7" t="n">
        <v>461</v>
      </c>
      <c r="R520" s="7" t="n">
        <v>9</v>
      </c>
      <c r="S520" s="7" t="n">
        <v>0</v>
      </c>
      <c r="T520" s="7" t="n">
        <v>1</v>
      </c>
      <c r="U520" s="7" t="n">
        <v>402</v>
      </c>
      <c r="V520" s="7" t="n">
        <v>21</v>
      </c>
    </row>
    <row r="521" customFormat="false" ht="15" hidden="false" customHeight="false" outlineLevel="0" collapsed="false">
      <c r="A521" s="4" t="s">
        <v>1939</v>
      </c>
      <c r="B521" s="4" t="str">
        <f aca="false">IF(AND(I521&gt;='Read Me &amp; Markers'!$B$18,J521&gt;='Read Me &amp; Markers'!$B$19,L521&gt;='Read Me &amp; Markers'!$B$20),"A. Proven winner",IF(AND(I521&gt;='Read Me &amp; Markers'!$B$18,J521&gt;='Read Me &amp; Markers'!$B$19,L521&gt;='Read Me &amp; Markers'!$B$21),"B. Strong performer",IF(AND(I521&gt;='Read Me &amp; Markers'!$B$22,L521&gt;='Read Me &amp; Markers'!$B$23),"C. Scale workhorse",IF(AND(I521&gt;='Read Me &amp; Markers'!$B$24,I521&lt;'Read Me &amp; Markers'!$B$18,J521&gt;='Read Me &amp; Markers'!$B$25,L521&gt;='Read Me &amp; Markers'!$B$26),"D. Promising (needs more spend)",""))))</f>
        <v/>
      </c>
      <c r="C521" s="4" t="s">
        <v>129</v>
      </c>
      <c r="D521" s="4" t="s">
        <v>100</v>
      </c>
      <c r="E521" s="4" t="s">
        <v>555</v>
      </c>
      <c r="F521" s="4" t="s">
        <v>87</v>
      </c>
      <c r="G521" s="4" t="s">
        <v>208</v>
      </c>
      <c r="H521" s="4" t="s">
        <v>1940</v>
      </c>
      <c r="I521" s="5" t="n">
        <v>37.84</v>
      </c>
      <c r="J521" s="7" t="n">
        <v>0</v>
      </c>
      <c r="K521" s="5" t="n">
        <v>0</v>
      </c>
      <c r="L521" s="8" t="n">
        <v>0</v>
      </c>
      <c r="M521" s="9" t="n">
        <v>0</v>
      </c>
      <c r="N521" s="10" t="n">
        <v>0.01425178</v>
      </c>
      <c r="O521" s="5" t="n">
        <v>89.88</v>
      </c>
      <c r="P521" s="11" t="n">
        <v>1.234604</v>
      </c>
      <c r="Q521" s="7" t="n">
        <v>421</v>
      </c>
      <c r="R521" s="7" t="n">
        <v>6</v>
      </c>
      <c r="S521" s="7" t="n">
        <v>0</v>
      </c>
      <c r="T521" s="7" t="n">
        <v>0</v>
      </c>
      <c r="U521" s="7" t="n">
        <v>327</v>
      </c>
      <c r="V521" s="7" t="n">
        <v>39</v>
      </c>
    </row>
    <row r="522" customFormat="false" ht="15" hidden="false" customHeight="false" outlineLevel="0" collapsed="false">
      <c r="A522" s="4" t="s">
        <v>1941</v>
      </c>
      <c r="B522" s="4" t="str">
        <f aca="false">IF(AND(I522&gt;='Read Me &amp; Markers'!$B$18,J522&gt;='Read Me &amp; Markers'!$B$19,L522&gt;='Read Me &amp; Markers'!$B$20),"A. Proven winner",IF(AND(I522&gt;='Read Me &amp; Markers'!$B$18,J522&gt;='Read Me &amp; Markers'!$B$19,L522&gt;='Read Me &amp; Markers'!$B$21),"B. Strong performer",IF(AND(I522&gt;='Read Me &amp; Markers'!$B$22,L522&gt;='Read Me &amp; Markers'!$B$23),"C. Scale workhorse",IF(AND(I522&gt;='Read Me &amp; Markers'!$B$24,I522&lt;'Read Me &amp; Markers'!$B$18,J522&gt;='Read Me &amp; Markers'!$B$25,L522&gt;='Read Me &amp; Markers'!$B$26),"D. Promising (needs more spend)",""))))</f>
        <v/>
      </c>
      <c r="C522" s="4" t="s">
        <v>1942</v>
      </c>
      <c r="D522" s="4" t="s">
        <v>1204</v>
      </c>
      <c r="E522" s="4" t="s">
        <v>1943</v>
      </c>
      <c r="F522" s="4" t="s">
        <v>253</v>
      </c>
      <c r="G522" s="4" t="s">
        <v>1206</v>
      </c>
      <c r="H522" s="4" t="s">
        <v>1944</v>
      </c>
      <c r="I522" s="5" t="n">
        <v>37.81</v>
      </c>
      <c r="J522" s="7" t="n">
        <v>0</v>
      </c>
      <c r="K522" s="5" t="n">
        <v>0</v>
      </c>
      <c r="L522" s="8" t="n">
        <v>0</v>
      </c>
      <c r="M522" s="9" t="n">
        <v>0</v>
      </c>
      <c r="N522" s="10" t="n">
        <v>0.07981221</v>
      </c>
      <c r="O522" s="5" t="n">
        <v>177.51</v>
      </c>
      <c r="P522" s="11" t="n">
        <v>1.115183</v>
      </c>
      <c r="Q522" s="7" t="n">
        <v>213</v>
      </c>
      <c r="R522" s="7" t="n">
        <v>17</v>
      </c>
      <c r="S522" s="7" t="n">
        <v>0</v>
      </c>
      <c r="T522" s="7" t="n">
        <v>0</v>
      </c>
      <c r="U522" s="7" t="n">
        <v>198</v>
      </c>
      <c r="V522" s="7" t="n">
        <v>54</v>
      </c>
    </row>
    <row r="523" customFormat="false" ht="15" hidden="false" customHeight="false" outlineLevel="0" collapsed="false">
      <c r="A523" s="4" t="s">
        <v>1945</v>
      </c>
      <c r="B523" s="4" t="str">
        <f aca="false">IF(AND(I523&gt;='Read Me &amp; Markers'!$B$18,J523&gt;='Read Me &amp; Markers'!$B$19,L523&gt;='Read Me &amp; Markers'!$B$20),"A. Proven winner",IF(AND(I523&gt;='Read Me &amp; Markers'!$B$18,J523&gt;='Read Me &amp; Markers'!$B$19,L523&gt;='Read Me &amp; Markers'!$B$21),"B. Strong performer",IF(AND(I523&gt;='Read Me &amp; Markers'!$B$22,L523&gt;='Read Me &amp; Markers'!$B$23),"C. Scale workhorse",IF(AND(I523&gt;='Read Me &amp; Markers'!$B$24,I523&lt;'Read Me &amp; Markers'!$B$18,J523&gt;='Read Me &amp; Markers'!$B$25,L523&gt;='Read Me &amp; Markers'!$B$26),"D. Promising (needs more spend)",""))))</f>
        <v/>
      </c>
      <c r="C523" s="4" t="s">
        <v>121</v>
      </c>
      <c r="D523" s="4" t="s">
        <v>206</v>
      </c>
      <c r="E523" s="4" t="s">
        <v>207</v>
      </c>
      <c r="F523" s="4" t="s">
        <v>253</v>
      </c>
      <c r="G523" s="4" t="s">
        <v>208</v>
      </c>
      <c r="H523" s="4" t="s">
        <v>1946</v>
      </c>
      <c r="I523" s="5" t="n">
        <v>37.55</v>
      </c>
      <c r="J523" s="7" t="n">
        <v>0</v>
      </c>
      <c r="K523" s="5" t="n">
        <v>0</v>
      </c>
      <c r="L523" s="8" t="n">
        <v>0</v>
      </c>
      <c r="M523" s="9" t="n">
        <v>0</v>
      </c>
      <c r="N523" s="10" t="n">
        <v>0.02439024</v>
      </c>
      <c r="O523" s="5" t="n">
        <v>83.26</v>
      </c>
      <c r="P523" s="11" t="n">
        <v>1.183727</v>
      </c>
      <c r="Q523" s="7" t="n">
        <v>451</v>
      </c>
      <c r="R523" s="7" t="n">
        <v>11</v>
      </c>
      <c r="S523" s="7" t="n">
        <v>0</v>
      </c>
      <c r="T523" s="7" t="n">
        <v>0</v>
      </c>
      <c r="U523" s="7" t="n">
        <v>360</v>
      </c>
      <c r="V523" s="7" t="n">
        <v>12</v>
      </c>
    </row>
    <row r="524" customFormat="false" ht="15" hidden="false" customHeight="false" outlineLevel="0" collapsed="false">
      <c r="A524" s="4" t="s">
        <v>1947</v>
      </c>
      <c r="B524" s="4" t="str">
        <f aca="false">IF(AND(I524&gt;='Read Me &amp; Markers'!$B$18,J524&gt;='Read Me &amp; Markers'!$B$19,L524&gt;='Read Me &amp; Markers'!$B$20),"A. Proven winner",IF(AND(I524&gt;='Read Me &amp; Markers'!$B$18,J524&gt;='Read Me &amp; Markers'!$B$19,L524&gt;='Read Me &amp; Markers'!$B$21),"B. Strong performer",IF(AND(I524&gt;='Read Me &amp; Markers'!$B$22,L524&gt;='Read Me &amp; Markers'!$B$23),"C. Scale workhorse",IF(AND(I524&gt;='Read Me &amp; Markers'!$B$24,I524&lt;'Read Me &amp; Markers'!$B$18,J524&gt;='Read Me &amp; Markers'!$B$25,L524&gt;='Read Me &amp; Markers'!$B$26),"D. Promising (needs more spend)",""))))</f>
        <v/>
      </c>
      <c r="C524" s="4" t="s">
        <v>1948</v>
      </c>
      <c r="D524" s="4" t="s">
        <v>109</v>
      </c>
      <c r="E524" s="4" t="s">
        <v>1873</v>
      </c>
      <c r="F524" s="4" t="s">
        <v>87</v>
      </c>
      <c r="G524" s="4" t="s">
        <v>317</v>
      </c>
      <c r="H524" s="4" t="s">
        <v>1949</v>
      </c>
      <c r="I524" s="5" t="n">
        <v>37.43</v>
      </c>
      <c r="J524" s="7" t="n">
        <v>0</v>
      </c>
      <c r="K524" s="5" t="n">
        <v>0</v>
      </c>
      <c r="L524" s="8" t="n">
        <v>0</v>
      </c>
      <c r="M524" s="9" t="n">
        <v>0</v>
      </c>
      <c r="N524" s="10" t="n">
        <v>0.01100917</v>
      </c>
      <c r="O524" s="5" t="n">
        <v>68.68</v>
      </c>
      <c r="P524" s="11" t="n">
        <v>1.34901</v>
      </c>
      <c r="Q524" s="7" t="n">
        <v>545</v>
      </c>
      <c r="R524" s="7" t="n">
        <v>6</v>
      </c>
      <c r="S524" s="7" t="n">
        <v>0</v>
      </c>
      <c r="T524" s="7" t="n">
        <v>0</v>
      </c>
      <c r="U524" s="7" t="n">
        <v>0</v>
      </c>
      <c r="V524" s="7" t="n">
        <v>0</v>
      </c>
    </row>
    <row r="525" customFormat="false" ht="15" hidden="false" customHeight="false" outlineLevel="0" collapsed="false">
      <c r="A525" s="4" t="s">
        <v>1950</v>
      </c>
      <c r="B525" s="4" t="str">
        <f aca="false">IF(AND(I525&gt;='Read Me &amp; Markers'!$B$18,J525&gt;='Read Me &amp; Markers'!$B$19,L525&gt;='Read Me &amp; Markers'!$B$20),"A. Proven winner",IF(AND(I525&gt;='Read Me &amp; Markers'!$B$18,J525&gt;='Read Me &amp; Markers'!$B$19,L525&gt;='Read Me &amp; Markers'!$B$21),"B. Strong performer",IF(AND(I525&gt;='Read Me &amp; Markers'!$B$22,L525&gt;='Read Me &amp; Markers'!$B$23),"C. Scale workhorse",IF(AND(I525&gt;='Read Me &amp; Markers'!$B$24,I525&lt;'Read Me &amp; Markers'!$B$18,J525&gt;='Read Me &amp; Markers'!$B$25,L525&gt;='Read Me &amp; Markers'!$B$26),"D. Promising (needs more spend)",""))))</f>
        <v/>
      </c>
      <c r="C525" s="4" t="s">
        <v>1951</v>
      </c>
      <c r="D525" s="4" t="s">
        <v>100</v>
      </c>
      <c r="E525" s="4" t="s">
        <v>1952</v>
      </c>
      <c r="F525" s="4" t="s">
        <v>253</v>
      </c>
      <c r="G525" s="4" t="s">
        <v>984</v>
      </c>
      <c r="H525" s="4" t="s">
        <v>1953</v>
      </c>
      <c r="I525" s="5" t="n">
        <v>37.38</v>
      </c>
      <c r="J525" s="7" t="n">
        <v>0</v>
      </c>
      <c r="K525" s="5" t="n">
        <v>0</v>
      </c>
      <c r="L525" s="8" t="n">
        <v>0</v>
      </c>
      <c r="M525" s="9" t="n">
        <v>0</v>
      </c>
      <c r="N525" s="10" t="n">
        <v>0.03661972</v>
      </c>
      <c r="O525" s="5" t="n">
        <v>105.3</v>
      </c>
      <c r="P525" s="11" t="n">
        <v>1.504237</v>
      </c>
      <c r="Q525" s="7" t="n">
        <v>355</v>
      </c>
      <c r="R525" s="7" t="n">
        <v>13</v>
      </c>
      <c r="S525" s="7" t="n">
        <v>1</v>
      </c>
      <c r="T525" s="7" t="n">
        <v>1</v>
      </c>
      <c r="U525" s="7" t="n">
        <v>0</v>
      </c>
      <c r="V525" s="7" t="n">
        <v>0</v>
      </c>
    </row>
    <row r="526" customFormat="false" ht="15" hidden="false" customHeight="false" outlineLevel="0" collapsed="false">
      <c r="A526" s="4" t="s">
        <v>1954</v>
      </c>
      <c r="B526" s="4" t="str">
        <f aca="false">IF(AND(I526&gt;='Read Me &amp; Markers'!$B$18,J526&gt;='Read Me &amp; Markers'!$B$19,L526&gt;='Read Me &amp; Markers'!$B$20),"A. Proven winner",IF(AND(I526&gt;='Read Me &amp; Markers'!$B$18,J526&gt;='Read Me &amp; Markers'!$B$19,L526&gt;='Read Me &amp; Markers'!$B$21),"B. Strong performer",IF(AND(I526&gt;='Read Me &amp; Markers'!$B$22,L526&gt;='Read Me &amp; Markers'!$B$23),"C. Scale workhorse",IF(AND(I526&gt;='Read Me &amp; Markers'!$B$24,I526&lt;'Read Me &amp; Markers'!$B$18,J526&gt;='Read Me &amp; Markers'!$B$25,L526&gt;='Read Me &amp; Markers'!$B$26),"D. Promising (needs more spend)",""))))</f>
        <v/>
      </c>
      <c r="C526" s="4" t="s">
        <v>1955</v>
      </c>
      <c r="D526" s="4" t="s">
        <v>109</v>
      </c>
      <c r="E526" s="4" t="s">
        <v>360</v>
      </c>
      <c r="F526" s="4" t="s">
        <v>87</v>
      </c>
      <c r="G526" s="4" t="s">
        <v>361</v>
      </c>
      <c r="H526" s="4" t="s">
        <v>1956</v>
      </c>
      <c r="I526" s="5" t="n">
        <v>37.26</v>
      </c>
      <c r="J526" s="7" t="n">
        <v>1</v>
      </c>
      <c r="K526" s="5" t="n">
        <v>39.97</v>
      </c>
      <c r="L526" s="8" t="n">
        <v>1.072732</v>
      </c>
      <c r="M526" s="9" t="n">
        <v>37.26</v>
      </c>
      <c r="N526" s="10" t="n">
        <v>0.02816901</v>
      </c>
      <c r="O526" s="5" t="n">
        <v>74.97</v>
      </c>
      <c r="P526" s="11" t="n">
        <v>1.142529</v>
      </c>
      <c r="Q526" s="7" t="n">
        <v>497</v>
      </c>
      <c r="R526" s="7" t="n">
        <v>14</v>
      </c>
      <c r="S526" s="7" t="n">
        <v>3</v>
      </c>
      <c r="T526" s="7" t="n">
        <v>0</v>
      </c>
      <c r="U526" s="7" t="n">
        <v>0</v>
      </c>
      <c r="V526" s="7" t="n">
        <v>0</v>
      </c>
    </row>
    <row r="527" customFormat="false" ht="15" hidden="false" customHeight="false" outlineLevel="0" collapsed="false">
      <c r="A527" s="4" t="s">
        <v>1957</v>
      </c>
      <c r="B527" s="4" t="str">
        <f aca="false">IF(AND(I527&gt;='Read Me &amp; Markers'!$B$18,J527&gt;='Read Me &amp; Markers'!$B$19,L527&gt;='Read Me &amp; Markers'!$B$20),"A. Proven winner",IF(AND(I527&gt;='Read Me &amp; Markers'!$B$18,J527&gt;='Read Me &amp; Markers'!$B$19,L527&gt;='Read Me &amp; Markers'!$B$21),"B. Strong performer",IF(AND(I527&gt;='Read Me &amp; Markers'!$B$22,L527&gt;='Read Me &amp; Markers'!$B$23),"C. Scale workhorse",IF(AND(I527&gt;='Read Me &amp; Markers'!$B$24,I527&lt;'Read Me &amp; Markers'!$B$18,J527&gt;='Read Me &amp; Markers'!$B$25,L527&gt;='Read Me &amp; Markers'!$B$26),"D. Promising (needs more spend)",""))))</f>
        <v/>
      </c>
      <c r="C527" s="4" t="s">
        <v>129</v>
      </c>
      <c r="D527" s="4" t="s">
        <v>206</v>
      </c>
      <c r="E527" s="4" t="s">
        <v>1481</v>
      </c>
      <c r="F527" s="4" t="s">
        <v>253</v>
      </c>
      <c r="G527" s="4" t="s">
        <v>743</v>
      </c>
      <c r="H527" s="4" t="s">
        <v>1958</v>
      </c>
      <c r="I527" s="5" t="n">
        <v>37.22</v>
      </c>
      <c r="J527" s="7" t="n">
        <v>1</v>
      </c>
      <c r="K527" s="5" t="n">
        <v>79.97</v>
      </c>
      <c r="L527" s="8" t="n">
        <v>2.148576</v>
      </c>
      <c r="M527" s="9" t="n">
        <v>37.22</v>
      </c>
      <c r="N527" s="10" t="n">
        <v>0.02702703</v>
      </c>
      <c r="O527" s="5" t="n">
        <v>125.74</v>
      </c>
      <c r="P527" s="11" t="n">
        <v>1.151751</v>
      </c>
      <c r="Q527" s="7" t="n">
        <v>296</v>
      </c>
      <c r="R527" s="7" t="n">
        <v>8</v>
      </c>
      <c r="S527" s="7" t="n">
        <v>1</v>
      </c>
      <c r="T527" s="7" t="n">
        <v>1</v>
      </c>
      <c r="U527" s="7" t="n">
        <v>249</v>
      </c>
      <c r="V527" s="7" t="n">
        <v>21</v>
      </c>
    </row>
    <row r="528" customFormat="false" ht="15" hidden="false" customHeight="false" outlineLevel="0" collapsed="false">
      <c r="A528" s="4" t="s">
        <v>1959</v>
      </c>
      <c r="B528" s="4" t="str">
        <f aca="false">IF(AND(I528&gt;='Read Me &amp; Markers'!$B$18,J528&gt;='Read Me &amp; Markers'!$B$19,L528&gt;='Read Me &amp; Markers'!$B$20),"A. Proven winner",IF(AND(I528&gt;='Read Me &amp; Markers'!$B$18,J528&gt;='Read Me &amp; Markers'!$B$19,L528&gt;='Read Me &amp; Markers'!$B$21),"B. Strong performer",IF(AND(I528&gt;='Read Me &amp; Markers'!$B$22,L528&gt;='Read Me &amp; Markers'!$B$23),"C. Scale workhorse",IF(AND(I528&gt;='Read Me &amp; Markers'!$B$24,I528&lt;'Read Me &amp; Markers'!$B$18,J528&gt;='Read Me &amp; Markers'!$B$25,L528&gt;='Read Me &amp; Markers'!$B$26),"D. Promising (needs more spend)",""))))</f>
        <v/>
      </c>
      <c r="C528" s="4" t="s">
        <v>1960</v>
      </c>
      <c r="D528" s="4" t="s">
        <v>109</v>
      </c>
      <c r="E528" s="4" t="s">
        <v>1858</v>
      </c>
      <c r="F528" s="4" t="s">
        <v>87</v>
      </c>
      <c r="G528" s="4" t="s">
        <v>378</v>
      </c>
      <c r="H528" s="4" t="s">
        <v>1961</v>
      </c>
      <c r="I528" s="5" t="n">
        <v>37.18</v>
      </c>
      <c r="J528" s="7" t="n">
        <v>0</v>
      </c>
      <c r="K528" s="5" t="n">
        <v>0</v>
      </c>
      <c r="L528" s="8" t="n">
        <v>0</v>
      </c>
      <c r="M528" s="9" t="n">
        <v>0</v>
      </c>
      <c r="N528" s="10" t="n">
        <v>0.05633803</v>
      </c>
      <c r="O528" s="5" t="n">
        <v>174.55</v>
      </c>
      <c r="P528" s="11" t="n">
        <v>1.049261</v>
      </c>
      <c r="Q528" s="7" t="n">
        <v>213</v>
      </c>
      <c r="R528" s="7" t="n">
        <v>12</v>
      </c>
      <c r="S528" s="7" t="n">
        <v>1</v>
      </c>
      <c r="T528" s="7" t="n">
        <v>1</v>
      </c>
      <c r="U528" s="7" t="n">
        <v>193</v>
      </c>
      <c r="V528" s="7" t="n">
        <v>34</v>
      </c>
    </row>
    <row r="529" customFormat="false" ht="15" hidden="false" customHeight="false" outlineLevel="0" collapsed="false">
      <c r="A529" s="4" t="s">
        <v>1962</v>
      </c>
      <c r="B529" s="4" t="str">
        <f aca="false">IF(AND(I529&gt;='Read Me &amp; Markers'!$B$18,J529&gt;='Read Me &amp; Markers'!$B$19,L529&gt;='Read Me &amp; Markers'!$B$20),"A. Proven winner",IF(AND(I529&gt;='Read Me &amp; Markers'!$B$18,J529&gt;='Read Me &amp; Markers'!$B$19,L529&gt;='Read Me &amp; Markers'!$B$21),"B. Strong performer",IF(AND(I529&gt;='Read Me &amp; Markers'!$B$22,L529&gt;='Read Me &amp; Markers'!$B$23),"C. Scale workhorse",IF(AND(I529&gt;='Read Me &amp; Markers'!$B$24,I529&lt;'Read Me &amp; Markers'!$B$18,J529&gt;='Read Me &amp; Markers'!$B$25,L529&gt;='Read Me &amp; Markers'!$B$26),"D. Promising (needs more spend)",""))))</f>
        <v/>
      </c>
      <c r="C529" s="4" t="s">
        <v>1963</v>
      </c>
      <c r="D529" s="4" t="s">
        <v>109</v>
      </c>
      <c r="E529" s="4" t="s">
        <v>435</v>
      </c>
      <c r="F529" s="4" t="s">
        <v>111</v>
      </c>
      <c r="G529" s="4" t="s">
        <v>500</v>
      </c>
      <c r="H529" s="4" t="s">
        <v>1964</v>
      </c>
      <c r="I529" s="5" t="n">
        <v>37.15</v>
      </c>
      <c r="J529" s="7" t="n">
        <v>0</v>
      </c>
      <c r="K529" s="5" t="n">
        <v>0</v>
      </c>
      <c r="L529" s="8" t="n">
        <v>0</v>
      </c>
      <c r="M529" s="9" t="n">
        <v>0</v>
      </c>
      <c r="N529" s="10" t="n">
        <v>0.03468208</v>
      </c>
      <c r="O529" s="5" t="n">
        <v>214.74</v>
      </c>
      <c r="P529" s="11" t="n">
        <v>1.108974</v>
      </c>
      <c r="Q529" s="7" t="n">
        <v>173</v>
      </c>
      <c r="R529" s="7" t="n">
        <v>6</v>
      </c>
      <c r="S529" s="7" t="n">
        <v>0</v>
      </c>
      <c r="T529" s="7" t="n">
        <v>0</v>
      </c>
      <c r="U529" s="7" t="n">
        <v>171</v>
      </c>
      <c r="V529" s="7" t="n">
        <v>26</v>
      </c>
    </row>
    <row r="530" customFormat="false" ht="15" hidden="false" customHeight="false" outlineLevel="0" collapsed="false">
      <c r="A530" s="4" t="s">
        <v>1965</v>
      </c>
      <c r="B530" s="4" t="str">
        <f aca="false">IF(AND(I530&gt;='Read Me &amp; Markers'!$B$18,J530&gt;='Read Me &amp; Markers'!$B$19,L530&gt;='Read Me &amp; Markers'!$B$20),"A. Proven winner",IF(AND(I530&gt;='Read Me &amp; Markers'!$B$18,J530&gt;='Read Me &amp; Markers'!$B$19,L530&gt;='Read Me &amp; Markers'!$B$21),"B. Strong performer",IF(AND(I530&gt;='Read Me &amp; Markers'!$B$22,L530&gt;='Read Me &amp; Markers'!$B$23),"C. Scale workhorse",IF(AND(I530&gt;='Read Me &amp; Markers'!$B$24,I530&lt;'Read Me &amp; Markers'!$B$18,J530&gt;='Read Me &amp; Markers'!$B$25,L530&gt;='Read Me &amp; Markers'!$B$26),"D. Promising (needs more spend)",""))))</f>
        <v/>
      </c>
      <c r="C530" s="4" t="s">
        <v>1966</v>
      </c>
      <c r="D530" s="4" t="s">
        <v>109</v>
      </c>
      <c r="E530" s="4" t="s">
        <v>435</v>
      </c>
      <c r="F530" s="4" t="s">
        <v>111</v>
      </c>
      <c r="G530" s="4" t="s">
        <v>500</v>
      </c>
      <c r="H530" s="4" t="s">
        <v>1967</v>
      </c>
      <c r="I530" s="5" t="n">
        <v>36.96</v>
      </c>
      <c r="J530" s="7" t="n">
        <v>0</v>
      </c>
      <c r="K530" s="5" t="n">
        <v>0</v>
      </c>
      <c r="L530" s="8" t="n">
        <v>0</v>
      </c>
      <c r="M530" s="9" t="n">
        <v>0</v>
      </c>
      <c r="N530" s="10" t="n">
        <v>0.09174312</v>
      </c>
      <c r="O530" s="5" t="n">
        <v>339.08</v>
      </c>
      <c r="P530" s="11" t="n">
        <v>1.159574</v>
      </c>
      <c r="Q530" s="7" t="n">
        <v>109</v>
      </c>
      <c r="R530" s="7" t="n">
        <v>10</v>
      </c>
      <c r="S530" s="7" t="n">
        <v>0</v>
      </c>
      <c r="T530" s="7" t="n">
        <v>1</v>
      </c>
      <c r="U530" s="7" t="n">
        <v>105</v>
      </c>
      <c r="V530" s="7" t="n">
        <v>22</v>
      </c>
    </row>
    <row r="531" customFormat="false" ht="15" hidden="false" customHeight="false" outlineLevel="0" collapsed="false">
      <c r="A531" s="4" t="s">
        <v>1968</v>
      </c>
      <c r="B531" s="4" t="str">
        <f aca="false">IF(AND(I531&gt;='Read Me &amp; Markers'!$B$18,J531&gt;='Read Me &amp; Markers'!$B$19,L531&gt;='Read Me &amp; Markers'!$B$20),"A. Proven winner",IF(AND(I531&gt;='Read Me &amp; Markers'!$B$18,J531&gt;='Read Me &amp; Markers'!$B$19,L531&gt;='Read Me &amp; Markers'!$B$21),"B. Strong performer",IF(AND(I531&gt;='Read Me &amp; Markers'!$B$22,L531&gt;='Read Me &amp; Markers'!$B$23),"C. Scale workhorse",IF(AND(I531&gt;='Read Me &amp; Markers'!$B$24,I531&lt;'Read Me &amp; Markers'!$B$18,J531&gt;='Read Me &amp; Markers'!$B$25,L531&gt;='Read Me &amp; Markers'!$B$26),"D. Promising (needs more spend)",""))))</f>
        <v/>
      </c>
      <c r="C531" s="4" t="s">
        <v>121</v>
      </c>
      <c r="D531" s="4" t="s">
        <v>206</v>
      </c>
      <c r="E531" s="4" t="s">
        <v>1969</v>
      </c>
      <c r="F531" s="4" t="s">
        <v>87</v>
      </c>
      <c r="G531" s="4" t="s">
        <v>743</v>
      </c>
      <c r="H531" s="4" t="s">
        <v>1970</v>
      </c>
      <c r="I531" s="5" t="n">
        <v>36.77</v>
      </c>
      <c r="J531" s="7" t="n">
        <v>0</v>
      </c>
      <c r="K531" s="5" t="n">
        <v>0</v>
      </c>
      <c r="L531" s="8" t="n">
        <v>0</v>
      </c>
      <c r="M531" s="9" t="n">
        <v>0</v>
      </c>
      <c r="N531" s="10" t="n">
        <v>0.0304878</v>
      </c>
      <c r="O531" s="5" t="n">
        <v>112.1</v>
      </c>
      <c r="P531" s="11" t="n">
        <v>1.175627</v>
      </c>
      <c r="Q531" s="7" t="n">
        <v>328</v>
      </c>
      <c r="R531" s="7" t="n">
        <v>10</v>
      </c>
      <c r="S531" s="7" t="n">
        <v>0</v>
      </c>
      <c r="T531" s="7" t="n">
        <v>0</v>
      </c>
      <c r="U531" s="7" t="n">
        <v>263</v>
      </c>
      <c r="V531" s="7" t="n">
        <v>31</v>
      </c>
    </row>
    <row r="532" customFormat="false" ht="15" hidden="false" customHeight="false" outlineLevel="0" collapsed="false">
      <c r="A532" s="4" t="s">
        <v>1971</v>
      </c>
      <c r="B532" s="4" t="str">
        <f aca="false">IF(AND(I532&gt;='Read Me &amp; Markers'!$B$18,J532&gt;='Read Me &amp; Markers'!$B$19,L532&gt;='Read Me &amp; Markers'!$B$20),"A. Proven winner",IF(AND(I532&gt;='Read Me &amp; Markers'!$B$18,J532&gt;='Read Me &amp; Markers'!$B$19,L532&gt;='Read Me &amp; Markers'!$B$21),"B. Strong performer",IF(AND(I532&gt;='Read Me &amp; Markers'!$B$22,L532&gt;='Read Me &amp; Markers'!$B$23),"C. Scale workhorse",IF(AND(I532&gt;='Read Me &amp; Markers'!$B$24,I532&lt;'Read Me &amp; Markers'!$B$18,J532&gt;='Read Me &amp; Markers'!$B$25,L532&gt;='Read Me &amp; Markers'!$B$26),"D. Promising (needs more spend)",""))))</f>
        <v/>
      </c>
      <c r="C532" s="4" t="s">
        <v>1972</v>
      </c>
      <c r="D532" s="4" t="s">
        <v>109</v>
      </c>
      <c r="E532" s="4" t="s">
        <v>110</v>
      </c>
      <c r="F532" s="4" t="s">
        <v>87</v>
      </c>
      <c r="G532" s="4" t="s">
        <v>112</v>
      </c>
      <c r="H532" s="4" t="s">
        <v>1973</v>
      </c>
      <c r="I532" s="5" t="n">
        <v>36.7</v>
      </c>
      <c r="J532" s="7" t="n">
        <v>0</v>
      </c>
      <c r="K532" s="5" t="n">
        <v>0</v>
      </c>
      <c r="L532" s="8" t="n">
        <v>0</v>
      </c>
      <c r="M532" s="9" t="n">
        <v>0</v>
      </c>
      <c r="N532" s="10" t="n">
        <v>0.00565771</v>
      </c>
      <c r="O532" s="5" t="n">
        <v>51.91</v>
      </c>
      <c r="P532" s="11" t="n">
        <v>1.186242</v>
      </c>
      <c r="Q532" s="7" t="n">
        <v>707</v>
      </c>
      <c r="R532" s="7" t="n">
        <v>4</v>
      </c>
      <c r="S532" s="7" t="n">
        <v>0</v>
      </c>
      <c r="T532" s="7" t="n">
        <v>0</v>
      </c>
      <c r="U532" s="7" t="n">
        <v>0</v>
      </c>
      <c r="V532" s="7" t="n">
        <v>0</v>
      </c>
    </row>
    <row r="533" customFormat="false" ht="15" hidden="false" customHeight="false" outlineLevel="0" collapsed="false">
      <c r="A533" s="4" t="s">
        <v>1974</v>
      </c>
      <c r="B533" s="4" t="str">
        <f aca="false">IF(AND(I533&gt;='Read Me &amp; Markers'!$B$18,J533&gt;='Read Me &amp; Markers'!$B$19,L533&gt;='Read Me &amp; Markers'!$B$20),"A. Proven winner",IF(AND(I533&gt;='Read Me &amp; Markers'!$B$18,J533&gt;='Read Me &amp; Markers'!$B$19,L533&gt;='Read Me &amp; Markers'!$B$21),"B. Strong performer",IF(AND(I533&gt;='Read Me &amp; Markers'!$B$22,L533&gt;='Read Me &amp; Markers'!$B$23),"C. Scale workhorse",IF(AND(I533&gt;='Read Me &amp; Markers'!$B$24,I533&lt;'Read Me &amp; Markers'!$B$18,J533&gt;='Read Me &amp; Markers'!$B$25,L533&gt;='Read Me &amp; Markers'!$B$26),"D. Promising (needs more spend)",""))))</f>
        <v/>
      </c>
      <c r="C533" s="4" t="s">
        <v>121</v>
      </c>
      <c r="D533" s="4" t="s">
        <v>154</v>
      </c>
      <c r="E533" s="4" t="s">
        <v>1975</v>
      </c>
      <c r="F533" s="4" t="s">
        <v>87</v>
      </c>
      <c r="G533" s="4" t="s">
        <v>941</v>
      </c>
      <c r="H533" s="4" t="s">
        <v>1976</v>
      </c>
      <c r="I533" s="5" t="n">
        <v>36.59</v>
      </c>
      <c r="J533" s="7" t="n">
        <v>0</v>
      </c>
      <c r="K533" s="5" t="n">
        <v>0</v>
      </c>
      <c r="L533" s="8" t="n">
        <v>0</v>
      </c>
      <c r="M533" s="9" t="n">
        <v>0</v>
      </c>
      <c r="N533" s="10" t="n">
        <v>0.04008439</v>
      </c>
      <c r="O533" s="5" t="n">
        <v>77.19</v>
      </c>
      <c r="P533" s="11" t="n">
        <v>1.167488</v>
      </c>
      <c r="Q533" s="7" t="n">
        <v>474</v>
      </c>
      <c r="R533" s="7" t="n">
        <v>19</v>
      </c>
      <c r="S533" s="7" t="n">
        <v>0</v>
      </c>
      <c r="T533" s="7" t="n">
        <v>0</v>
      </c>
      <c r="U533" s="7" t="n">
        <v>420</v>
      </c>
      <c r="V533" s="7" t="n">
        <v>23</v>
      </c>
    </row>
    <row r="534" customFormat="false" ht="15" hidden="false" customHeight="false" outlineLevel="0" collapsed="false">
      <c r="A534" s="4" t="s">
        <v>1977</v>
      </c>
      <c r="B534" s="4" t="str">
        <f aca="false">IF(AND(I534&gt;='Read Me &amp; Markers'!$B$18,J534&gt;='Read Me &amp; Markers'!$B$19,L534&gt;='Read Me &amp; Markers'!$B$20),"A. Proven winner",IF(AND(I534&gt;='Read Me &amp; Markers'!$B$18,J534&gt;='Read Me &amp; Markers'!$B$19,L534&gt;='Read Me &amp; Markers'!$B$21),"B. Strong performer",IF(AND(I534&gt;='Read Me &amp; Markers'!$B$22,L534&gt;='Read Me &amp; Markers'!$B$23),"C. Scale workhorse",IF(AND(I534&gt;='Read Me &amp; Markers'!$B$24,I534&lt;'Read Me &amp; Markers'!$B$18,J534&gt;='Read Me &amp; Markers'!$B$25,L534&gt;='Read Me &amp; Markers'!$B$26),"D. Promising (needs more spend)",""))))</f>
        <v/>
      </c>
      <c r="C534" s="4" t="s">
        <v>129</v>
      </c>
      <c r="D534" s="4" t="s">
        <v>100</v>
      </c>
      <c r="E534" s="4" t="s">
        <v>1978</v>
      </c>
      <c r="F534" s="4" t="s">
        <v>253</v>
      </c>
      <c r="G534" s="4" t="s">
        <v>1729</v>
      </c>
      <c r="H534" s="4" t="s">
        <v>1979</v>
      </c>
      <c r="I534" s="5" t="n">
        <v>36.52</v>
      </c>
      <c r="J534" s="7" t="n">
        <v>0</v>
      </c>
      <c r="K534" s="5" t="n">
        <v>0</v>
      </c>
      <c r="L534" s="8" t="n">
        <v>0</v>
      </c>
      <c r="M534" s="9" t="n">
        <v>0</v>
      </c>
      <c r="N534" s="10" t="n">
        <v>0.04040404</v>
      </c>
      <c r="O534" s="5" t="n">
        <v>122.96</v>
      </c>
      <c r="P534" s="11" t="n">
        <v>1.212245</v>
      </c>
      <c r="Q534" s="7" t="n">
        <v>297</v>
      </c>
      <c r="R534" s="7" t="n">
        <v>12</v>
      </c>
      <c r="S534" s="7" t="n">
        <v>0</v>
      </c>
      <c r="T534" s="7" t="n">
        <v>0</v>
      </c>
      <c r="U534" s="7" t="n">
        <v>247</v>
      </c>
      <c r="V534" s="7" t="n">
        <v>33</v>
      </c>
    </row>
    <row r="535" customFormat="false" ht="15" hidden="false" customHeight="false" outlineLevel="0" collapsed="false">
      <c r="A535" s="4" t="s">
        <v>1980</v>
      </c>
      <c r="B535" s="4" t="str">
        <f aca="false">IF(AND(I535&gt;='Read Me &amp; Markers'!$B$18,J535&gt;='Read Me &amp; Markers'!$B$19,L535&gt;='Read Me &amp; Markers'!$B$20),"A. Proven winner",IF(AND(I535&gt;='Read Me &amp; Markers'!$B$18,J535&gt;='Read Me &amp; Markers'!$B$19,L535&gt;='Read Me &amp; Markers'!$B$21),"B. Strong performer",IF(AND(I535&gt;='Read Me &amp; Markers'!$B$22,L535&gt;='Read Me &amp; Markers'!$B$23),"C. Scale workhorse",IF(AND(I535&gt;='Read Me &amp; Markers'!$B$24,I535&lt;'Read Me &amp; Markers'!$B$18,J535&gt;='Read Me &amp; Markers'!$B$25,L535&gt;='Read Me &amp; Markers'!$B$26),"D. Promising (needs more spend)",""))))</f>
        <v/>
      </c>
      <c r="C535" s="4" t="s">
        <v>1981</v>
      </c>
      <c r="D535" s="4" t="s">
        <v>109</v>
      </c>
      <c r="E535" s="4" t="s">
        <v>1873</v>
      </c>
      <c r="F535" s="4" t="s">
        <v>87</v>
      </c>
      <c r="G535" s="4" t="s">
        <v>317</v>
      </c>
      <c r="H535" s="4" t="s">
        <v>1982</v>
      </c>
      <c r="I535" s="5" t="n">
        <v>36.46</v>
      </c>
      <c r="J535" s="7" t="n">
        <v>0</v>
      </c>
      <c r="K535" s="5" t="n">
        <v>0</v>
      </c>
      <c r="L535" s="8" t="n">
        <v>0</v>
      </c>
      <c r="M535" s="9" t="n">
        <v>0</v>
      </c>
      <c r="N535" s="10" t="n">
        <v>0.03100775</v>
      </c>
      <c r="O535" s="5" t="n">
        <v>70.66</v>
      </c>
      <c r="P535" s="11" t="n">
        <v>1.136564</v>
      </c>
      <c r="Q535" s="7" t="n">
        <v>516</v>
      </c>
      <c r="R535" s="7" t="n">
        <v>16</v>
      </c>
      <c r="S535" s="7" t="n">
        <v>0</v>
      </c>
      <c r="T535" s="7" t="n">
        <v>0</v>
      </c>
      <c r="U535" s="7" t="n">
        <v>0</v>
      </c>
      <c r="V535" s="7" t="n">
        <v>0</v>
      </c>
    </row>
    <row r="536" customFormat="false" ht="15" hidden="false" customHeight="false" outlineLevel="0" collapsed="false">
      <c r="A536" s="4" t="s">
        <v>1983</v>
      </c>
      <c r="B536" s="4" t="str">
        <f aca="false">IF(AND(I536&gt;='Read Me &amp; Markers'!$B$18,J536&gt;='Read Me &amp; Markers'!$B$19,L536&gt;='Read Me &amp; Markers'!$B$20),"A. Proven winner",IF(AND(I536&gt;='Read Me &amp; Markers'!$B$18,J536&gt;='Read Me &amp; Markers'!$B$19,L536&gt;='Read Me &amp; Markers'!$B$21),"B. Strong performer",IF(AND(I536&gt;='Read Me &amp; Markers'!$B$22,L536&gt;='Read Me &amp; Markers'!$B$23),"C. Scale workhorse",IF(AND(I536&gt;='Read Me &amp; Markers'!$B$24,I536&lt;'Read Me &amp; Markers'!$B$18,J536&gt;='Read Me &amp; Markers'!$B$25,L536&gt;='Read Me &amp; Markers'!$B$26),"D. Promising (needs more spend)",""))))</f>
        <v/>
      </c>
      <c r="C536" s="4" t="s">
        <v>129</v>
      </c>
      <c r="D536" s="4" t="s">
        <v>154</v>
      </c>
      <c r="E536" s="4" t="s">
        <v>1984</v>
      </c>
      <c r="F536" s="4" t="s">
        <v>87</v>
      </c>
      <c r="G536" s="4" t="s">
        <v>1093</v>
      </c>
      <c r="H536" s="4" t="s">
        <v>1985</v>
      </c>
      <c r="I536" s="5" t="n">
        <v>36.3</v>
      </c>
      <c r="J536" s="7" t="n">
        <v>0</v>
      </c>
      <c r="K536" s="5" t="n">
        <v>0</v>
      </c>
      <c r="L536" s="8" t="n">
        <v>0</v>
      </c>
      <c r="M536" s="9" t="n">
        <v>0</v>
      </c>
      <c r="N536" s="10" t="n">
        <v>0.02281369</v>
      </c>
      <c r="O536" s="5" t="n">
        <v>46.01</v>
      </c>
      <c r="P536" s="11" t="n">
        <v>1.272581</v>
      </c>
      <c r="Q536" s="7" t="n">
        <v>789</v>
      </c>
      <c r="R536" s="7" t="n">
        <v>18</v>
      </c>
      <c r="S536" s="7" t="n">
        <v>1</v>
      </c>
      <c r="T536" s="7" t="n">
        <v>1</v>
      </c>
      <c r="U536" s="7" t="n">
        <v>590</v>
      </c>
      <c r="V536" s="7" t="n">
        <v>66</v>
      </c>
    </row>
    <row r="537" customFormat="false" ht="15" hidden="false" customHeight="false" outlineLevel="0" collapsed="false">
      <c r="A537" s="4" t="s">
        <v>1986</v>
      </c>
      <c r="B537" s="4" t="str">
        <f aca="false">IF(AND(I537&gt;='Read Me &amp; Markers'!$B$18,J537&gt;='Read Me &amp; Markers'!$B$19,L537&gt;='Read Me &amp; Markers'!$B$20),"A. Proven winner",IF(AND(I537&gt;='Read Me &amp; Markers'!$B$18,J537&gt;='Read Me &amp; Markers'!$B$19,L537&gt;='Read Me &amp; Markers'!$B$21),"B. Strong performer",IF(AND(I537&gt;='Read Me &amp; Markers'!$B$22,L537&gt;='Read Me &amp; Markers'!$B$23),"C. Scale workhorse",IF(AND(I537&gt;='Read Me &amp; Markers'!$B$24,I537&lt;'Read Me &amp; Markers'!$B$18,J537&gt;='Read Me &amp; Markers'!$B$25,L537&gt;='Read Me &amp; Markers'!$B$26),"D. Promising (needs more spend)",""))))</f>
        <v/>
      </c>
      <c r="C537" s="4" t="s">
        <v>129</v>
      </c>
      <c r="D537" s="4" t="s">
        <v>154</v>
      </c>
      <c r="E537" s="4" t="s">
        <v>1987</v>
      </c>
      <c r="F537" s="4" t="s">
        <v>87</v>
      </c>
      <c r="G537" s="4" t="s">
        <v>1093</v>
      </c>
      <c r="H537" s="4" t="s">
        <v>1988</v>
      </c>
      <c r="I537" s="5" t="n">
        <v>36.09</v>
      </c>
      <c r="J537" s="7" t="n">
        <v>0</v>
      </c>
      <c r="K537" s="5" t="n">
        <v>0</v>
      </c>
      <c r="L537" s="8" t="n">
        <v>0</v>
      </c>
      <c r="M537" s="9" t="n">
        <v>0</v>
      </c>
      <c r="N537" s="10" t="n">
        <v>0.03993056</v>
      </c>
      <c r="O537" s="5" t="n">
        <v>62.66</v>
      </c>
      <c r="P537" s="11" t="n">
        <v>1.156627</v>
      </c>
      <c r="Q537" s="7" t="n">
        <v>576</v>
      </c>
      <c r="R537" s="7" t="n">
        <v>23</v>
      </c>
      <c r="S537" s="7" t="n">
        <v>1</v>
      </c>
      <c r="T537" s="7" t="n">
        <v>1</v>
      </c>
      <c r="U537" s="7" t="n">
        <v>513</v>
      </c>
      <c r="V537" s="7" t="n">
        <v>83</v>
      </c>
    </row>
    <row r="538" customFormat="false" ht="15" hidden="false" customHeight="false" outlineLevel="0" collapsed="false">
      <c r="A538" s="4" t="s">
        <v>1989</v>
      </c>
      <c r="B538" s="4" t="str">
        <f aca="false">IF(AND(I538&gt;='Read Me &amp; Markers'!$B$18,J538&gt;='Read Me &amp; Markers'!$B$19,L538&gt;='Read Me &amp; Markers'!$B$20),"A. Proven winner",IF(AND(I538&gt;='Read Me &amp; Markers'!$B$18,J538&gt;='Read Me &amp; Markers'!$B$19,L538&gt;='Read Me &amp; Markers'!$B$21),"B. Strong performer",IF(AND(I538&gt;='Read Me &amp; Markers'!$B$22,L538&gt;='Read Me &amp; Markers'!$B$23),"C. Scale workhorse",IF(AND(I538&gt;='Read Me &amp; Markers'!$B$24,I538&lt;'Read Me &amp; Markers'!$B$18,J538&gt;='Read Me &amp; Markers'!$B$25,L538&gt;='Read Me &amp; Markers'!$B$26),"D. Promising (needs more spend)",""))))</f>
        <v/>
      </c>
      <c r="C538" s="4" t="s">
        <v>129</v>
      </c>
      <c r="D538" s="4" t="s">
        <v>100</v>
      </c>
      <c r="E538" s="4" t="s">
        <v>954</v>
      </c>
      <c r="F538" s="4" t="s">
        <v>87</v>
      </c>
      <c r="G538" s="4" t="s">
        <v>132</v>
      </c>
      <c r="H538" s="4" t="s">
        <v>1990</v>
      </c>
      <c r="I538" s="5" t="n">
        <v>35.78</v>
      </c>
      <c r="J538" s="7" t="n">
        <v>0</v>
      </c>
      <c r="K538" s="5" t="n">
        <v>0</v>
      </c>
      <c r="L538" s="8" t="n">
        <v>0</v>
      </c>
      <c r="M538" s="9" t="n">
        <v>0</v>
      </c>
      <c r="N538" s="10" t="n">
        <v>0.06451613</v>
      </c>
      <c r="O538" s="5" t="n">
        <v>164.88</v>
      </c>
      <c r="P538" s="11" t="n">
        <v>1.074257</v>
      </c>
      <c r="Q538" s="7" t="n">
        <v>217</v>
      </c>
      <c r="R538" s="7" t="n">
        <v>14</v>
      </c>
      <c r="S538" s="7" t="n">
        <v>0</v>
      </c>
      <c r="T538" s="7" t="n">
        <v>0</v>
      </c>
      <c r="U538" s="7" t="n">
        <v>185</v>
      </c>
      <c r="V538" s="7" t="n">
        <v>44</v>
      </c>
    </row>
    <row r="539" customFormat="false" ht="15" hidden="false" customHeight="false" outlineLevel="0" collapsed="false">
      <c r="A539" s="4" t="s">
        <v>1991</v>
      </c>
      <c r="B539" s="4" t="str">
        <f aca="false">IF(AND(I539&gt;='Read Me &amp; Markers'!$B$18,J539&gt;='Read Me &amp; Markers'!$B$19,L539&gt;='Read Me &amp; Markers'!$B$20),"A. Proven winner",IF(AND(I539&gt;='Read Me &amp; Markers'!$B$18,J539&gt;='Read Me &amp; Markers'!$B$19,L539&gt;='Read Me &amp; Markers'!$B$21),"B. Strong performer",IF(AND(I539&gt;='Read Me &amp; Markers'!$B$22,L539&gt;='Read Me &amp; Markers'!$B$23),"C. Scale workhorse",IF(AND(I539&gt;='Read Me &amp; Markers'!$B$24,I539&lt;'Read Me &amp; Markers'!$B$18,J539&gt;='Read Me &amp; Markers'!$B$25,L539&gt;='Read Me &amp; Markers'!$B$26),"D. Promising (needs more spend)",""))))</f>
        <v/>
      </c>
      <c r="C539" s="4" t="s">
        <v>121</v>
      </c>
      <c r="D539" s="4" t="s">
        <v>154</v>
      </c>
      <c r="E539" s="4" t="s">
        <v>1992</v>
      </c>
      <c r="F539" s="4" t="s">
        <v>87</v>
      </c>
      <c r="G539" s="4" t="s">
        <v>440</v>
      </c>
      <c r="H539" s="4" t="s">
        <v>1993</v>
      </c>
      <c r="I539" s="5" t="n">
        <v>35.62</v>
      </c>
      <c r="J539" s="7" t="n">
        <v>0</v>
      </c>
      <c r="K539" s="5" t="n">
        <v>0</v>
      </c>
      <c r="L539" s="8" t="n">
        <v>0</v>
      </c>
      <c r="M539" s="9" t="n">
        <v>0</v>
      </c>
      <c r="N539" s="10" t="n">
        <v>0.06103286</v>
      </c>
      <c r="O539" s="5" t="n">
        <v>83.62</v>
      </c>
      <c r="P539" s="11" t="n">
        <v>1.249267</v>
      </c>
      <c r="Q539" s="7" t="n">
        <v>426</v>
      </c>
      <c r="R539" s="7" t="n">
        <v>26</v>
      </c>
      <c r="S539" s="7" t="n">
        <v>3</v>
      </c>
      <c r="T539" s="7" t="n">
        <v>0</v>
      </c>
      <c r="U539" s="7" t="n">
        <v>379</v>
      </c>
      <c r="V539" s="7" t="n">
        <v>40</v>
      </c>
    </row>
    <row r="540" customFormat="false" ht="15" hidden="false" customHeight="false" outlineLevel="0" collapsed="false">
      <c r="A540" s="4" t="s">
        <v>1994</v>
      </c>
      <c r="B540" s="4" t="str">
        <f aca="false">IF(AND(I540&gt;='Read Me &amp; Markers'!$B$18,J540&gt;='Read Me &amp; Markers'!$B$19,L540&gt;='Read Me &amp; Markers'!$B$20),"A. Proven winner",IF(AND(I540&gt;='Read Me &amp; Markers'!$B$18,J540&gt;='Read Me &amp; Markers'!$B$19,L540&gt;='Read Me &amp; Markers'!$B$21),"B. Strong performer",IF(AND(I540&gt;='Read Me &amp; Markers'!$B$22,L540&gt;='Read Me &amp; Markers'!$B$23),"C. Scale workhorse",IF(AND(I540&gt;='Read Me &amp; Markers'!$B$24,I540&lt;'Read Me &amp; Markers'!$B$18,J540&gt;='Read Me &amp; Markers'!$B$25,L540&gt;='Read Me &amp; Markers'!$B$26),"D. Promising (needs more spend)",""))))</f>
        <v/>
      </c>
      <c r="C540" s="4" t="s">
        <v>1995</v>
      </c>
      <c r="D540" s="4" t="s">
        <v>109</v>
      </c>
      <c r="E540" s="4" t="s">
        <v>435</v>
      </c>
      <c r="F540" s="4" t="s">
        <v>111</v>
      </c>
      <c r="G540" s="4" t="s">
        <v>500</v>
      </c>
      <c r="H540" s="4" t="s">
        <v>1996</v>
      </c>
      <c r="I540" s="5" t="n">
        <v>35.52</v>
      </c>
      <c r="J540" s="7" t="n">
        <v>1</v>
      </c>
      <c r="K540" s="5" t="n">
        <v>45.95</v>
      </c>
      <c r="L540" s="8" t="n">
        <v>1.293637</v>
      </c>
      <c r="M540" s="9" t="n">
        <v>35.52</v>
      </c>
      <c r="N540" s="10" t="n">
        <v>0.05780347</v>
      </c>
      <c r="O540" s="5" t="n">
        <v>205.32</v>
      </c>
      <c r="P540" s="11" t="n">
        <v>1.067901</v>
      </c>
      <c r="Q540" s="7" t="n">
        <v>173</v>
      </c>
      <c r="R540" s="7" t="n">
        <v>10</v>
      </c>
      <c r="S540" s="7" t="n">
        <v>3</v>
      </c>
      <c r="T540" s="7" t="n">
        <v>1</v>
      </c>
      <c r="U540" s="7" t="n">
        <v>161</v>
      </c>
      <c r="V540" s="7" t="n">
        <v>51</v>
      </c>
    </row>
    <row r="541" customFormat="false" ht="15" hidden="false" customHeight="false" outlineLevel="0" collapsed="false">
      <c r="A541" s="4" t="s">
        <v>1997</v>
      </c>
      <c r="B541" s="4" t="str">
        <f aca="false">IF(AND(I541&gt;='Read Me &amp; Markers'!$B$18,J541&gt;='Read Me &amp; Markers'!$B$19,L541&gt;='Read Me &amp; Markers'!$B$20),"A. Proven winner",IF(AND(I541&gt;='Read Me &amp; Markers'!$B$18,J541&gt;='Read Me &amp; Markers'!$B$19,L541&gt;='Read Me &amp; Markers'!$B$21),"B. Strong performer",IF(AND(I541&gt;='Read Me &amp; Markers'!$B$22,L541&gt;='Read Me &amp; Markers'!$B$23),"C. Scale workhorse",IF(AND(I541&gt;='Read Me &amp; Markers'!$B$24,I541&lt;'Read Me &amp; Markers'!$B$18,J541&gt;='Read Me &amp; Markers'!$B$25,L541&gt;='Read Me &amp; Markers'!$B$26),"D. Promising (needs more spend)",""))))</f>
        <v/>
      </c>
      <c r="C541" s="4" t="s">
        <v>129</v>
      </c>
      <c r="D541" s="4" t="s">
        <v>100</v>
      </c>
      <c r="E541" s="4" t="s">
        <v>1426</v>
      </c>
      <c r="F541" s="4" t="s">
        <v>87</v>
      </c>
      <c r="G541" s="4" t="s">
        <v>348</v>
      </c>
      <c r="H541" s="4" t="s">
        <v>1998</v>
      </c>
      <c r="I541" s="5" t="n">
        <v>35.46</v>
      </c>
      <c r="J541" s="7" t="n">
        <v>0</v>
      </c>
      <c r="K541" s="5" t="n">
        <v>0</v>
      </c>
      <c r="L541" s="8" t="n">
        <v>0</v>
      </c>
      <c r="M541" s="9" t="n">
        <v>0</v>
      </c>
      <c r="N541" s="10" t="n">
        <v>0.01820941</v>
      </c>
      <c r="O541" s="5" t="n">
        <v>53.81</v>
      </c>
      <c r="P541" s="11" t="n">
        <v>1.222635</v>
      </c>
      <c r="Q541" s="7" t="n">
        <v>659</v>
      </c>
      <c r="R541" s="7" t="n">
        <v>12</v>
      </c>
      <c r="S541" s="7" t="n">
        <v>0</v>
      </c>
      <c r="T541" s="7" t="n">
        <v>0</v>
      </c>
      <c r="U541" s="7" t="n">
        <v>533</v>
      </c>
      <c r="V541" s="7" t="n">
        <v>30</v>
      </c>
    </row>
    <row r="542" customFormat="false" ht="15" hidden="false" customHeight="false" outlineLevel="0" collapsed="false">
      <c r="A542" s="4" t="s">
        <v>1999</v>
      </c>
      <c r="B542" s="4" t="str">
        <f aca="false">IF(AND(I542&gt;='Read Me &amp; Markers'!$B$18,J542&gt;='Read Me &amp; Markers'!$B$19,L542&gt;='Read Me &amp; Markers'!$B$20),"A. Proven winner",IF(AND(I542&gt;='Read Me &amp; Markers'!$B$18,J542&gt;='Read Me &amp; Markers'!$B$19,L542&gt;='Read Me &amp; Markers'!$B$21),"B. Strong performer",IF(AND(I542&gt;='Read Me &amp; Markers'!$B$22,L542&gt;='Read Me &amp; Markers'!$B$23),"C. Scale workhorse",IF(AND(I542&gt;='Read Me &amp; Markers'!$B$24,I542&lt;'Read Me &amp; Markers'!$B$18,J542&gt;='Read Me &amp; Markers'!$B$25,L542&gt;='Read Me &amp; Markers'!$B$26),"D. Promising (needs more spend)",""))))</f>
        <v/>
      </c>
      <c r="C542" s="4" t="s">
        <v>1905</v>
      </c>
      <c r="D542" s="4" t="s">
        <v>109</v>
      </c>
      <c r="E542" s="4" t="s">
        <v>507</v>
      </c>
      <c r="F542" s="4" t="s">
        <v>87</v>
      </c>
      <c r="G542" s="4" t="s">
        <v>508</v>
      </c>
      <c r="H542" s="4" t="s">
        <v>2000</v>
      </c>
      <c r="I542" s="5" t="n">
        <v>35.33</v>
      </c>
      <c r="J542" s="7" t="n">
        <v>0</v>
      </c>
      <c r="K542" s="5" t="n">
        <v>0</v>
      </c>
      <c r="L542" s="8" t="n">
        <v>0</v>
      </c>
      <c r="M542" s="9" t="n">
        <v>0</v>
      </c>
      <c r="N542" s="10" t="n">
        <v>0.12169312</v>
      </c>
      <c r="O542" s="5" t="n">
        <v>186.93</v>
      </c>
      <c r="P542" s="11" t="n">
        <v>1.092486</v>
      </c>
      <c r="Q542" s="7" t="n">
        <v>189</v>
      </c>
      <c r="R542" s="7" t="n">
        <v>23</v>
      </c>
      <c r="S542" s="7" t="n">
        <v>0</v>
      </c>
      <c r="T542" s="7" t="n">
        <v>0</v>
      </c>
      <c r="U542" s="7" t="n">
        <v>183</v>
      </c>
      <c r="V542" s="7" t="n">
        <v>25</v>
      </c>
    </row>
    <row r="543" customFormat="false" ht="15" hidden="false" customHeight="false" outlineLevel="0" collapsed="false">
      <c r="A543" s="4" t="s">
        <v>2001</v>
      </c>
      <c r="B543" s="4" t="str">
        <f aca="false">IF(AND(I543&gt;='Read Me &amp; Markers'!$B$18,J543&gt;='Read Me &amp; Markers'!$B$19,L543&gt;='Read Me &amp; Markers'!$B$20),"A. Proven winner",IF(AND(I543&gt;='Read Me &amp; Markers'!$B$18,J543&gt;='Read Me &amp; Markers'!$B$19,L543&gt;='Read Me &amp; Markers'!$B$21),"B. Strong performer",IF(AND(I543&gt;='Read Me &amp; Markers'!$B$22,L543&gt;='Read Me &amp; Markers'!$B$23),"C. Scale workhorse",IF(AND(I543&gt;='Read Me &amp; Markers'!$B$24,I543&lt;'Read Me &amp; Markers'!$B$18,J543&gt;='Read Me &amp; Markers'!$B$25,L543&gt;='Read Me &amp; Markers'!$B$26),"D. Promising (needs more spend)",""))))</f>
        <v/>
      </c>
      <c r="C543" s="4" t="s">
        <v>2002</v>
      </c>
      <c r="D543" s="4" t="s">
        <v>109</v>
      </c>
      <c r="E543" s="4" t="s">
        <v>2003</v>
      </c>
      <c r="F543" s="4" t="s">
        <v>87</v>
      </c>
      <c r="G543" s="4" t="s">
        <v>599</v>
      </c>
      <c r="H543" s="4" t="s">
        <v>2004</v>
      </c>
      <c r="I543" s="5" t="n">
        <v>35.25</v>
      </c>
      <c r="J543" s="7" t="n">
        <v>0</v>
      </c>
      <c r="K543" s="5" t="n">
        <v>0</v>
      </c>
      <c r="L543" s="8" t="n">
        <v>0</v>
      </c>
      <c r="M543" s="9" t="n">
        <v>0</v>
      </c>
      <c r="N543" s="10" t="n">
        <v>0.05586592</v>
      </c>
      <c r="O543" s="5" t="n">
        <v>196.93</v>
      </c>
      <c r="P543" s="11" t="n">
        <v>1.209459</v>
      </c>
      <c r="Q543" s="7" t="n">
        <v>179</v>
      </c>
      <c r="R543" s="7" t="n">
        <v>10</v>
      </c>
      <c r="S543" s="7" t="n">
        <v>0</v>
      </c>
      <c r="T543" s="7" t="n">
        <v>1</v>
      </c>
      <c r="U543" s="7" t="n">
        <v>135</v>
      </c>
      <c r="V543" s="7" t="n">
        <v>17</v>
      </c>
    </row>
    <row r="544" customFormat="false" ht="15" hidden="false" customHeight="false" outlineLevel="0" collapsed="false">
      <c r="A544" s="4" t="s">
        <v>2005</v>
      </c>
      <c r="B544" s="4" t="str">
        <f aca="false">IF(AND(I544&gt;='Read Me &amp; Markers'!$B$18,J544&gt;='Read Me &amp; Markers'!$B$19,L544&gt;='Read Me &amp; Markers'!$B$20),"A. Proven winner",IF(AND(I544&gt;='Read Me &amp; Markers'!$B$18,J544&gt;='Read Me &amp; Markers'!$B$19,L544&gt;='Read Me &amp; Markers'!$B$21),"B. Strong performer",IF(AND(I544&gt;='Read Me &amp; Markers'!$B$22,L544&gt;='Read Me &amp; Markers'!$B$23),"C. Scale workhorse",IF(AND(I544&gt;='Read Me &amp; Markers'!$B$24,I544&lt;'Read Me &amp; Markers'!$B$18,J544&gt;='Read Me &amp; Markers'!$B$25,L544&gt;='Read Me &amp; Markers'!$B$26),"D. Promising (needs more spend)",""))))</f>
        <v/>
      </c>
      <c r="C544" s="4" t="s">
        <v>2006</v>
      </c>
      <c r="D544" s="4" t="s">
        <v>109</v>
      </c>
      <c r="E544" s="4" t="s">
        <v>482</v>
      </c>
      <c r="F544" s="4" t="s">
        <v>430</v>
      </c>
      <c r="G544" s="4" t="s">
        <v>483</v>
      </c>
      <c r="H544" s="4" t="s">
        <v>2007</v>
      </c>
      <c r="I544" s="5" t="n">
        <v>35.04</v>
      </c>
      <c r="J544" s="7" t="n">
        <v>0</v>
      </c>
      <c r="K544" s="5" t="n">
        <v>0</v>
      </c>
      <c r="L544" s="8" t="n">
        <v>0</v>
      </c>
      <c r="M544" s="9" t="n">
        <v>0</v>
      </c>
      <c r="N544" s="10" t="n">
        <v>0.04788732</v>
      </c>
      <c r="O544" s="5" t="n">
        <v>98.7</v>
      </c>
      <c r="P544" s="11" t="n">
        <v>1.152597</v>
      </c>
      <c r="Q544" s="7" t="n">
        <v>355</v>
      </c>
      <c r="R544" s="7" t="n">
        <v>17</v>
      </c>
      <c r="S544" s="7" t="n">
        <v>0</v>
      </c>
      <c r="T544" s="7" t="n">
        <v>2</v>
      </c>
      <c r="U544" s="7" t="n">
        <v>346</v>
      </c>
      <c r="V544" s="7" t="n">
        <v>98</v>
      </c>
    </row>
    <row r="545" customFormat="false" ht="15" hidden="false" customHeight="false" outlineLevel="0" collapsed="false">
      <c r="A545" s="4" t="s">
        <v>2008</v>
      </c>
      <c r="B545" s="4" t="str">
        <f aca="false">IF(AND(I545&gt;='Read Me &amp; Markers'!$B$18,J545&gt;='Read Me &amp; Markers'!$B$19,L545&gt;='Read Me &amp; Markers'!$B$20),"A. Proven winner",IF(AND(I545&gt;='Read Me &amp; Markers'!$B$18,J545&gt;='Read Me &amp; Markers'!$B$19,L545&gt;='Read Me &amp; Markers'!$B$21),"B. Strong performer",IF(AND(I545&gt;='Read Me &amp; Markers'!$B$22,L545&gt;='Read Me &amp; Markers'!$B$23),"C. Scale workhorse",IF(AND(I545&gt;='Read Me &amp; Markers'!$B$24,I545&lt;'Read Me &amp; Markers'!$B$18,J545&gt;='Read Me &amp; Markers'!$B$25,L545&gt;='Read Me &amp; Markers'!$B$26),"D. Promising (needs more spend)",""))))</f>
        <v/>
      </c>
      <c r="C545" s="4" t="s">
        <v>2009</v>
      </c>
      <c r="D545" s="4" t="s">
        <v>1204</v>
      </c>
      <c r="E545" s="4" t="s">
        <v>2010</v>
      </c>
      <c r="F545" s="4" t="s">
        <v>253</v>
      </c>
      <c r="G545" s="4" t="s">
        <v>1206</v>
      </c>
      <c r="H545" s="4" t="s">
        <v>2011</v>
      </c>
      <c r="I545" s="5" t="n">
        <v>34.93</v>
      </c>
      <c r="J545" s="7" t="n">
        <v>0</v>
      </c>
      <c r="K545" s="5" t="n">
        <v>0</v>
      </c>
      <c r="L545" s="8" t="n">
        <v>0</v>
      </c>
      <c r="M545" s="9" t="n">
        <v>0</v>
      </c>
      <c r="N545" s="10" t="n">
        <v>0.03508772</v>
      </c>
      <c r="O545" s="5" t="n">
        <v>122.56</v>
      </c>
      <c r="P545" s="11" t="n">
        <v>1.261062</v>
      </c>
      <c r="Q545" s="7" t="n">
        <v>285</v>
      </c>
      <c r="R545" s="7" t="n">
        <v>10</v>
      </c>
      <c r="S545" s="7" t="n">
        <v>0</v>
      </c>
      <c r="T545" s="7" t="n">
        <v>0</v>
      </c>
      <c r="U545" s="7" t="n">
        <v>237</v>
      </c>
      <c r="V545" s="7" t="n">
        <v>28</v>
      </c>
    </row>
    <row r="546" customFormat="false" ht="15" hidden="false" customHeight="false" outlineLevel="0" collapsed="false">
      <c r="A546" s="4" t="s">
        <v>2012</v>
      </c>
      <c r="B546" s="4" t="str">
        <f aca="false">IF(AND(I546&gt;='Read Me &amp; Markers'!$B$18,J546&gt;='Read Me &amp; Markers'!$B$19,L546&gt;='Read Me &amp; Markers'!$B$20),"A. Proven winner",IF(AND(I546&gt;='Read Me &amp; Markers'!$B$18,J546&gt;='Read Me &amp; Markers'!$B$19,L546&gt;='Read Me &amp; Markers'!$B$21),"B. Strong performer",IF(AND(I546&gt;='Read Me &amp; Markers'!$B$22,L546&gt;='Read Me &amp; Markers'!$B$23),"C. Scale workhorse",IF(AND(I546&gt;='Read Me &amp; Markers'!$B$24,I546&lt;'Read Me &amp; Markers'!$B$18,J546&gt;='Read Me &amp; Markers'!$B$25,L546&gt;='Read Me &amp; Markers'!$B$26),"D. Promising (needs more spend)",""))))</f>
        <v/>
      </c>
      <c r="C546" s="4" t="s">
        <v>169</v>
      </c>
      <c r="D546" s="4" t="s">
        <v>206</v>
      </c>
      <c r="E546" s="4" t="s">
        <v>2013</v>
      </c>
      <c r="F546" s="4" t="s">
        <v>253</v>
      </c>
      <c r="G546" s="4" t="s">
        <v>132</v>
      </c>
      <c r="H546" s="4" t="s">
        <v>2014</v>
      </c>
      <c r="I546" s="5" t="n">
        <v>34.93</v>
      </c>
      <c r="J546" s="7" t="n">
        <v>0</v>
      </c>
      <c r="K546" s="5" t="n">
        <v>0</v>
      </c>
      <c r="L546" s="8" t="n">
        <v>0</v>
      </c>
      <c r="M546" s="9" t="n">
        <v>0</v>
      </c>
      <c r="N546" s="10" t="n">
        <v>0.01336303</v>
      </c>
      <c r="O546" s="5" t="n">
        <v>77.8</v>
      </c>
      <c r="P546" s="11" t="n">
        <v>1.282857</v>
      </c>
      <c r="Q546" s="7" t="n">
        <v>449</v>
      </c>
      <c r="R546" s="7" t="n">
        <v>6</v>
      </c>
      <c r="S546" s="7" t="n">
        <v>0</v>
      </c>
      <c r="T546" s="7" t="n">
        <v>0</v>
      </c>
      <c r="U546" s="7" t="n">
        <v>354</v>
      </c>
      <c r="V546" s="7" t="n">
        <v>43</v>
      </c>
    </row>
    <row r="547" customFormat="false" ht="15" hidden="false" customHeight="false" outlineLevel="0" collapsed="false">
      <c r="A547" s="4" t="s">
        <v>2015</v>
      </c>
      <c r="B547" s="4" t="str">
        <f aca="false">IF(AND(I547&gt;='Read Me &amp; Markers'!$B$18,J547&gt;='Read Me &amp; Markers'!$B$19,L547&gt;='Read Me &amp; Markers'!$B$20),"A. Proven winner",IF(AND(I547&gt;='Read Me &amp; Markers'!$B$18,J547&gt;='Read Me &amp; Markers'!$B$19,L547&gt;='Read Me &amp; Markers'!$B$21),"B. Strong performer",IF(AND(I547&gt;='Read Me &amp; Markers'!$B$22,L547&gt;='Read Me &amp; Markers'!$B$23),"C. Scale workhorse",IF(AND(I547&gt;='Read Me &amp; Markers'!$B$24,I547&lt;'Read Me &amp; Markers'!$B$18,J547&gt;='Read Me &amp; Markers'!$B$25,L547&gt;='Read Me &amp; Markers'!$B$26),"D. Promising (needs more spend)",""))))</f>
        <v/>
      </c>
      <c r="C547" s="4" t="s">
        <v>169</v>
      </c>
      <c r="D547" s="4" t="s">
        <v>206</v>
      </c>
      <c r="E547" s="4" t="s">
        <v>1969</v>
      </c>
      <c r="F547" s="4" t="s">
        <v>87</v>
      </c>
      <c r="G547" s="4" t="s">
        <v>743</v>
      </c>
      <c r="H547" s="4" t="s">
        <v>2016</v>
      </c>
      <c r="I547" s="5" t="n">
        <v>34.69</v>
      </c>
      <c r="J547" s="7" t="n">
        <v>0</v>
      </c>
      <c r="K547" s="5" t="n">
        <v>0</v>
      </c>
      <c r="L547" s="8" t="n">
        <v>0</v>
      </c>
      <c r="M547" s="9" t="n">
        <v>0</v>
      </c>
      <c r="N547" s="10" t="n">
        <v>0.03076923</v>
      </c>
      <c r="O547" s="5" t="n">
        <v>66.71</v>
      </c>
      <c r="P547" s="11" t="n">
        <v>1.296758</v>
      </c>
      <c r="Q547" s="7" t="n">
        <v>520</v>
      </c>
      <c r="R547" s="7" t="n">
        <v>16</v>
      </c>
      <c r="S547" s="7" t="n">
        <v>0</v>
      </c>
      <c r="T547" s="7" t="n">
        <v>0</v>
      </c>
      <c r="U547" s="7" t="n">
        <v>439</v>
      </c>
      <c r="V547" s="7" t="n">
        <v>81</v>
      </c>
    </row>
    <row r="548" customFormat="false" ht="15" hidden="false" customHeight="false" outlineLevel="0" collapsed="false">
      <c r="A548" s="4" t="s">
        <v>2017</v>
      </c>
      <c r="B548" s="4" t="str">
        <f aca="false">IF(AND(I548&gt;='Read Me &amp; Markers'!$B$18,J548&gt;='Read Me &amp; Markers'!$B$19,L548&gt;='Read Me &amp; Markers'!$B$20),"A. Proven winner",IF(AND(I548&gt;='Read Me &amp; Markers'!$B$18,J548&gt;='Read Me &amp; Markers'!$B$19,L548&gt;='Read Me &amp; Markers'!$B$21),"B. Strong performer",IF(AND(I548&gt;='Read Me &amp; Markers'!$B$22,L548&gt;='Read Me &amp; Markers'!$B$23),"C. Scale workhorse",IF(AND(I548&gt;='Read Me &amp; Markers'!$B$24,I548&lt;'Read Me &amp; Markers'!$B$18,J548&gt;='Read Me &amp; Markers'!$B$25,L548&gt;='Read Me &amp; Markers'!$B$26),"D. Promising (needs more spend)",""))))</f>
        <v/>
      </c>
      <c r="C548" s="4" t="s">
        <v>2018</v>
      </c>
      <c r="D548" s="4" t="s">
        <v>109</v>
      </c>
      <c r="E548" s="4" t="s">
        <v>2019</v>
      </c>
      <c r="F548" s="4" t="s">
        <v>87</v>
      </c>
      <c r="G548" s="4" t="s">
        <v>317</v>
      </c>
      <c r="H548" s="4" t="s">
        <v>2020</v>
      </c>
      <c r="I548" s="5" t="n">
        <v>34.59</v>
      </c>
      <c r="J548" s="7" t="n">
        <v>0</v>
      </c>
      <c r="K548" s="5" t="n">
        <v>0</v>
      </c>
      <c r="L548" s="8" t="n">
        <v>0</v>
      </c>
      <c r="M548" s="9" t="n">
        <v>0</v>
      </c>
      <c r="N548" s="10" t="n">
        <v>0.05244755</v>
      </c>
      <c r="O548" s="5" t="n">
        <v>120.94</v>
      </c>
      <c r="P548" s="11" t="n">
        <v>1.087452</v>
      </c>
      <c r="Q548" s="7" t="n">
        <v>286</v>
      </c>
      <c r="R548" s="7" t="n">
        <v>15</v>
      </c>
      <c r="S548" s="7" t="n">
        <v>1</v>
      </c>
      <c r="T548" s="7" t="n">
        <v>0</v>
      </c>
      <c r="U548" s="7" t="n">
        <v>242</v>
      </c>
      <c r="V548" s="7" t="n">
        <v>44</v>
      </c>
    </row>
    <row r="549" customFormat="false" ht="15" hidden="false" customHeight="false" outlineLevel="0" collapsed="false">
      <c r="A549" s="4" t="s">
        <v>2021</v>
      </c>
      <c r="B549" s="4" t="str">
        <f aca="false">IF(AND(I549&gt;='Read Me &amp; Markers'!$B$18,J549&gt;='Read Me &amp; Markers'!$B$19,L549&gt;='Read Me &amp; Markers'!$B$20),"A. Proven winner",IF(AND(I549&gt;='Read Me &amp; Markers'!$B$18,J549&gt;='Read Me &amp; Markers'!$B$19,L549&gt;='Read Me &amp; Markers'!$B$21),"B. Strong performer",IF(AND(I549&gt;='Read Me &amp; Markers'!$B$22,L549&gt;='Read Me &amp; Markers'!$B$23),"C. Scale workhorse",IF(AND(I549&gt;='Read Me &amp; Markers'!$B$24,I549&lt;'Read Me &amp; Markers'!$B$18,J549&gt;='Read Me &amp; Markers'!$B$25,L549&gt;='Read Me &amp; Markers'!$B$26),"D. Promising (needs more spend)",""))))</f>
        <v/>
      </c>
      <c r="C549" s="4" t="s">
        <v>129</v>
      </c>
      <c r="D549" s="4" t="s">
        <v>154</v>
      </c>
      <c r="E549" s="4" t="s">
        <v>2022</v>
      </c>
      <c r="F549" s="4" t="s">
        <v>253</v>
      </c>
      <c r="G549" s="4" t="s">
        <v>440</v>
      </c>
      <c r="H549" s="4" t="s">
        <v>2023</v>
      </c>
      <c r="I549" s="5" t="n">
        <v>34.07</v>
      </c>
      <c r="J549" s="7" t="n">
        <v>1</v>
      </c>
      <c r="K549" s="5" t="n">
        <v>45.96</v>
      </c>
      <c r="L549" s="8" t="n">
        <v>1.348987</v>
      </c>
      <c r="M549" s="9" t="n">
        <v>34.07</v>
      </c>
      <c r="N549" s="10" t="n">
        <v>0.02680067</v>
      </c>
      <c r="O549" s="5" t="n">
        <v>57.07</v>
      </c>
      <c r="P549" s="11" t="n">
        <v>1.189243</v>
      </c>
      <c r="Q549" s="7" t="n">
        <v>597</v>
      </c>
      <c r="R549" s="7" t="n">
        <v>16</v>
      </c>
      <c r="S549" s="7" t="n">
        <v>1</v>
      </c>
      <c r="T549" s="7" t="n">
        <v>2</v>
      </c>
      <c r="U549" s="7" t="n">
        <v>483</v>
      </c>
      <c r="V549" s="7" t="n">
        <v>30</v>
      </c>
    </row>
    <row r="550" customFormat="false" ht="15" hidden="false" customHeight="false" outlineLevel="0" collapsed="false">
      <c r="A550" s="4" t="s">
        <v>2024</v>
      </c>
      <c r="B550" s="4" t="str">
        <f aca="false">IF(AND(I550&gt;='Read Me &amp; Markers'!$B$18,J550&gt;='Read Me &amp; Markers'!$B$19,L550&gt;='Read Me &amp; Markers'!$B$20),"A. Proven winner",IF(AND(I550&gt;='Read Me &amp; Markers'!$B$18,J550&gt;='Read Me &amp; Markers'!$B$19,L550&gt;='Read Me &amp; Markers'!$B$21),"B. Strong performer",IF(AND(I550&gt;='Read Me &amp; Markers'!$B$22,L550&gt;='Read Me &amp; Markers'!$B$23),"C. Scale workhorse",IF(AND(I550&gt;='Read Me &amp; Markers'!$B$24,I550&lt;'Read Me &amp; Markers'!$B$18,J550&gt;='Read Me &amp; Markers'!$B$25,L550&gt;='Read Me &amp; Markers'!$B$26),"D. Promising (needs more spend)",""))))</f>
        <v/>
      </c>
      <c r="C550" s="4" t="s">
        <v>2025</v>
      </c>
      <c r="D550" s="4" t="s">
        <v>109</v>
      </c>
      <c r="E550" s="4" t="s">
        <v>1472</v>
      </c>
      <c r="F550" s="4" t="s">
        <v>87</v>
      </c>
      <c r="G550" s="4" t="s">
        <v>599</v>
      </c>
      <c r="H550" s="4" t="s">
        <v>2026</v>
      </c>
      <c r="I550" s="5" t="n">
        <v>33.94</v>
      </c>
      <c r="J550" s="7" t="n">
        <v>0</v>
      </c>
      <c r="K550" s="5" t="n">
        <v>0</v>
      </c>
      <c r="L550" s="8" t="n">
        <v>0</v>
      </c>
      <c r="M550" s="9" t="n">
        <v>0</v>
      </c>
      <c r="N550" s="10" t="n">
        <v>0.05633803</v>
      </c>
      <c r="O550" s="5" t="n">
        <v>159.34</v>
      </c>
      <c r="P550" s="11" t="n">
        <v>1.132979</v>
      </c>
      <c r="Q550" s="7" t="n">
        <v>213</v>
      </c>
      <c r="R550" s="7" t="n">
        <v>12</v>
      </c>
      <c r="S550" s="7" t="n">
        <v>0</v>
      </c>
      <c r="T550" s="7" t="n">
        <v>2</v>
      </c>
      <c r="U550" s="7" t="n">
        <v>158</v>
      </c>
      <c r="V550" s="7" t="n">
        <v>26</v>
      </c>
    </row>
    <row r="551" customFormat="false" ht="15" hidden="false" customHeight="false" outlineLevel="0" collapsed="false">
      <c r="A551" s="4" t="s">
        <v>2027</v>
      </c>
      <c r="B551" s="4" t="str">
        <f aca="false">IF(AND(I551&gt;='Read Me &amp; Markers'!$B$18,J551&gt;='Read Me &amp; Markers'!$B$19,L551&gt;='Read Me &amp; Markers'!$B$20),"A. Proven winner",IF(AND(I551&gt;='Read Me &amp; Markers'!$B$18,J551&gt;='Read Me &amp; Markers'!$B$19,L551&gt;='Read Me &amp; Markers'!$B$21),"B. Strong performer",IF(AND(I551&gt;='Read Me &amp; Markers'!$B$22,L551&gt;='Read Me &amp; Markers'!$B$23),"C. Scale workhorse",IF(AND(I551&gt;='Read Me &amp; Markers'!$B$24,I551&lt;'Read Me &amp; Markers'!$B$18,J551&gt;='Read Me &amp; Markers'!$B$25,L551&gt;='Read Me &amp; Markers'!$B$26),"D. Promising (needs more spend)",""))))</f>
        <v/>
      </c>
      <c r="C551" s="4" t="s">
        <v>169</v>
      </c>
      <c r="D551" s="4" t="s">
        <v>206</v>
      </c>
      <c r="E551" s="4" t="s">
        <v>1481</v>
      </c>
      <c r="F551" s="4" t="s">
        <v>253</v>
      </c>
      <c r="G551" s="4" t="s">
        <v>743</v>
      </c>
      <c r="H551" s="4" t="s">
        <v>2028</v>
      </c>
      <c r="I551" s="5" t="n">
        <v>33.62</v>
      </c>
      <c r="J551" s="7" t="n">
        <v>1</v>
      </c>
      <c r="K551" s="5" t="n">
        <v>79.97</v>
      </c>
      <c r="L551" s="8" t="n">
        <v>2.378644</v>
      </c>
      <c r="M551" s="9" t="n">
        <v>33.62</v>
      </c>
      <c r="N551" s="10" t="n">
        <v>0.0433526</v>
      </c>
      <c r="O551" s="5" t="n">
        <v>97.17</v>
      </c>
      <c r="P551" s="11" t="n">
        <v>1.214035</v>
      </c>
      <c r="Q551" s="7" t="n">
        <v>346</v>
      </c>
      <c r="R551" s="7" t="n">
        <v>15</v>
      </c>
      <c r="S551" s="7" t="n">
        <v>2</v>
      </c>
      <c r="T551" s="7" t="n">
        <v>1</v>
      </c>
      <c r="U551" s="7" t="n">
        <v>303</v>
      </c>
      <c r="V551" s="7" t="n">
        <v>76</v>
      </c>
    </row>
    <row r="552" customFormat="false" ht="15" hidden="false" customHeight="false" outlineLevel="0" collapsed="false">
      <c r="A552" s="4" t="s">
        <v>2029</v>
      </c>
      <c r="B552" s="4" t="str">
        <f aca="false">IF(AND(I552&gt;='Read Me &amp; Markers'!$B$18,J552&gt;='Read Me &amp; Markers'!$B$19,L552&gt;='Read Me &amp; Markers'!$B$20),"A. Proven winner",IF(AND(I552&gt;='Read Me &amp; Markers'!$B$18,J552&gt;='Read Me &amp; Markers'!$B$19,L552&gt;='Read Me &amp; Markers'!$B$21),"B. Strong performer",IF(AND(I552&gt;='Read Me &amp; Markers'!$B$22,L552&gt;='Read Me &amp; Markers'!$B$23),"C. Scale workhorse",IF(AND(I552&gt;='Read Me &amp; Markers'!$B$24,I552&lt;'Read Me &amp; Markers'!$B$18,J552&gt;='Read Me &amp; Markers'!$B$25,L552&gt;='Read Me &amp; Markers'!$B$26),"D. Promising (needs more spend)",""))))</f>
        <v/>
      </c>
      <c r="C552" s="4" t="s">
        <v>2030</v>
      </c>
      <c r="D552" s="4" t="s">
        <v>109</v>
      </c>
      <c r="E552" s="4" t="s">
        <v>2003</v>
      </c>
      <c r="F552" s="4" t="s">
        <v>87</v>
      </c>
      <c r="G552" s="4" t="s">
        <v>599</v>
      </c>
      <c r="H552" s="4" t="s">
        <v>2031</v>
      </c>
      <c r="I552" s="5" t="n">
        <v>33.42</v>
      </c>
      <c r="J552" s="7" t="n">
        <v>0</v>
      </c>
      <c r="K552" s="5" t="n">
        <v>0</v>
      </c>
      <c r="L552" s="8" t="n">
        <v>0</v>
      </c>
      <c r="M552" s="9" t="n">
        <v>0</v>
      </c>
      <c r="N552" s="10" t="n">
        <v>0.04347826</v>
      </c>
      <c r="O552" s="5" t="n">
        <v>121.09</v>
      </c>
      <c r="P552" s="11" t="n">
        <v>1.154812</v>
      </c>
      <c r="Q552" s="7" t="n">
        <v>276</v>
      </c>
      <c r="R552" s="7" t="n">
        <v>12</v>
      </c>
      <c r="S552" s="7" t="n">
        <v>0</v>
      </c>
      <c r="T552" s="7" t="n">
        <v>0</v>
      </c>
      <c r="U552" s="7" t="n">
        <v>214</v>
      </c>
      <c r="V552" s="7" t="n">
        <v>35</v>
      </c>
    </row>
    <row r="553" customFormat="false" ht="15" hidden="false" customHeight="false" outlineLevel="0" collapsed="false">
      <c r="A553" s="4" t="s">
        <v>2032</v>
      </c>
      <c r="B553" s="4" t="str">
        <f aca="false">IF(AND(I553&gt;='Read Me &amp; Markers'!$B$18,J553&gt;='Read Me &amp; Markers'!$B$19,L553&gt;='Read Me &amp; Markers'!$B$20),"A. Proven winner",IF(AND(I553&gt;='Read Me &amp; Markers'!$B$18,J553&gt;='Read Me &amp; Markers'!$B$19,L553&gt;='Read Me &amp; Markers'!$B$21),"B. Strong performer",IF(AND(I553&gt;='Read Me &amp; Markers'!$B$22,L553&gt;='Read Me &amp; Markers'!$B$23),"C. Scale workhorse",IF(AND(I553&gt;='Read Me &amp; Markers'!$B$24,I553&lt;'Read Me &amp; Markers'!$B$18,J553&gt;='Read Me &amp; Markers'!$B$25,L553&gt;='Read Me &amp; Markers'!$B$26),"D. Promising (needs more spend)",""))))</f>
        <v/>
      </c>
      <c r="C553" s="4" t="s">
        <v>2033</v>
      </c>
      <c r="D553" s="4" t="s">
        <v>109</v>
      </c>
      <c r="E553" s="4" t="s">
        <v>2003</v>
      </c>
      <c r="F553" s="4" t="s">
        <v>87</v>
      </c>
      <c r="G553" s="4" t="s">
        <v>599</v>
      </c>
      <c r="H553" s="4" t="s">
        <v>2034</v>
      </c>
      <c r="I553" s="5" t="n">
        <v>33.31</v>
      </c>
      <c r="J553" s="7" t="n">
        <v>0</v>
      </c>
      <c r="K553" s="5" t="n">
        <v>0</v>
      </c>
      <c r="L553" s="8" t="n">
        <v>0</v>
      </c>
      <c r="M553" s="9" t="n">
        <v>0</v>
      </c>
      <c r="N553" s="10" t="n">
        <v>0.04035874</v>
      </c>
      <c r="O553" s="5" t="n">
        <v>149.37</v>
      </c>
      <c r="P553" s="11" t="n">
        <v>1.115</v>
      </c>
      <c r="Q553" s="7" t="n">
        <v>223</v>
      </c>
      <c r="R553" s="7" t="n">
        <v>9</v>
      </c>
      <c r="S553" s="7" t="n">
        <v>0</v>
      </c>
      <c r="T553" s="7" t="n">
        <v>1</v>
      </c>
      <c r="U553" s="7" t="n">
        <v>197</v>
      </c>
      <c r="V553" s="7" t="n">
        <v>21</v>
      </c>
    </row>
    <row r="554" customFormat="false" ht="15" hidden="false" customHeight="false" outlineLevel="0" collapsed="false">
      <c r="A554" s="4" t="s">
        <v>2035</v>
      </c>
      <c r="B554" s="4" t="str">
        <f aca="false">IF(AND(I554&gt;='Read Me &amp; Markers'!$B$18,J554&gt;='Read Me &amp; Markers'!$B$19,L554&gt;='Read Me &amp; Markers'!$B$20),"A. Proven winner",IF(AND(I554&gt;='Read Me &amp; Markers'!$B$18,J554&gt;='Read Me &amp; Markers'!$B$19,L554&gt;='Read Me &amp; Markers'!$B$21),"B. Strong performer",IF(AND(I554&gt;='Read Me &amp; Markers'!$B$22,L554&gt;='Read Me &amp; Markers'!$B$23),"C. Scale workhorse",IF(AND(I554&gt;='Read Me &amp; Markers'!$B$24,I554&lt;'Read Me &amp; Markers'!$B$18,J554&gt;='Read Me &amp; Markers'!$B$25,L554&gt;='Read Me &amp; Markers'!$B$26),"D. Promising (needs more spend)",""))))</f>
        <v/>
      </c>
      <c r="C554" s="4" t="s">
        <v>2036</v>
      </c>
      <c r="D554" s="4" t="s">
        <v>109</v>
      </c>
      <c r="E554" s="4" t="s">
        <v>869</v>
      </c>
      <c r="F554" s="4" t="s">
        <v>87</v>
      </c>
      <c r="G554" s="4" t="s">
        <v>599</v>
      </c>
      <c r="H554" s="4" t="s">
        <v>2037</v>
      </c>
      <c r="I554" s="5" t="n">
        <v>33.23</v>
      </c>
      <c r="J554" s="7" t="n">
        <v>0</v>
      </c>
      <c r="K554" s="5" t="n">
        <v>0</v>
      </c>
      <c r="L554" s="8" t="n">
        <v>0</v>
      </c>
      <c r="M554" s="9" t="n">
        <v>0</v>
      </c>
      <c r="N554" s="10" t="n">
        <v>0.05769231</v>
      </c>
      <c r="O554" s="5" t="n">
        <v>159.76</v>
      </c>
      <c r="P554" s="11" t="n">
        <v>1.216374</v>
      </c>
      <c r="Q554" s="7" t="n">
        <v>208</v>
      </c>
      <c r="R554" s="7" t="n">
        <v>12</v>
      </c>
      <c r="S554" s="7" t="n">
        <v>0</v>
      </c>
      <c r="T554" s="7" t="n">
        <v>0</v>
      </c>
      <c r="U554" s="7" t="n">
        <v>160</v>
      </c>
      <c r="V554" s="7" t="n">
        <v>28</v>
      </c>
    </row>
    <row r="555" customFormat="false" ht="15" hidden="false" customHeight="false" outlineLevel="0" collapsed="false">
      <c r="A555" s="4" t="s">
        <v>2038</v>
      </c>
      <c r="B555" s="4" t="str">
        <f aca="false">IF(AND(I555&gt;='Read Me &amp; Markers'!$B$18,J555&gt;='Read Me &amp; Markers'!$B$19,L555&gt;='Read Me &amp; Markers'!$B$20),"A. Proven winner",IF(AND(I555&gt;='Read Me &amp; Markers'!$B$18,J555&gt;='Read Me &amp; Markers'!$B$19,L555&gt;='Read Me &amp; Markers'!$B$21),"B. Strong performer",IF(AND(I555&gt;='Read Me &amp; Markers'!$B$22,L555&gt;='Read Me &amp; Markers'!$B$23),"C. Scale workhorse",IF(AND(I555&gt;='Read Me &amp; Markers'!$B$24,I555&lt;'Read Me &amp; Markers'!$B$18,J555&gt;='Read Me &amp; Markers'!$B$25,L555&gt;='Read Me &amp; Markers'!$B$26),"D. Promising (needs more spend)",""))))</f>
        <v/>
      </c>
      <c r="C555" s="4" t="s">
        <v>2039</v>
      </c>
      <c r="D555" s="4" t="s">
        <v>109</v>
      </c>
      <c r="E555" s="4" t="s">
        <v>2040</v>
      </c>
      <c r="F555" s="4" t="s">
        <v>111</v>
      </c>
      <c r="G555" s="4" t="s">
        <v>286</v>
      </c>
      <c r="H555" s="4" t="s">
        <v>2041</v>
      </c>
      <c r="I555" s="5" t="n">
        <v>33.19</v>
      </c>
      <c r="J555" s="7" t="n">
        <v>0</v>
      </c>
      <c r="K555" s="5" t="n">
        <v>0</v>
      </c>
      <c r="L555" s="8" t="n">
        <v>0</v>
      </c>
      <c r="M555" s="9" t="n">
        <v>0</v>
      </c>
      <c r="N555" s="10" t="n">
        <v>0.01851852</v>
      </c>
      <c r="O555" s="5" t="n">
        <v>40.98</v>
      </c>
      <c r="P555" s="11" t="n">
        <v>1.613546</v>
      </c>
      <c r="Q555" s="7" t="n">
        <v>810</v>
      </c>
      <c r="R555" s="7" t="n">
        <v>15</v>
      </c>
      <c r="S555" s="7" t="n">
        <v>1</v>
      </c>
      <c r="T555" s="7" t="n">
        <v>0</v>
      </c>
      <c r="U555" s="7" t="n">
        <v>7</v>
      </c>
      <c r="V555" s="7" t="n">
        <v>1</v>
      </c>
    </row>
    <row r="556" customFormat="false" ht="15" hidden="false" customHeight="false" outlineLevel="0" collapsed="false">
      <c r="A556" s="4" t="s">
        <v>2042</v>
      </c>
      <c r="B556" s="4" t="str">
        <f aca="false">IF(AND(I556&gt;='Read Me &amp; Markers'!$B$18,J556&gt;='Read Me &amp; Markers'!$B$19,L556&gt;='Read Me &amp; Markers'!$B$20),"A. Proven winner",IF(AND(I556&gt;='Read Me &amp; Markers'!$B$18,J556&gt;='Read Me &amp; Markers'!$B$19,L556&gt;='Read Me &amp; Markers'!$B$21),"B. Strong performer",IF(AND(I556&gt;='Read Me &amp; Markers'!$B$22,L556&gt;='Read Me &amp; Markers'!$B$23),"C. Scale workhorse",IF(AND(I556&gt;='Read Me &amp; Markers'!$B$24,I556&lt;'Read Me &amp; Markers'!$B$18,J556&gt;='Read Me &amp; Markers'!$B$25,L556&gt;='Read Me &amp; Markers'!$B$26),"D. Promising (needs more spend)",""))))</f>
        <v/>
      </c>
      <c r="C556" s="4" t="s">
        <v>2043</v>
      </c>
      <c r="D556" s="4" t="s">
        <v>109</v>
      </c>
      <c r="E556" s="4" t="s">
        <v>1654</v>
      </c>
      <c r="F556" s="4" t="s">
        <v>87</v>
      </c>
      <c r="G556" s="4" t="s">
        <v>317</v>
      </c>
      <c r="H556" s="4" t="s">
        <v>2044</v>
      </c>
      <c r="I556" s="5" t="n">
        <v>33.18</v>
      </c>
      <c r="J556" s="7" t="n">
        <v>0</v>
      </c>
      <c r="K556" s="5" t="n">
        <v>0</v>
      </c>
      <c r="L556" s="8" t="n">
        <v>0</v>
      </c>
      <c r="M556" s="9" t="n">
        <v>0</v>
      </c>
      <c r="N556" s="10" t="n">
        <v>0.03002309</v>
      </c>
      <c r="O556" s="5" t="n">
        <v>76.63</v>
      </c>
      <c r="P556" s="11" t="n">
        <v>1.513986</v>
      </c>
      <c r="Q556" s="7" t="n">
        <v>433</v>
      </c>
      <c r="R556" s="7" t="n">
        <v>13</v>
      </c>
      <c r="S556" s="7" t="n">
        <v>0</v>
      </c>
      <c r="T556" s="7" t="n">
        <v>0</v>
      </c>
      <c r="U556" s="7" t="n">
        <v>0</v>
      </c>
      <c r="V556" s="7" t="n">
        <v>0</v>
      </c>
    </row>
    <row r="557" customFormat="false" ht="15" hidden="false" customHeight="false" outlineLevel="0" collapsed="false">
      <c r="A557" s="4" t="s">
        <v>2045</v>
      </c>
      <c r="B557" s="4" t="str">
        <f aca="false">IF(AND(I557&gt;='Read Me &amp; Markers'!$B$18,J557&gt;='Read Me &amp; Markers'!$B$19,L557&gt;='Read Me &amp; Markers'!$B$20),"A. Proven winner",IF(AND(I557&gt;='Read Me &amp; Markers'!$B$18,J557&gt;='Read Me &amp; Markers'!$B$19,L557&gt;='Read Me &amp; Markers'!$B$21),"B. Strong performer",IF(AND(I557&gt;='Read Me &amp; Markers'!$B$22,L557&gt;='Read Me &amp; Markers'!$B$23),"C. Scale workhorse",IF(AND(I557&gt;='Read Me &amp; Markers'!$B$24,I557&lt;'Read Me &amp; Markers'!$B$18,J557&gt;='Read Me &amp; Markers'!$B$25,L557&gt;='Read Me &amp; Markers'!$B$26),"D. Promising (needs more spend)",""))))</f>
        <v/>
      </c>
      <c r="C557" s="4" t="s">
        <v>527</v>
      </c>
      <c r="D557" s="4" t="s">
        <v>369</v>
      </c>
      <c r="E557" s="4" t="s">
        <v>694</v>
      </c>
      <c r="F557" s="4" t="s">
        <v>87</v>
      </c>
      <c r="G557" s="4" t="s">
        <v>695</v>
      </c>
      <c r="H557" s="4" t="s">
        <v>2046</v>
      </c>
      <c r="I557" s="5" t="n">
        <v>33.14</v>
      </c>
      <c r="J557" s="7" t="n">
        <v>0</v>
      </c>
      <c r="K557" s="5" t="n">
        <v>0</v>
      </c>
      <c r="L557" s="8" t="n">
        <v>0</v>
      </c>
      <c r="M557" s="9" t="n">
        <v>0</v>
      </c>
      <c r="N557" s="10" t="n">
        <v>0.00305111</v>
      </c>
      <c r="O557" s="5" t="n">
        <v>25.28</v>
      </c>
      <c r="P557" s="11" t="n">
        <v>1.232143</v>
      </c>
      <c r="Q557" s="7" t="n">
        <v>1311</v>
      </c>
      <c r="R557" s="7" t="n">
        <v>4</v>
      </c>
      <c r="S557" s="7" t="n">
        <v>0</v>
      </c>
      <c r="T557" s="7" t="n">
        <v>0</v>
      </c>
      <c r="U557" s="7" t="n">
        <v>649</v>
      </c>
      <c r="V557" s="7" t="n">
        <v>39</v>
      </c>
    </row>
    <row r="558" customFormat="false" ht="15" hidden="false" customHeight="false" outlineLevel="0" collapsed="false">
      <c r="A558" s="4" t="s">
        <v>2047</v>
      </c>
      <c r="B558" s="4" t="str">
        <f aca="false">IF(AND(I558&gt;='Read Me &amp; Markers'!$B$18,J558&gt;='Read Me &amp; Markers'!$B$19,L558&gt;='Read Me &amp; Markers'!$B$20),"A. Proven winner",IF(AND(I558&gt;='Read Me &amp; Markers'!$B$18,J558&gt;='Read Me &amp; Markers'!$B$19,L558&gt;='Read Me &amp; Markers'!$B$21),"B. Strong performer",IF(AND(I558&gt;='Read Me &amp; Markers'!$B$22,L558&gt;='Read Me &amp; Markers'!$B$23),"C. Scale workhorse",IF(AND(I558&gt;='Read Me &amp; Markers'!$B$24,I558&lt;'Read Me &amp; Markers'!$B$18,J558&gt;='Read Me &amp; Markers'!$B$25,L558&gt;='Read Me &amp; Markers'!$B$26),"D. Promising (needs more spend)",""))))</f>
        <v/>
      </c>
      <c r="C558" s="4" t="s">
        <v>2048</v>
      </c>
      <c r="D558" s="4" t="s">
        <v>100</v>
      </c>
      <c r="E558" s="4" t="s">
        <v>1610</v>
      </c>
      <c r="F558" s="4" t="s">
        <v>87</v>
      </c>
      <c r="G558" s="4" t="s">
        <v>310</v>
      </c>
      <c r="H558" s="4" t="s">
        <v>2049</v>
      </c>
      <c r="I558" s="5" t="n">
        <v>33.09</v>
      </c>
      <c r="J558" s="7" t="n">
        <v>0</v>
      </c>
      <c r="K558" s="5" t="n">
        <v>0</v>
      </c>
      <c r="L558" s="8" t="n">
        <v>0</v>
      </c>
      <c r="M558" s="9" t="n">
        <v>0</v>
      </c>
      <c r="N558" s="10" t="n">
        <v>0.031477</v>
      </c>
      <c r="O558" s="5" t="n">
        <v>80.12</v>
      </c>
      <c r="P558" s="11" t="n">
        <v>1.166667</v>
      </c>
      <c r="Q558" s="7" t="n">
        <v>413</v>
      </c>
      <c r="R558" s="7" t="n">
        <v>13</v>
      </c>
      <c r="S558" s="7" t="n">
        <v>0</v>
      </c>
      <c r="T558" s="7" t="n">
        <v>0</v>
      </c>
      <c r="U558" s="7" t="n">
        <v>343</v>
      </c>
      <c r="V558" s="7" t="n">
        <v>40</v>
      </c>
    </row>
    <row r="559" customFormat="false" ht="15" hidden="false" customHeight="false" outlineLevel="0" collapsed="false">
      <c r="A559" s="4" t="s">
        <v>2050</v>
      </c>
      <c r="B559" s="4" t="str">
        <f aca="false">IF(AND(I559&gt;='Read Me &amp; Markers'!$B$18,J559&gt;='Read Me &amp; Markers'!$B$19,L559&gt;='Read Me &amp; Markers'!$B$20),"A. Proven winner",IF(AND(I559&gt;='Read Me &amp; Markers'!$B$18,J559&gt;='Read Me &amp; Markers'!$B$19,L559&gt;='Read Me &amp; Markers'!$B$21),"B. Strong performer",IF(AND(I559&gt;='Read Me &amp; Markers'!$B$22,L559&gt;='Read Me &amp; Markers'!$B$23),"C. Scale workhorse",IF(AND(I559&gt;='Read Me &amp; Markers'!$B$24,I559&lt;'Read Me &amp; Markers'!$B$18,J559&gt;='Read Me &amp; Markers'!$B$25,L559&gt;='Read Me &amp; Markers'!$B$26),"D. Promising (needs more spend)",""))))</f>
        <v/>
      </c>
      <c r="C559" s="4" t="s">
        <v>2051</v>
      </c>
      <c r="D559" s="4" t="s">
        <v>109</v>
      </c>
      <c r="E559" s="4" t="s">
        <v>474</v>
      </c>
      <c r="F559" s="4" t="s">
        <v>87</v>
      </c>
      <c r="G559" s="4" t="s">
        <v>475</v>
      </c>
      <c r="H559" s="4" t="s">
        <v>2052</v>
      </c>
      <c r="I559" s="5" t="n">
        <v>32.63</v>
      </c>
      <c r="J559" s="7" t="n">
        <v>0</v>
      </c>
      <c r="K559" s="5" t="n">
        <v>0</v>
      </c>
      <c r="L559" s="8" t="n">
        <v>0</v>
      </c>
      <c r="M559" s="9" t="n">
        <v>0</v>
      </c>
      <c r="N559" s="10" t="n">
        <v>0.02012072</v>
      </c>
      <c r="O559" s="5" t="n">
        <v>65.65</v>
      </c>
      <c r="P559" s="11" t="n">
        <v>1.17217</v>
      </c>
      <c r="Q559" s="7" t="n">
        <v>497</v>
      </c>
      <c r="R559" s="7" t="n">
        <v>10</v>
      </c>
      <c r="S559" s="7" t="n">
        <v>0</v>
      </c>
      <c r="T559" s="7" t="n">
        <v>1</v>
      </c>
      <c r="U559" s="7" t="n">
        <v>0</v>
      </c>
      <c r="V559" s="7" t="n">
        <v>0</v>
      </c>
    </row>
    <row r="560" customFormat="false" ht="15" hidden="false" customHeight="false" outlineLevel="0" collapsed="false">
      <c r="A560" s="4" t="s">
        <v>2053</v>
      </c>
      <c r="B560" s="4" t="str">
        <f aca="false">IF(AND(I560&gt;='Read Me &amp; Markers'!$B$18,J560&gt;='Read Me &amp; Markers'!$B$19,L560&gt;='Read Me &amp; Markers'!$B$20),"A. Proven winner",IF(AND(I560&gt;='Read Me &amp; Markers'!$B$18,J560&gt;='Read Me &amp; Markers'!$B$19,L560&gt;='Read Me &amp; Markers'!$B$21),"B. Strong performer",IF(AND(I560&gt;='Read Me &amp; Markers'!$B$22,L560&gt;='Read Me &amp; Markers'!$B$23),"C. Scale workhorse",IF(AND(I560&gt;='Read Me &amp; Markers'!$B$24,I560&lt;'Read Me &amp; Markers'!$B$18,J560&gt;='Read Me &amp; Markers'!$B$25,L560&gt;='Read Me &amp; Markers'!$B$26),"D. Promising (needs more spend)",""))))</f>
        <v/>
      </c>
      <c r="C560" s="4" t="s">
        <v>129</v>
      </c>
      <c r="D560" s="4" t="s">
        <v>100</v>
      </c>
      <c r="E560" s="4" t="s">
        <v>1148</v>
      </c>
      <c r="F560" s="4" t="s">
        <v>172</v>
      </c>
      <c r="G560" s="4" t="s">
        <v>254</v>
      </c>
      <c r="H560" s="4" t="s">
        <v>2054</v>
      </c>
      <c r="I560" s="5" t="n">
        <v>32.52</v>
      </c>
      <c r="J560" s="7" t="n">
        <v>1</v>
      </c>
      <c r="K560" s="5" t="n">
        <v>45.95</v>
      </c>
      <c r="L560" s="8" t="n">
        <v>1.412977</v>
      </c>
      <c r="M560" s="9" t="n">
        <v>32.52</v>
      </c>
      <c r="N560" s="10" t="n">
        <v>0.04109589</v>
      </c>
      <c r="O560" s="5" t="n">
        <v>148.49</v>
      </c>
      <c r="P560" s="11" t="n">
        <v>1.052885</v>
      </c>
      <c r="Q560" s="7" t="n">
        <v>219</v>
      </c>
      <c r="R560" s="7" t="n">
        <v>9</v>
      </c>
      <c r="S560" s="7" t="n">
        <v>3</v>
      </c>
      <c r="T560" s="7" t="n">
        <v>2</v>
      </c>
      <c r="U560" s="7" t="n">
        <v>191</v>
      </c>
      <c r="V560" s="7" t="n">
        <v>60</v>
      </c>
    </row>
    <row r="561" customFormat="false" ht="15" hidden="false" customHeight="false" outlineLevel="0" collapsed="false">
      <c r="A561" s="4" t="s">
        <v>2055</v>
      </c>
      <c r="B561" s="4" t="str">
        <f aca="false">IF(AND(I561&gt;='Read Me &amp; Markers'!$B$18,J561&gt;='Read Me &amp; Markers'!$B$19,L561&gt;='Read Me &amp; Markers'!$B$20),"A. Proven winner",IF(AND(I561&gt;='Read Me &amp; Markers'!$B$18,J561&gt;='Read Me &amp; Markers'!$B$19,L561&gt;='Read Me &amp; Markers'!$B$21),"B. Strong performer",IF(AND(I561&gt;='Read Me &amp; Markers'!$B$22,L561&gt;='Read Me &amp; Markers'!$B$23),"C. Scale workhorse",IF(AND(I561&gt;='Read Me &amp; Markers'!$B$24,I561&lt;'Read Me &amp; Markers'!$B$18,J561&gt;='Read Me &amp; Markers'!$B$25,L561&gt;='Read Me &amp; Markers'!$B$26),"D. Promising (needs more spend)",""))))</f>
        <v/>
      </c>
      <c r="C561" s="4" t="s">
        <v>129</v>
      </c>
      <c r="D561" s="4" t="s">
        <v>100</v>
      </c>
      <c r="E561" s="4" t="s">
        <v>1227</v>
      </c>
      <c r="F561" s="4" t="s">
        <v>87</v>
      </c>
      <c r="G561" s="4" t="s">
        <v>538</v>
      </c>
      <c r="H561" s="4" t="s">
        <v>2056</v>
      </c>
      <c r="I561" s="5" t="n">
        <v>32.07</v>
      </c>
      <c r="J561" s="7" t="n">
        <v>0</v>
      </c>
      <c r="K561" s="5" t="n">
        <v>0</v>
      </c>
      <c r="L561" s="8" t="n">
        <v>0</v>
      </c>
      <c r="M561" s="9" t="n">
        <v>0</v>
      </c>
      <c r="N561" s="10" t="n">
        <v>0.03891051</v>
      </c>
      <c r="O561" s="5" t="n">
        <v>124.79</v>
      </c>
      <c r="P561" s="11" t="n">
        <v>1.04898</v>
      </c>
      <c r="Q561" s="7" t="n">
        <v>257</v>
      </c>
      <c r="R561" s="7" t="n">
        <v>10</v>
      </c>
      <c r="S561" s="7" t="n">
        <v>1</v>
      </c>
      <c r="T561" s="7" t="n">
        <v>1</v>
      </c>
      <c r="U561" s="7" t="n">
        <v>209</v>
      </c>
      <c r="V561" s="7" t="n">
        <v>24</v>
      </c>
    </row>
    <row r="562" customFormat="false" ht="15" hidden="false" customHeight="false" outlineLevel="0" collapsed="false">
      <c r="A562" s="4" t="s">
        <v>2057</v>
      </c>
      <c r="B562" s="4" t="str">
        <f aca="false">IF(AND(I562&gt;='Read Me &amp; Markers'!$B$18,J562&gt;='Read Me &amp; Markers'!$B$19,L562&gt;='Read Me &amp; Markers'!$B$20),"A. Proven winner",IF(AND(I562&gt;='Read Me &amp; Markers'!$B$18,J562&gt;='Read Me &amp; Markers'!$B$19,L562&gt;='Read Me &amp; Markers'!$B$21),"B. Strong performer",IF(AND(I562&gt;='Read Me &amp; Markers'!$B$22,L562&gt;='Read Me &amp; Markers'!$B$23),"C. Scale workhorse",IF(AND(I562&gt;='Read Me &amp; Markers'!$B$24,I562&lt;'Read Me &amp; Markers'!$B$18,J562&gt;='Read Me &amp; Markers'!$B$25,L562&gt;='Read Me &amp; Markers'!$B$26),"D. Promising (needs more spend)",""))))</f>
        <v/>
      </c>
      <c r="C562" s="4" t="s">
        <v>129</v>
      </c>
      <c r="D562" s="4" t="s">
        <v>100</v>
      </c>
      <c r="E562" s="4" t="s">
        <v>757</v>
      </c>
      <c r="F562" s="4" t="s">
        <v>87</v>
      </c>
      <c r="G562" s="4" t="s">
        <v>342</v>
      </c>
      <c r="H562" s="4" t="s">
        <v>2058</v>
      </c>
      <c r="I562" s="5" t="n">
        <v>32.05</v>
      </c>
      <c r="J562" s="7" t="n">
        <v>0</v>
      </c>
      <c r="K562" s="5" t="n">
        <v>0</v>
      </c>
      <c r="L562" s="8" t="n">
        <v>0</v>
      </c>
      <c r="M562" s="9" t="n">
        <v>0</v>
      </c>
      <c r="N562" s="10" t="n">
        <v>0.02228412</v>
      </c>
      <c r="O562" s="5" t="n">
        <v>89.28</v>
      </c>
      <c r="P562" s="11" t="n">
        <v>1.11838</v>
      </c>
      <c r="Q562" s="7" t="n">
        <v>359</v>
      </c>
      <c r="R562" s="7" t="n">
        <v>8</v>
      </c>
      <c r="S562" s="7" t="n">
        <v>0</v>
      </c>
      <c r="T562" s="7" t="n">
        <v>0</v>
      </c>
      <c r="U562" s="7" t="n">
        <v>315</v>
      </c>
      <c r="V562" s="7" t="n">
        <v>34</v>
      </c>
    </row>
    <row r="563" customFormat="false" ht="15" hidden="false" customHeight="false" outlineLevel="0" collapsed="false">
      <c r="A563" s="4" t="s">
        <v>2059</v>
      </c>
      <c r="B563" s="4" t="str">
        <f aca="false">IF(AND(I563&gt;='Read Me &amp; Markers'!$B$18,J563&gt;='Read Me &amp; Markers'!$B$19,L563&gt;='Read Me &amp; Markers'!$B$20),"A. Proven winner",IF(AND(I563&gt;='Read Me &amp; Markers'!$B$18,J563&gt;='Read Me &amp; Markers'!$B$19,L563&gt;='Read Me &amp; Markers'!$B$21),"B. Strong performer",IF(AND(I563&gt;='Read Me &amp; Markers'!$B$22,L563&gt;='Read Me &amp; Markers'!$B$23),"C. Scale workhorse",IF(AND(I563&gt;='Read Me &amp; Markers'!$B$24,I563&lt;'Read Me &amp; Markers'!$B$18,J563&gt;='Read Me &amp; Markers'!$B$25,L563&gt;='Read Me &amp; Markers'!$B$26),"D. Promising (needs more spend)",""))))</f>
        <v/>
      </c>
      <c r="C563" s="4" t="s">
        <v>2060</v>
      </c>
      <c r="D563" s="4" t="s">
        <v>109</v>
      </c>
      <c r="E563" s="4" t="s">
        <v>699</v>
      </c>
      <c r="F563" s="4" t="s">
        <v>87</v>
      </c>
      <c r="G563" s="4" t="s">
        <v>599</v>
      </c>
      <c r="H563" s="4" t="s">
        <v>2061</v>
      </c>
      <c r="I563" s="5" t="n">
        <v>32</v>
      </c>
      <c r="J563" s="7" t="n">
        <v>0</v>
      </c>
      <c r="K563" s="5" t="n">
        <v>0</v>
      </c>
      <c r="L563" s="8" t="n">
        <v>0</v>
      </c>
      <c r="M563" s="9" t="n">
        <v>0</v>
      </c>
      <c r="N563" s="10" t="n">
        <v>0.03017241</v>
      </c>
      <c r="O563" s="5" t="n">
        <v>137.93</v>
      </c>
      <c r="P563" s="11" t="n">
        <v>1.202073</v>
      </c>
      <c r="Q563" s="7" t="n">
        <v>232</v>
      </c>
      <c r="R563" s="7" t="n">
        <v>7</v>
      </c>
      <c r="S563" s="7" t="n">
        <v>1</v>
      </c>
      <c r="T563" s="7" t="n">
        <v>2</v>
      </c>
      <c r="U563" s="7" t="n">
        <v>187</v>
      </c>
      <c r="V563" s="7" t="n">
        <v>36</v>
      </c>
    </row>
    <row r="564" customFormat="false" ht="15" hidden="false" customHeight="false" outlineLevel="0" collapsed="false">
      <c r="A564" s="4" t="s">
        <v>2062</v>
      </c>
      <c r="B564" s="4" t="str">
        <f aca="false">IF(AND(I564&gt;='Read Me &amp; Markers'!$B$18,J564&gt;='Read Me &amp; Markers'!$B$19,L564&gt;='Read Me &amp; Markers'!$B$20),"A. Proven winner",IF(AND(I564&gt;='Read Me &amp; Markers'!$B$18,J564&gt;='Read Me &amp; Markers'!$B$19,L564&gt;='Read Me &amp; Markers'!$B$21),"B. Strong performer",IF(AND(I564&gt;='Read Me &amp; Markers'!$B$22,L564&gt;='Read Me &amp; Markers'!$B$23),"C. Scale workhorse",IF(AND(I564&gt;='Read Me &amp; Markers'!$B$24,I564&lt;'Read Me &amp; Markers'!$B$18,J564&gt;='Read Me &amp; Markers'!$B$25,L564&gt;='Read Me &amp; Markers'!$B$26),"D. Promising (needs more spend)",""))))</f>
        <v/>
      </c>
      <c r="C564" s="4" t="s">
        <v>527</v>
      </c>
      <c r="D564" s="4" t="s">
        <v>154</v>
      </c>
      <c r="E564" s="4" t="s">
        <v>2063</v>
      </c>
      <c r="F564" s="4" t="s">
        <v>253</v>
      </c>
      <c r="G564" s="4" t="s">
        <v>1285</v>
      </c>
      <c r="H564" s="4" t="s">
        <v>2064</v>
      </c>
      <c r="I564" s="5" t="n">
        <v>31.79</v>
      </c>
      <c r="J564" s="7" t="n">
        <v>0</v>
      </c>
      <c r="K564" s="5" t="n">
        <v>0</v>
      </c>
      <c r="L564" s="8" t="n">
        <v>0</v>
      </c>
      <c r="M564" s="9" t="n">
        <v>0</v>
      </c>
      <c r="N564" s="10" t="n">
        <v>0.03174603</v>
      </c>
      <c r="O564" s="5" t="n">
        <v>56.07</v>
      </c>
      <c r="P564" s="11" t="n">
        <v>1.166667</v>
      </c>
      <c r="Q564" s="7" t="n">
        <v>567</v>
      </c>
      <c r="R564" s="7" t="n">
        <v>18</v>
      </c>
      <c r="S564" s="7" t="n">
        <v>1</v>
      </c>
      <c r="T564" s="7" t="n">
        <v>0</v>
      </c>
      <c r="U564" s="7" t="n">
        <v>465</v>
      </c>
      <c r="V564" s="7" t="n">
        <v>63</v>
      </c>
    </row>
    <row r="565" customFormat="false" ht="15" hidden="false" customHeight="false" outlineLevel="0" collapsed="false">
      <c r="A565" s="4" t="s">
        <v>2065</v>
      </c>
      <c r="B565" s="4" t="str">
        <f aca="false">IF(AND(I565&gt;='Read Me &amp; Markers'!$B$18,J565&gt;='Read Me &amp; Markers'!$B$19,L565&gt;='Read Me &amp; Markers'!$B$20),"A. Proven winner",IF(AND(I565&gt;='Read Me &amp; Markers'!$B$18,J565&gt;='Read Me &amp; Markers'!$B$19,L565&gt;='Read Me &amp; Markers'!$B$21),"B. Strong performer",IF(AND(I565&gt;='Read Me &amp; Markers'!$B$22,L565&gt;='Read Me &amp; Markers'!$B$23),"C. Scale workhorse",IF(AND(I565&gt;='Read Me &amp; Markers'!$B$24,I565&lt;'Read Me &amp; Markers'!$B$18,J565&gt;='Read Me &amp; Markers'!$B$25,L565&gt;='Read Me &amp; Markers'!$B$26),"D. Promising (needs more spend)",""))))</f>
        <v/>
      </c>
      <c r="C565" s="4" t="s">
        <v>1596</v>
      </c>
      <c r="D565" s="4" t="s">
        <v>100</v>
      </c>
      <c r="E565" s="4" t="s">
        <v>1952</v>
      </c>
      <c r="F565" s="4" t="s">
        <v>253</v>
      </c>
      <c r="G565" s="4" t="s">
        <v>984</v>
      </c>
      <c r="H565" s="4" t="s">
        <v>2066</v>
      </c>
      <c r="I565" s="5" t="n">
        <v>31.76</v>
      </c>
      <c r="J565" s="7" t="n">
        <v>0</v>
      </c>
      <c r="K565" s="5" t="n">
        <v>0</v>
      </c>
      <c r="L565" s="8" t="n">
        <v>0</v>
      </c>
      <c r="M565" s="9" t="n">
        <v>0</v>
      </c>
      <c r="N565" s="10" t="n">
        <v>0.01195219</v>
      </c>
      <c r="O565" s="5" t="n">
        <v>63.27</v>
      </c>
      <c r="P565" s="11" t="n">
        <v>1.267677</v>
      </c>
      <c r="Q565" s="7" t="n">
        <v>502</v>
      </c>
      <c r="R565" s="7" t="n">
        <v>6</v>
      </c>
      <c r="S565" s="7" t="n">
        <v>0</v>
      </c>
      <c r="T565" s="7" t="n">
        <v>0</v>
      </c>
      <c r="U565" s="7" t="n">
        <v>0</v>
      </c>
      <c r="V565" s="7" t="n">
        <v>0</v>
      </c>
    </row>
    <row r="566" customFormat="false" ht="15" hidden="false" customHeight="false" outlineLevel="0" collapsed="false">
      <c r="A566" s="4" t="s">
        <v>2067</v>
      </c>
      <c r="B566" s="4" t="str">
        <f aca="false">IF(AND(I566&gt;='Read Me &amp; Markers'!$B$18,J566&gt;='Read Me &amp; Markers'!$B$19,L566&gt;='Read Me &amp; Markers'!$B$20),"A. Proven winner",IF(AND(I566&gt;='Read Me &amp; Markers'!$B$18,J566&gt;='Read Me &amp; Markers'!$B$19,L566&gt;='Read Me &amp; Markers'!$B$21),"B. Strong performer",IF(AND(I566&gt;='Read Me &amp; Markers'!$B$22,L566&gt;='Read Me &amp; Markers'!$B$23),"C. Scale workhorse",IF(AND(I566&gt;='Read Me &amp; Markers'!$B$24,I566&lt;'Read Me &amp; Markers'!$B$18,J566&gt;='Read Me &amp; Markers'!$B$25,L566&gt;='Read Me &amp; Markers'!$B$26),"D. Promising (needs more spend)",""))))</f>
        <v/>
      </c>
      <c r="C566" s="4" t="s">
        <v>2068</v>
      </c>
      <c r="D566" s="4" t="s">
        <v>109</v>
      </c>
      <c r="E566" s="4" t="s">
        <v>474</v>
      </c>
      <c r="F566" s="4" t="s">
        <v>111</v>
      </c>
      <c r="G566" s="4" t="s">
        <v>475</v>
      </c>
      <c r="H566" s="4" t="s">
        <v>2069</v>
      </c>
      <c r="I566" s="5" t="n">
        <v>31.68</v>
      </c>
      <c r="J566" s="7" t="n">
        <v>0</v>
      </c>
      <c r="K566" s="5" t="n">
        <v>0</v>
      </c>
      <c r="L566" s="8" t="n">
        <v>0</v>
      </c>
      <c r="M566" s="9" t="n">
        <v>0</v>
      </c>
      <c r="N566" s="10" t="n">
        <v>0.00914634</v>
      </c>
      <c r="O566" s="5" t="n">
        <v>48.29</v>
      </c>
      <c r="P566" s="11" t="n">
        <v>1.273786</v>
      </c>
      <c r="Q566" s="7" t="n">
        <v>656</v>
      </c>
      <c r="R566" s="7" t="n">
        <v>6</v>
      </c>
      <c r="S566" s="7" t="n">
        <v>0</v>
      </c>
      <c r="T566" s="7" t="n">
        <v>0</v>
      </c>
      <c r="U566" s="7" t="n">
        <v>0</v>
      </c>
      <c r="V566" s="7" t="n">
        <v>0</v>
      </c>
    </row>
    <row r="567" customFormat="false" ht="15" hidden="false" customHeight="false" outlineLevel="0" collapsed="false">
      <c r="A567" s="4" t="s">
        <v>2070</v>
      </c>
      <c r="B567" s="4" t="str">
        <f aca="false">IF(AND(I567&gt;='Read Me &amp; Markers'!$B$18,J567&gt;='Read Me &amp; Markers'!$B$19,L567&gt;='Read Me &amp; Markers'!$B$20),"A. Proven winner",IF(AND(I567&gt;='Read Me &amp; Markers'!$B$18,J567&gt;='Read Me &amp; Markers'!$B$19,L567&gt;='Read Me &amp; Markers'!$B$21),"B. Strong performer",IF(AND(I567&gt;='Read Me &amp; Markers'!$B$22,L567&gt;='Read Me &amp; Markers'!$B$23),"C. Scale workhorse",IF(AND(I567&gt;='Read Me &amp; Markers'!$B$24,I567&lt;'Read Me &amp; Markers'!$B$18,J567&gt;='Read Me &amp; Markers'!$B$25,L567&gt;='Read Me &amp; Markers'!$B$26),"D. Promising (needs more spend)",""))))</f>
        <v/>
      </c>
      <c r="C567" s="4" t="s">
        <v>129</v>
      </c>
      <c r="D567" s="4" t="s">
        <v>528</v>
      </c>
      <c r="E567" s="4" t="s">
        <v>2071</v>
      </c>
      <c r="F567" s="4" t="s">
        <v>230</v>
      </c>
      <c r="G567" s="4" t="s">
        <v>530</v>
      </c>
      <c r="H567" s="4" t="s">
        <v>2072</v>
      </c>
      <c r="I567" s="5" t="n">
        <v>31.4</v>
      </c>
      <c r="J567" s="7" t="n">
        <v>0</v>
      </c>
      <c r="K567" s="5" t="n">
        <v>0</v>
      </c>
      <c r="L567" s="8" t="n">
        <v>0</v>
      </c>
      <c r="M567" s="9" t="n">
        <v>0</v>
      </c>
      <c r="N567" s="10" t="n">
        <v>0.04333333</v>
      </c>
      <c r="O567" s="5" t="n">
        <v>104.67</v>
      </c>
      <c r="P567" s="11" t="n">
        <v>1.181102</v>
      </c>
      <c r="Q567" s="7" t="n">
        <v>300</v>
      </c>
      <c r="R567" s="7" t="n">
        <v>13</v>
      </c>
      <c r="S567" s="7" t="n">
        <v>0</v>
      </c>
      <c r="T567" s="7" t="n">
        <v>0</v>
      </c>
      <c r="U567" s="7" t="n">
        <v>254</v>
      </c>
      <c r="V567" s="7" t="n">
        <v>26</v>
      </c>
    </row>
    <row r="568" customFormat="false" ht="15" hidden="false" customHeight="false" outlineLevel="0" collapsed="false">
      <c r="A568" s="4" t="s">
        <v>2073</v>
      </c>
      <c r="B568" s="4" t="str">
        <f aca="false">IF(AND(I568&gt;='Read Me &amp; Markers'!$B$18,J568&gt;='Read Me &amp; Markers'!$B$19,L568&gt;='Read Me &amp; Markers'!$B$20),"A. Proven winner",IF(AND(I568&gt;='Read Me &amp; Markers'!$B$18,J568&gt;='Read Me &amp; Markers'!$B$19,L568&gt;='Read Me &amp; Markers'!$B$21),"B. Strong performer",IF(AND(I568&gt;='Read Me &amp; Markers'!$B$22,L568&gt;='Read Me &amp; Markers'!$B$23),"C. Scale workhorse",IF(AND(I568&gt;='Read Me &amp; Markers'!$B$24,I568&lt;'Read Me &amp; Markers'!$B$18,J568&gt;='Read Me &amp; Markers'!$B$25,L568&gt;='Read Me &amp; Markers'!$B$26),"D. Promising (needs more spend)",""))))</f>
        <v/>
      </c>
      <c r="C568" s="4" t="s">
        <v>98</v>
      </c>
      <c r="D568" s="4" t="s">
        <v>100</v>
      </c>
      <c r="E568" s="4" t="s">
        <v>181</v>
      </c>
      <c r="F568" s="4" t="s">
        <v>87</v>
      </c>
      <c r="G568" s="4" t="s">
        <v>142</v>
      </c>
      <c r="H568" s="4" t="s">
        <v>2074</v>
      </c>
      <c r="I568" s="5" t="n">
        <v>31.38</v>
      </c>
      <c r="J568" s="7" t="n">
        <v>1</v>
      </c>
      <c r="K568" s="5" t="n">
        <v>37.76</v>
      </c>
      <c r="L568" s="8" t="n">
        <v>1.203314</v>
      </c>
      <c r="M568" s="9" t="n">
        <v>31.38</v>
      </c>
      <c r="N568" s="10" t="n">
        <v>0.02205882</v>
      </c>
      <c r="O568" s="5" t="n">
        <v>76.91</v>
      </c>
      <c r="P568" s="11" t="n">
        <v>1.303514</v>
      </c>
      <c r="Q568" s="7" t="n">
        <v>408</v>
      </c>
      <c r="R568" s="7" t="n">
        <v>9</v>
      </c>
      <c r="S568" s="7" t="n">
        <v>2</v>
      </c>
      <c r="T568" s="7" t="n">
        <v>2</v>
      </c>
      <c r="U568" s="7" t="n">
        <v>237</v>
      </c>
      <c r="V568" s="7" t="n">
        <v>23</v>
      </c>
    </row>
    <row r="569" customFormat="false" ht="15" hidden="false" customHeight="false" outlineLevel="0" collapsed="false">
      <c r="A569" s="4" t="s">
        <v>2075</v>
      </c>
      <c r="B569" s="4" t="str">
        <f aca="false">IF(AND(I569&gt;='Read Me &amp; Markers'!$B$18,J569&gt;='Read Me &amp; Markers'!$B$19,L569&gt;='Read Me &amp; Markers'!$B$20),"A. Proven winner",IF(AND(I569&gt;='Read Me &amp; Markers'!$B$18,J569&gt;='Read Me &amp; Markers'!$B$19,L569&gt;='Read Me &amp; Markers'!$B$21),"B. Strong performer",IF(AND(I569&gt;='Read Me &amp; Markers'!$B$22,L569&gt;='Read Me &amp; Markers'!$B$23),"C. Scale workhorse",IF(AND(I569&gt;='Read Me &amp; Markers'!$B$24,I569&lt;'Read Me &amp; Markers'!$B$18,J569&gt;='Read Me &amp; Markers'!$B$25,L569&gt;='Read Me &amp; Markers'!$B$26),"D. Promising (needs more spend)",""))))</f>
        <v/>
      </c>
      <c r="C569" s="4" t="s">
        <v>1905</v>
      </c>
      <c r="D569" s="4" t="s">
        <v>109</v>
      </c>
      <c r="E569" s="4" t="s">
        <v>2076</v>
      </c>
      <c r="F569" s="4" t="s">
        <v>87</v>
      </c>
      <c r="G569" s="4" t="s">
        <v>588</v>
      </c>
      <c r="H569" s="4" t="s">
        <v>2077</v>
      </c>
      <c r="I569" s="5" t="n">
        <v>31.35</v>
      </c>
      <c r="J569" s="7" t="n">
        <v>0</v>
      </c>
      <c r="K569" s="5" t="n">
        <v>0</v>
      </c>
      <c r="L569" s="8" t="n">
        <v>0</v>
      </c>
      <c r="M569" s="9" t="n">
        <v>0</v>
      </c>
      <c r="N569" s="10" t="n">
        <v>0.05376344</v>
      </c>
      <c r="O569" s="5" t="n">
        <v>112.37</v>
      </c>
      <c r="P569" s="11" t="n">
        <v>1.268182</v>
      </c>
      <c r="Q569" s="7" t="n">
        <v>279</v>
      </c>
      <c r="R569" s="7" t="n">
        <v>15</v>
      </c>
      <c r="S569" s="7" t="n">
        <v>0</v>
      </c>
      <c r="T569" s="7" t="n">
        <v>0</v>
      </c>
      <c r="U569" s="7" t="n">
        <v>214</v>
      </c>
      <c r="V569" s="7" t="n">
        <v>67</v>
      </c>
    </row>
    <row r="570" customFormat="false" ht="15" hidden="false" customHeight="false" outlineLevel="0" collapsed="false">
      <c r="A570" s="4" t="s">
        <v>2078</v>
      </c>
      <c r="B570" s="4" t="str">
        <f aca="false">IF(AND(I570&gt;='Read Me &amp; Markers'!$B$18,J570&gt;='Read Me &amp; Markers'!$B$19,L570&gt;='Read Me &amp; Markers'!$B$20),"A. Proven winner",IF(AND(I570&gt;='Read Me &amp; Markers'!$B$18,J570&gt;='Read Me &amp; Markers'!$B$19,L570&gt;='Read Me &amp; Markers'!$B$21),"B. Strong performer",IF(AND(I570&gt;='Read Me &amp; Markers'!$B$22,L570&gt;='Read Me &amp; Markers'!$B$23),"C. Scale workhorse",IF(AND(I570&gt;='Read Me &amp; Markers'!$B$24,I570&lt;'Read Me &amp; Markers'!$B$18,J570&gt;='Read Me &amp; Markers'!$B$25,L570&gt;='Read Me &amp; Markers'!$B$26),"D. Promising (needs more spend)",""))))</f>
        <v/>
      </c>
      <c r="C570" s="4" t="s">
        <v>2079</v>
      </c>
      <c r="D570" s="4" t="s">
        <v>109</v>
      </c>
      <c r="E570" s="4" t="s">
        <v>1590</v>
      </c>
      <c r="F570" s="4" t="s">
        <v>87</v>
      </c>
      <c r="G570" s="4" t="s">
        <v>599</v>
      </c>
      <c r="H570" s="4" t="s">
        <v>2080</v>
      </c>
      <c r="I570" s="5" t="n">
        <v>31.32</v>
      </c>
      <c r="J570" s="7" t="n">
        <v>0</v>
      </c>
      <c r="K570" s="5" t="n">
        <v>0</v>
      </c>
      <c r="L570" s="8" t="n">
        <v>0</v>
      </c>
      <c r="M570" s="9" t="n">
        <v>0</v>
      </c>
      <c r="N570" s="10" t="n">
        <v>0.02352941</v>
      </c>
      <c r="O570" s="5" t="n">
        <v>92.12</v>
      </c>
      <c r="P570" s="11" t="n">
        <v>1.307692</v>
      </c>
      <c r="Q570" s="7" t="n">
        <v>340</v>
      </c>
      <c r="R570" s="7" t="n">
        <v>8</v>
      </c>
      <c r="S570" s="7" t="n">
        <v>1</v>
      </c>
      <c r="T570" s="7" t="n">
        <v>1</v>
      </c>
      <c r="U570" s="7" t="n">
        <v>0</v>
      </c>
      <c r="V570" s="7" t="n">
        <v>0</v>
      </c>
    </row>
    <row r="571" customFormat="false" ht="15" hidden="false" customHeight="false" outlineLevel="0" collapsed="false">
      <c r="A571" s="4" t="s">
        <v>2081</v>
      </c>
      <c r="B571" s="4" t="str">
        <f aca="false">IF(AND(I571&gt;='Read Me &amp; Markers'!$B$18,J571&gt;='Read Me &amp; Markers'!$B$19,L571&gt;='Read Me &amp; Markers'!$B$20),"A. Proven winner",IF(AND(I571&gt;='Read Me &amp; Markers'!$B$18,J571&gt;='Read Me &amp; Markers'!$B$19,L571&gt;='Read Me &amp; Markers'!$B$21),"B. Strong performer",IF(AND(I571&gt;='Read Me &amp; Markers'!$B$22,L571&gt;='Read Me &amp; Markers'!$B$23),"C. Scale workhorse",IF(AND(I571&gt;='Read Me &amp; Markers'!$B$24,I571&lt;'Read Me &amp; Markers'!$B$18,J571&gt;='Read Me &amp; Markers'!$B$25,L571&gt;='Read Me &amp; Markers'!$B$26),"D. Promising (needs more spend)",""))))</f>
        <v/>
      </c>
      <c r="C571" s="4" t="s">
        <v>2082</v>
      </c>
      <c r="D571" s="4" t="s">
        <v>109</v>
      </c>
      <c r="E571" s="4" t="s">
        <v>360</v>
      </c>
      <c r="F571" s="4" t="s">
        <v>87</v>
      </c>
      <c r="G571" s="4" t="s">
        <v>361</v>
      </c>
      <c r="H571" s="4" t="s">
        <v>2083</v>
      </c>
      <c r="I571" s="5" t="n">
        <v>31.29</v>
      </c>
      <c r="J571" s="7" t="n">
        <v>0</v>
      </c>
      <c r="K571" s="5" t="n">
        <v>0</v>
      </c>
      <c r="L571" s="8" t="n">
        <v>0</v>
      </c>
      <c r="M571" s="9" t="n">
        <v>0</v>
      </c>
      <c r="N571" s="10" t="n">
        <v>0.0154185</v>
      </c>
      <c r="O571" s="5" t="n">
        <v>68.92</v>
      </c>
      <c r="P571" s="11" t="n">
        <v>1.217158</v>
      </c>
      <c r="Q571" s="7" t="n">
        <v>454</v>
      </c>
      <c r="R571" s="7" t="n">
        <v>7</v>
      </c>
      <c r="S571" s="7" t="n">
        <v>0</v>
      </c>
      <c r="T571" s="7" t="n">
        <v>0</v>
      </c>
      <c r="U571" s="7" t="n">
        <v>0</v>
      </c>
      <c r="V571" s="7" t="n">
        <v>0</v>
      </c>
    </row>
    <row r="572" customFormat="false" ht="15" hidden="false" customHeight="false" outlineLevel="0" collapsed="false">
      <c r="A572" s="4" t="s">
        <v>2084</v>
      </c>
      <c r="B572" s="4" t="str">
        <f aca="false">IF(AND(I572&gt;='Read Me &amp; Markers'!$B$18,J572&gt;='Read Me &amp; Markers'!$B$19,L572&gt;='Read Me &amp; Markers'!$B$20),"A. Proven winner",IF(AND(I572&gt;='Read Me &amp; Markers'!$B$18,J572&gt;='Read Me &amp; Markers'!$B$19,L572&gt;='Read Me &amp; Markers'!$B$21),"B. Strong performer",IF(AND(I572&gt;='Read Me &amp; Markers'!$B$22,L572&gt;='Read Me &amp; Markers'!$B$23),"C. Scale workhorse",IF(AND(I572&gt;='Read Me &amp; Markers'!$B$24,I572&lt;'Read Me &amp; Markers'!$B$18,J572&gt;='Read Me &amp; Markers'!$B$25,L572&gt;='Read Me &amp; Markers'!$B$26),"D. Promising (needs more spend)",""))))</f>
        <v/>
      </c>
      <c r="C572" s="4" t="s">
        <v>2085</v>
      </c>
      <c r="D572" s="4" t="s">
        <v>109</v>
      </c>
      <c r="E572" s="4" t="s">
        <v>734</v>
      </c>
      <c r="F572" s="4" t="s">
        <v>87</v>
      </c>
      <c r="G572" s="4" t="s">
        <v>583</v>
      </c>
      <c r="H572" s="4" t="s">
        <v>2086</v>
      </c>
      <c r="I572" s="5" t="n">
        <v>31.12</v>
      </c>
      <c r="J572" s="7" t="n">
        <v>0</v>
      </c>
      <c r="K572" s="5" t="n">
        <v>0</v>
      </c>
      <c r="L572" s="8" t="n">
        <v>0</v>
      </c>
      <c r="M572" s="9" t="n">
        <v>0</v>
      </c>
      <c r="N572" s="10" t="n">
        <v>0.03861004</v>
      </c>
      <c r="O572" s="5" t="n">
        <v>120.15</v>
      </c>
      <c r="P572" s="11" t="n">
        <v>1.070248</v>
      </c>
      <c r="Q572" s="7" t="n">
        <v>259</v>
      </c>
      <c r="R572" s="7" t="n">
        <v>10</v>
      </c>
      <c r="S572" s="7" t="n">
        <v>1</v>
      </c>
      <c r="T572" s="7" t="n">
        <v>0</v>
      </c>
      <c r="U572" s="7" t="n">
        <v>254</v>
      </c>
      <c r="V572" s="7" t="n">
        <v>21</v>
      </c>
    </row>
    <row r="573" customFormat="false" ht="15" hidden="false" customHeight="false" outlineLevel="0" collapsed="false">
      <c r="A573" s="4" t="s">
        <v>2087</v>
      </c>
      <c r="B573" s="4" t="str">
        <f aca="false">IF(AND(I573&gt;='Read Me &amp; Markers'!$B$18,J573&gt;='Read Me &amp; Markers'!$B$19,L573&gt;='Read Me &amp; Markers'!$B$20),"A. Proven winner",IF(AND(I573&gt;='Read Me &amp; Markers'!$B$18,J573&gt;='Read Me &amp; Markers'!$B$19,L573&gt;='Read Me &amp; Markers'!$B$21),"B. Strong performer",IF(AND(I573&gt;='Read Me &amp; Markers'!$B$22,L573&gt;='Read Me &amp; Markers'!$B$23),"C. Scale workhorse",IF(AND(I573&gt;='Read Me &amp; Markers'!$B$24,I573&lt;'Read Me &amp; Markers'!$B$18,J573&gt;='Read Me &amp; Markers'!$B$25,L573&gt;='Read Me &amp; Markers'!$B$26),"D. Promising (needs more spend)",""))))</f>
        <v/>
      </c>
      <c r="C573" s="4" t="s">
        <v>2088</v>
      </c>
      <c r="D573" s="4" t="s">
        <v>109</v>
      </c>
      <c r="E573" s="4" t="s">
        <v>435</v>
      </c>
      <c r="F573" s="4" t="s">
        <v>111</v>
      </c>
      <c r="G573" s="4" t="s">
        <v>500</v>
      </c>
      <c r="H573" s="4" t="s">
        <v>2089</v>
      </c>
      <c r="I573" s="5" t="n">
        <v>30.97</v>
      </c>
      <c r="J573" s="7" t="n">
        <v>2</v>
      </c>
      <c r="K573" s="5" t="n">
        <v>51.94</v>
      </c>
      <c r="L573" s="8" t="n">
        <v>1.677107</v>
      </c>
      <c r="M573" s="9" t="n">
        <v>15.49</v>
      </c>
      <c r="N573" s="10" t="n">
        <v>0.01023891</v>
      </c>
      <c r="O573" s="5" t="n">
        <v>105.7</v>
      </c>
      <c r="P573" s="11" t="n">
        <v>1.236287</v>
      </c>
      <c r="Q573" s="7" t="n">
        <v>293</v>
      </c>
      <c r="R573" s="7" t="n">
        <v>3</v>
      </c>
      <c r="S573" s="7" t="n">
        <v>2</v>
      </c>
      <c r="T573" s="7" t="n">
        <v>3</v>
      </c>
      <c r="U573" s="7" t="n">
        <v>277</v>
      </c>
      <c r="V573" s="7" t="n">
        <v>77</v>
      </c>
    </row>
    <row r="574" customFormat="false" ht="15" hidden="false" customHeight="false" outlineLevel="0" collapsed="false">
      <c r="A574" s="4" t="s">
        <v>2090</v>
      </c>
      <c r="B574" s="4" t="str">
        <f aca="false">IF(AND(I574&gt;='Read Me &amp; Markers'!$B$18,J574&gt;='Read Me &amp; Markers'!$B$19,L574&gt;='Read Me &amp; Markers'!$B$20),"A. Proven winner",IF(AND(I574&gt;='Read Me &amp; Markers'!$B$18,J574&gt;='Read Me &amp; Markers'!$B$19,L574&gt;='Read Me &amp; Markers'!$B$21),"B. Strong performer",IF(AND(I574&gt;='Read Me &amp; Markers'!$B$22,L574&gt;='Read Me &amp; Markers'!$B$23),"C. Scale workhorse",IF(AND(I574&gt;='Read Me &amp; Markers'!$B$24,I574&lt;'Read Me &amp; Markers'!$B$18,J574&gt;='Read Me &amp; Markers'!$B$25,L574&gt;='Read Me &amp; Markers'!$B$26),"D. Promising (needs more spend)",""))))</f>
        <v/>
      </c>
      <c r="C574" s="4" t="s">
        <v>169</v>
      </c>
      <c r="D574" s="4" t="s">
        <v>100</v>
      </c>
      <c r="E574" s="4" t="s">
        <v>2091</v>
      </c>
      <c r="F574" s="4" t="s">
        <v>87</v>
      </c>
      <c r="G574" s="4" t="s">
        <v>124</v>
      </c>
      <c r="H574" s="4" t="s">
        <v>2092</v>
      </c>
      <c r="I574" s="5" t="n">
        <v>30.66</v>
      </c>
      <c r="J574" s="7" t="n">
        <v>0</v>
      </c>
      <c r="K574" s="5" t="n">
        <v>0</v>
      </c>
      <c r="L574" s="8" t="n">
        <v>0</v>
      </c>
      <c r="M574" s="9" t="n">
        <v>0</v>
      </c>
      <c r="N574" s="10" t="n">
        <v>0.02569593</v>
      </c>
      <c r="O574" s="5" t="n">
        <v>65.65</v>
      </c>
      <c r="P574" s="11" t="n">
        <v>1.042411</v>
      </c>
      <c r="Q574" s="7" t="n">
        <v>467</v>
      </c>
      <c r="R574" s="7" t="n">
        <v>12</v>
      </c>
      <c r="S574" s="7" t="n">
        <v>1</v>
      </c>
      <c r="T574" s="7" t="n">
        <v>0</v>
      </c>
      <c r="U574" s="7" t="n">
        <v>421</v>
      </c>
      <c r="V574" s="7" t="n">
        <v>18</v>
      </c>
    </row>
    <row r="575" customFormat="false" ht="15" hidden="false" customHeight="false" outlineLevel="0" collapsed="false">
      <c r="A575" s="4" t="s">
        <v>2093</v>
      </c>
      <c r="B575" s="4" t="str">
        <f aca="false">IF(AND(I575&gt;='Read Me &amp; Markers'!$B$18,J575&gt;='Read Me &amp; Markers'!$B$19,L575&gt;='Read Me &amp; Markers'!$B$20),"A. Proven winner",IF(AND(I575&gt;='Read Me &amp; Markers'!$B$18,J575&gt;='Read Me &amp; Markers'!$B$19,L575&gt;='Read Me &amp; Markers'!$B$21),"B. Strong performer",IF(AND(I575&gt;='Read Me &amp; Markers'!$B$22,L575&gt;='Read Me &amp; Markers'!$B$23),"C. Scale workhorse",IF(AND(I575&gt;='Read Me &amp; Markers'!$B$24,I575&lt;'Read Me &amp; Markers'!$B$18,J575&gt;='Read Me &amp; Markers'!$B$25,L575&gt;='Read Me &amp; Markers'!$B$26),"D. Promising (needs more spend)",""))))</f>
        <v/>
      </c>
      <c r="C575" s="4" t="s">
        <v>2094</v>
      </c>
      <c r="D575" s="4" t="s">
        <v>154</v>
      </c>
      <c r="E575" s="4" t="s">
        <v>155</v>
      </c>
      <c r="F575" s="4" t="s">
        <v>87</v>
      </c>
      <c r="G575" s="4" t="s">
        <v>156</v>
      </c>
      <c r="H575" s="4" t="s">
        <v>2095</v>
      </c>
      <c r="I575" s="5" t="n">
        <v>29.93</v>
      </c>
      <c r="J575" s="7" t="n">
        <v>0</v>
      </c>
      <c r="K575" s="5" t="n">
        <v>0</v>
      </c>
      <c r="L575" s="8" t="n">
        <v>0</v>
      </c>
      <c r="M575" s="9" t="n">
        <v>0</v>
      </c>
      <c r="N575" s="10" t="n">
        <v>0.05625</v>
      </c>
      <c r="O575" s="5" t="n">
        <v>93.53</v>
      </c>
      <c r="P575" s="11" t="n">
        <v>1.15942</v>
      </c>
      <c r="Q575" s="7" t="n">
        <v>320</v>
      </c>
      <c r="R575" s="7" t="n">
        <v>18</v>
      </c>
      <c r="S575" s="7" t="n">
        <v>0</v>
      </c>
      <c r="T575" s="7" t="n">
        <v>1</v>
      </c>
      <c r="U575" s="7" t="n">
        <v>290</v>
      </c>
      <c r="V575" s="7" t="n">
        <v>28</v>
      </c>
    </row>
    <row r="576" customFormat="false" ht="15" hidden="false" customHeight="false" outlineLevel="0" collapsed="false">
      <c r="A576" s="4" t="s">
        <v>2096</v>
      </c>
      <c r="B576" s="4" t="str">
        <f aca="false">IF(AND(I576&gt;='Read Me &amp; Markers'!$B$18,J576&gt;='Read Me &amp; Markers'!$B$19,L576&gt;='Read Me &amp; Markers'!$B$20),"A. Proven winner",IF(AND(I576&gt;='Read Me &amp; Markers'!$B$18,J576&gt;='Read Me &amp; Markers'!$B$19,L576&gt;='Read Me &amp; Markers'!$B$21),"B. Strong performer",IF(AND(I576&gt;='Read Me &amp; Markers'!$B$22,L576&gt;='Read Me &amp; Markers'!$B$23),"C. Scale workhorse",IF(AND(I576&gt;='Read Me &amp; Markers'!$B$24,I576&lt;'Read Me &amp; Markers'!$B$18,J576&gt;='Read Me &amp; Markers'!$B$25,L576&gt;='Read Me &amp; Markers'!$B$26),"D. Promising (needs more spend)",""))))</f>
        <v/>
      </c>
      <c r="C576" s="4" t="s">
        <v>98</v>
      </c>
      <c r="D576" s="4" t="s">
        <v>100</v>
      </c>
      <c r="E576" s="4" t="s">
        <v>2097</v>
      </c>
      <c r="F576" s="4" t="s">
        <v>87</v>
      </c>
      <c r="G576" s="4" t="s">
        <v>88</v>
      </c>
      <c r="H576" s="4" t="s">
        <v>2098</v>
      </c>
      <c r="I576" s="5" t="n">
        <v>29.8</v>
      </c>
      <c r="J576" s="7" t="n">
        <v>0</v>
      </c>
      <c r="K576" s="5" t="n">
        <v>0</v>
      </c>
      <c r="L576" s="8" t="n">
        <v>0</v>
      </c>
      <c r="M576" s="9" t="n">
        <v>0</v>
      </c>
      <c r="N576" s="10" t="n">
        <v>0.03539823</v>
      </c>
      <c r="O576" s="5" t="n">
        <v>87.91</v>
      </c>
      <c r="P576" s="11" t="n">
        <v>1.185315</v>
      </c>
      <c r="Q576" s="7" t="n">
        <v>339</v>
      </c>
      <c r="R576" s="7" t="n">
        <v>12</v>
      </c>
      <c r="S576" s="7" t="n">
        <v>4</v>
      </c>
      <c r="T576" s="7" t="n">
        <v>3</v>
      </c>
      <c r="U576" s="7" t="n">
        <v>285</v>
      </c>
      <c r="V576" s="7" t="n">
        <v>25</v>
      </c>
    </row>
    <row r="577" customFormat="false" ht="15" hidden="false" customHeight="false" outlineLevel="0" collapsed="false">
      <c r="A577" s="4" t="s">
        <v>2099</v>
      </c>
      <c r="B577" s="4" t="str">
        <f aca="false">IF(AND(I577&gt;='Read Me &amp; Markers'!$B$18,J577&gt;='Read Me &amp; Markers'!$B$19,L577&gt;='Read Me &amp; Markers'!$B$20),"A. Proven winner",IF(AND(I577&gt;='Read Me &amp; Markers'!$B$18,J577&gt;='Read Me &amp; Markers'!$B$19,L577&gt;='Read Me &amp; Markers'!$B$21),"B. Strong performer",IF(AND(I577&gt;='Read Me &amp; Markers'!$B$22,L577&gt;='Read Me &amp; Markers'!$B$23),"C. Scale workhorse",IF(AND(I577&gt;='Read Me &amp; Markers'!$B$24,I577&lt;'Read Me &amp; Markers'!$B$18,J577&gt;='Read Me &amp; Markers'!$B$25,L577&gt;='Read Me &amp; Markers'!$B$26),"D. Promising (needs more spend)",""))))</f>
        <v/>
      </c>
      <c r="C577" s="4" t="s">
        <v>129</v>
      </c>
      <c r="D577" s="4" t="s">
        <v>206</v>
      </c>
      <c r="E577" s="4" t="s">
        <v>1433</v>
      </c>
      <c r="F577" s="4" t="s">
        <v>87</v>
      </c>
      <c r="G577" s="4" t="s">
        <v>743</v>
      </c>
      <c r="H577" s="4" t="s">
        <v>2100</v>
      </c>
      <c r="I577" s="5" t="n">
        <v>29.76</v>
      </c>
      <c r="J577" s="7" t="n">
        <v>0</v>
      </c>
      <c r="K577" s="5" t="n">
        <v>0</v>
      </c>
      <c r="L577" s="8" t="n">
        <v>0</v>
      </c>
      <c r="M577" s="9" t="n">
        <v>0</v>
      </c>
      <c r="N577" s="10" t="n">
        <v>0.06597222</v>
      </c>
      <c r="O577" s="5" t="n">
        <v>103.33</v>
      </c>
      <c r="P577" s="11" t="n">
        <v>1.14741</v>
      </c>
      <c r="Q577" s="7" t="n">
        <v>288</v>
      </c>
      <c r="R577" s="7" t="n">
        <v>19</v>
      </c>
      <c r="S577" s="7" t="n">
        <v>1</v>
      </c>
      <c r="T577" s="7" t="n">
        <v>0</v>
      </c>
      <c r="U577" s="7" t="n">
        <v>236</v>
      </c>
      <c r="V577" s="7" t="n">
        <v>24</v>
      </c>
    </row>
    <row r="578" customFormat="false" ht="15" hidden="false" customHeight="false" outlineLevel="0" collapsed="false">
      <c r="A578" s="4" t="s">
        <v>2101</v>
      </c>
      <c r="B578" s="4" t="str">
        <f aca="false">IF(AND(I578&gt;='Read Me &amp; Markers'!$B$18,J578&gt;='Read Me &amp; Markers'!$B$19,L578&gt;='Read Me &amp; Markers'!$B$20),"A. Proven winner",IF(AND(I578&gt;='Read Me &amp; Markers'!$B$18,J578&gt;='Read Me &amp; Markers'!$B$19,L578&gt;='Read Me &amp; Markers'!$B$21),"B. Strong performer",IF(AND(I578&gt;='Read Me &amp; Markers'!$B$22,L578&gt;='Read Me &amp; Markers'!$B$23),"C. Scale workhorse",IF(AND(I578&gt;='Read Me &amp; Markers'!$B$24,I578&lt;'Read Me &amp; Markers'!$B$18,J578&gt;='Read Me &amp; Markers'!$B$25,L578&gt;='Read Me &amp; Markers'!$B$26),"D. Promising (needs more spend)",""))))</f>
        <v/>
      </c>
      <c r="C578" s="4" t="s">
        <v>2102</v>
      </c>
      <c r="D578" s="4" t="s">
        <v>109</v>
      </c>
      <c r="E578" s="4" t="s">
        <v>1606</v>
      </c>
      <c r="F578" s="4" t="s">
        <v>87</v>
      </c>
      <c r="G578" s="4" t="s">
        <v>583</v>
      </c>
      <c r="H578" s="4" t="s">
        <v>2103</v>
      </c>
      <c r="I578" s="5" t="n">
        <v>29.74</v>
      </c>
      <c r="J578" s="7" t="n">
        <v>0</v>
      </c>
      <c r="K578" s="5" t="n">
        <v>0</v>
      </c>
      <c r="L578" s="8" t="n">
        <v>0</v>
      </c>
      <c r="M578" s="9" t="n">
        <v>0</v>
      </c>
      <c r="N578" s="10" t="n">
        <v>0.08076923</v>
      </c>
      <c r="O578" s="5" t="n">
        <v>114.38</v>
      </c>
      <c r="P578" s="11" t="n">
        <v>1.780822</v>
      </c>
      <c r="Q578" s="7" t="n">
        <v>260</v>
      </c>
      <c r="R578" s="7" t="n">
        <v>21</v>
      </c>
      <c r="S578" s="7" t="n">
        <v>0</v>
      </c>
      <c r="T578" s="7" t="n">
        <v>0</v>
      </c>
      <c r="U578" s="7" t="n">
        <v>237</v>
      </c>
      <c r="V578" s="7" t="n">
        <v>87</v>
      </c>
    </row>
    <row r="579" customFormat="false" ht="15" hidden="false" customHeight="false" outlineLevel="0" collapsed="false">
      <c r="A579" s="4" t="s">
        <v>2104</v>
      </c>
      <c r="B579" s="4" t="str">
        <f aca="false">IF(AND(I579&gt;='Read Me &amp; Markers'!$B$18,J579&gt;='Read Me &amp; Markers'!$B$19,L579&gt;='Read Me &amp; Markers'!$B$20),"A. Proven winner",IF(AND(I579&gt;='Read Me &amp; Markers'!$B$18,J579&gt;='Read Me &amp; Markers'!$B$19,L579&gt;='Read Me &amp; Markers'!$B$21),"B. Strong performer",IF(AND(I579&gt;='Read Me &amp; Markers'!$B$22,L579&gt;='Read Me &amp; Markers'!$B$23),"C. Scale workhorse",IF(AND(I579&gt;='Read Me &amp; Markers'!$B$24,I579&lt;'Read Me &amp; Markers'!$B$18,J579&gt;='Read Me &amp; Markers'!$B$25,L579&gt;='Read Me &amp; Markers'!$B$26),"D. Promising (needs more spend)",""))))</f>
        <v/>
      </c>
      <c r="C579" s="4" t="s">
        <v>121</v>
      </c>
      <c r="D579" s="4" t="s">
        <v>100</v>
      </c>
      <c r="E579" s="4" t="s">
        <v>1423</v>
      </c>
      <c r="F579" s="4" t="s">
        <v>87</v>
      </c>
      <c r="G579" s="4" t="s">
        <v>310</v>
      </c>
      <c r="H579" s="4" t="s">
        <v>2105</v>
      </c>
      <c r="I579" s="5" t="n">
        <v>29.59</v>
      </c>
      <c r="J579" s="7" t="n">
        <v>0</v>
      </c>
      <c r="K579" s="5" t="n">
        <v>0</v>
      </c>
      <c r="L579" s="8" t="n">
        <v>0</v>
      </c>
      <c r="M579" s="9" t="n">
        <v>0</v>
      </c>
      <c r="N579" s="10" t="n">
        <v>0.02247191</v>
      </c>
      <c r="O579" s="5" t="n">
        <v>66.49</v>
      </c>
      <c r="P579" s="11" t="n">
        <v>1.236111</v>
      </c>
      <c r="Q579" s="7" t="n">
        <v>445</v>
      </c>
      <c r="R579" s="7" t="n">
        <v>10</v>
      </c>
      <c r="S579" s="7" t="n">
        <v>1</v>
      </c>
      <c r="T579" s="7" t="n">
        <v>0</v>
      </c>
      <c r="U579" s="7" t="n">
        <v>321</v>
      </c>
      <c r="V579" s="7" t="n">
        <v>29</v>
      </c>
    </row>
    <row r="580" customFormat="false" ht="15" hidden="false" customHeight="false" outlineLevel="0" collapsed="false">
      <c r="A580" s="4" t="s">
        <v>2106</v>
      </c>
      <c r="B580" s="4" t="str">
        <f aca="false">IF(AND(I580&gt;='Read Me &amp; Markers'!$B$18,J580&gt;='Read Me &amp; Markers'!$B$19,L580&gt;='Read Me &amp; Markers'!$B$20),"A. Proven winner",IF(AND(I580&gt;='Read Me &amp; Markers'!$B$18,J580&gt;='Read Me &amp; Markers'!$B$19,L580&gt;='Read Me &amp; Markers'!$B$21),"B. Strong performer",IF(AND(I580&gt;='Read Me &amp; Markers'!$B$22,L580&gt;='Read Me &amp; Markers'!$B$23),"C. Scale workhorse",IF(AND(I580&gt;='Read Me &amp; Markers'!$B$24,I580&lt;'Read Me &amp; Markers'!$B$18,J580&gt;='Read Me &amp; Markers'!$B$25,L580&gt;='Read Me &amp; Markers'!$B$26),"D. Promising (needs more spend)",""))))</f>
        <v/>
      </c>
      <c r="C580" s="4" t="s">
        <v>2107</v>
      </c>
      <c r="D580" s="4" t="s">
        <v>109</v>
      </c>
      <c r="E580" s="4" t="s">
        <v>2108</v>
      </c>
      <c r="F580" s="4" t="s">
        <v>87</v>
      </c>
      <c r="G580" s="4" t="s">
        <v>361</v>
      </c>
      <c r="H580" s="4" t="s">
        <v>2109</v>
      </c>
      <c r="I580" s="5" t="n">
        <v>29.45</v>
      </c>
      <c r="J580" s="7" t="n">
        <v>0</v>
      </c>
      <c r="K580" s="5" t="n">
        <v>0</v>
      </c>
      <c r="L580" s="8" t="n">
        <v>0</v>
      </c>
      <c r="M580" s="9" t="n">
        <v>0</v>
      </c>
      <c r="N580" s="10" t="n">
        <v>0.00671141</v>
      </c>
      <c r="O580" s="5" t="n">
        <v>197.65</v>
      </c>
      <c r="P580" s="11" t="n">
        <v>1.020548</v>
      </c>
      <c r="Q580" s="7" t="n">
        <v>149</v>
      </c>
      <c r="R580" s="7" t="n">
        <v>1</v>
      </c>
      <c r="S580" s="7" t="n">
        <v>0</v>
      </c>
      <c r="T580" s="7" t="n">
        <v>0</v>
      </c>
      <c r="U580" s="7" t="n">
        <v>145</v>
      </c>
      <c r="V580" s="7" t="n">
        <v>25</v>
      </c>
    </row>
    <row r="581" customFormat="false" ht="15" hidden="false" customHeight="false" outlineLevel="0" collapsed="false">
      <c r="A581" s="4" t="s">
        <v>2110</v>
      </c>
      <c r="B581" s="4" t="str">
        <f aca="false">IF(AND(I581&gt;='Read Me &amp; Markers'!$B$18,J581&gt;='Read Me &amp; Markers'!$B$19,L581&gt;='Read Me &amp; Markers'!$B$20),"A. Proven winner",IF(AND(I581&gt;='Read Me &amp; Markers'!$B$18,J581&gt;='Read Me &amp; Markers'!$B$19,L581&gt;='Read Me &amp; Markers'!$B$21),"B. Strong performer",IF(AND(I581&gt;='Read Me &amp; Markers'!$B$22,L581&gt;='Read Me &amp; Markers'!$B$23),"C. Scale workhorse",IF(AND(I581&gt;='Read Me &amp; Markers'!$B$24,I581&lt;'Read Me &amp; Markers'!$B$18,J581&gt;='Read Me &amp; Markers'!$B$25,L581&gt;='Read Me &amp; Markers'!$B$26),"D. Promising (needs more spend)",""))))</f>
        <v/>
      </c>
      <c r="C581" s="4" t="s">
        <v>2111</v>
      </c>
      <c r="D581" s="4" t="s">
        <v>154</v>
      </c>
      <c r="E581" s="4" t="s">
        <v>1650</v>
      </c>
      <c r="F581" s="4" t="s">
        <v>253</v>
      </c>
      <c r="G581" s="4" t="s">
        <v>294</v>
      </c>
      <c r="H581" s="4" t="s">
        <v>2112</v>
      </c>
      <c r="I581" s="5" t="n">
        <v>29.41</v>
      </c>
      <c r="J581" s="7" t="n">
        <v>1</v>
      </c>
      <c r="K581" s="5" t="n">
        <v>48.36</v>
      </c>
      <c r="L581" s="8" t="n">
        <v>1.644339</v>
      </c>
      <c r="M581" s="9" t="n">
        <v>29.41</v>
      </c>
      <c r="N581" s="10" t="n">
        <v>0.02226345</v>
      </c>
      <c r="O581" s="5" t="n">
        <v>54.56</v>
      </c>
      <c r="P581" s="11" t="n">
        <v>1.171739</v>
      </c>
      <c r="Q581" s="7" t="n">
        <v>539</v>
      </c>
      <c r="R581" s="7" t="n">
        <v>12</v>
      </c>
      <c r="S581" s="7" t="n">
        <v>3</v>
      </c>
      <c r="T581" s="7" t="n">
        <v>4</v>
      </c>
      <c r="U581" s="7" t="n">
        <v>476</v>
      </c>
      <c r="V581" s="7" t="n">
        <v>56</v>
      </c>
    </row>
    <row r="582" customFormat="false" ht="15" hidden="false" customHeight="false" outlineLevel="0" collapsed="false">
      <c r="A582" s="4" t="s">
        <v>2113</v>
      </c>
      <c r="B582" s="4" t="str">
        <f aca="false">IF(AND(I582&gt;='Read Me &amp; Markers'!$B$18,J582&gt;='Read Me &amp; Markers'!$B$19,L582&gt;='Read Me &amp; Markers'!$B$20),"A. Proven winner",IF(AND(I582&gt;='Read Me &amp; Markers'!$B$18,J582&gt;='Read Me &amp; Markers'!$B$19,L582&gt;='Read Me &amp; Markers'!$B$21),"B. Strong performer",IF(AND(I582&gt;='Read Me &amp; Markers'!$B$22,L582&gt;='Read Me &amp; Markers'!$B$23),"C. Scale workhorse",IF(AND(I582&gt;='Read Me &amp; Markers'!$B$24,I582&lt;'Read Me &amp; Markers'!$B$18,J582&gt;='Read Me &amp; Markers'!$B$25,L582&gt;='Read Me &amp; Markers'!$B$26),"D. Promising (needs more spend)",""))))</f>
        <v/>
      </c>
      <c r="C582" s="4" t="s">
        <v>169</v>
      </c>
      <c r="D582" s="4" t="s">
        <v>100</v>
      </c>
      <c r="E582" s="4" t="s">
        <v>2114</v>
      </c>
      <c r="F582" s="4" t="s">
        <v>87</v>
      </c>
      <c r="G582" s="4" t="s">
        <v>440</v>
      </c>
      <c r="H582" s="4" t="s">
        <v>2115</v>
      </c>
      <c r="I582" s="5" t="n">
        <v>29.04</v>
      </c>
      <c r="J582" s="7" t="n">
        <v>0</v>
      </c>
      <c r="K582" s="5" t="n">
        <v>0</v>
      </c>
      <c r="L582" s="8" t="n">
        <v>0</v>
      </c>
      <c r="M582" s="9" t="n">
        <v>0</v>
      </c>
      <c r="N582" s="10" t="n">
        <v>0.02970297</v>
      </c>
      <c r="O582" s="5" t="n">
        <v>95.84</v>
      </c>
      <c r="P582" s="11" t="n">
        <v>1.188235</v>
      </c>
      <c r="Q582" s="7" t="n">
        <v>303</v>
      </c>
      <c r="R582" s="7" t="n">
        <v>9</v>
      </c>
      <c r="S582" s="7" t="n">
        <v>0</v>
      </c>
      <c r="T582" s="7" t="n">
        <v>0</v>
      </c>
      <c r="U582" s="7" t="n">
        <v>245</v>
      </c>
      <c r="V582" s="7" t="n">
        <v>14</v>
      </c>
    </row>
    <row r="583" customFormat="false" ht="15" hidden="false" customHeight="false" outlineLevel="0" collapsed="false">
      <c r="A583" s="4" t="s">
        <v>2116</v>
      </c>
      <c r="B583" s="4" t="str">
        <f aca="false">IF(AND(I583&gt;='Read Me &amp; Markers'!$B$18,J583&gt;='Read Me &amp; Markers'!$B$19,L583&gt;='Read Me &amp; Markers'!$B$20),"A. Proven winner",IF(AND(I583&gt;='Read Me &amp; Markers'!$B$18,J583&gt;='Read Me &amp; Markers'!$B$19,L583&gt;='Read Me &amp; Markers'!$B$21),"B. Strong performer",IF(AND(I583&gt;='Read Me &amp; Markers'!$B$22,L583&gt;='Read Me &amp; Markers'!$B$23),"C. Scale workhorse",IF(AND(I583&gt;='Read Me &amp; Markers'!$B$24,I583&lt;'Read Me &amp; Markers'!$B$18,J583&gt;='Read Me &amp; Markers'!$B$25,L583&gt;='Read Me &amp; Markers'!$B$26),"D. Promising (needs more spend)",""))))</f>
        <v/>
      </c>
      <c r="C583" s="4" t="s">
        <v>121</v>
      </c>
      <c r="D583" s="4" t="s">
        <v>100</v>
      </c>
      <c r="E583" s="4" t="s">
        <v>521</v>
      </c>
      <c r="F583" s="4" t="s">
        <v>87</v>
      </c>
      <c r="G583" s="4" t="s">
        <v>440</v>
      </c>
      <c r="H583" s="4" t="s">
        <v>2117</v>
      </c>
      <c r="I583" s="5" t="n">
        <v>28.91</v>
      </c>
      <c r="J583" s="7" t="n">
        <v>0</v>
      </c>
      <c r="K583" s="5" t="n">
        <v>0</v>
      </c>
      <c r="L583" s="8" t="n">
        <v>0</v>
      </c>
      <c r="M583" s="9" t="n">
        <v>0</v>
      </c>
      <c r="N583" s="10" t="n">
        <v>0.04142012</v>
      </c>
      <c r="O583" s="5" t="n">
        <v>85.53</v>
      </c>
      <c r="P583" s="11" t="n">
        <v>1.1777</v>
      </c>
      <c r="Q583" s="7" t="n">
        <v>338</v>
      </c>
      <c r="R583" s="7" t="n">
        <v>14</v>
      </c>
      <c r="S583" s="7" t="n">
        <v>0</v>
      </c>
      <c r="T583" s="7" t="n">
        <v>0</v>
      </c>
      <c r="U583" s="7" t="n">
        <v>311</v>
      </c>
      <c r="V583" s="7" t="n">
        <v>76</v>
      </c>
    </row>
    <row r="584" customFormat="false" ht="15" hidden="false" customHeight="false" outlineLevel="0" collapsed="false">
      <c r="A584" s="4" t="s">
        <v>2118</v>
      </c>
      <c r="B584" s="4" t="str">
        <f aca="false">IF(AND(I584&gt;='Read Me &amp; Markers'!$B$18,J584&gt;='Read Me &amp; Markers'!$B$19,L584&gt;='Read Me &amp; Markers'!$B$20),"A. Proven winner",IF(AND(I584&gt;='Read Me &amp; Markers'!$B$18,J584&gt;='Read Me &amp; Markers'!$B$19,L584&gt;='Read Me &amp; Markers'!$B$21),"B. Strong performer",IF(AND(I584&gt;='Read Me &amp; Markers'!$B$22,L584&gt;='Read Me &amp; Markers'!$B$23),"C. Scale workhorse",IF(AND(I584&gt;='Read Me &amp; Markers'!$B$24,I584&lt;'Read Me &amp; Markers'!$B$18,J584&gt;='Read Me &amp; Markers'!$B$25,L584&gt;='Read Me &amp; Markers'!$B$26),"D. Promising (needs more spend)",""))))</f>
        <v/>
      </c>
      <c r="C584" s="4" t="s">
        <v>169</v>
      </c>
      <c r="D584" s="4" t="s">
        <v>206</v>
      </c>
      <c r="E584" s="4" t="s">
        <v>2119</v>
      </c>
      <c r="F584" s="4" t="s">
        <v>87</v>
      </c>
      <c r="G584" s="4" t="s">
        <v>208</v>
      </c>
      <c r="H584" s="4" t="s">
        <v>2120</v>
      </c>
      <c r="I584" s="5" t="n">
        <v>28.63</v>
      </c>
      <c r="J584" s="7" t="n">
        <v>0</v>
      </c>
      <c r="K584" s="5" t="n">
        <v>0</v>
      </c>
      <c r="L584" s="8" t="n">
        <v>0</v>
      </c>
      <c r="M584" s="9" t="n">
        <v>0</v>
      </c>
      <c r="N584" s="10" t="n">
        <v>0.00598802</v>
      </c>
      <c r="O584" s="5" t="n">
        <v>85.72</v>
      </c>
      <c r="P584" s="11" t="n">
        <v>1.210145</v>
      </c>
      <c r="Q584" s="7" t="n">
        <v>334</v>
      </c>
      <c r="R584" s="7" t="n">
        <v>2</v>
      </c>
      <c r="S584" s="7" t="n">
        <v>0</v>
      </c>
      <c r="T584" s="7" t="n">
        <v>0</v>
      </c>
      <c r="U584" s="7" t="n">
        <v>285</v>
      </c>
      <c r="V584" s="7" t="n">
        <v>38</v>
      </c>
    </row>
    <row r="585" customFormat="false" ht="15" hidden="false" customHeight="false" outlineLevel="0" collapsed="false">
      <c r="A585" s="4" t="s">
        <v>2121</v>
      </c>
      <c r="B585" s="4" t="str">
        <f aca="false">IF(AND(I585&gt;='Read Me &amp; Markers'!$B$18,J585&gt;='Read Me &amp; Markers'!$B$19,L585&gt;='Read Me &amp; Markers'!$B$20),"A. Proven winner",IF(AND(I585&gt;='Read Me &amp; Markers'!$B$18,J585&gt;='Read Me &amp; Markers'!$B$19,L585&gt;='Read Me &amp; Markers'!$B$21),"B. Strong performer",IF(AND(I585&gt;='Read Me &amp; Markers'!$B$22,L585&gt;='Read Me &amp; Markers'!$B$23),"C. Scale workhorse",IF(AND(I585&gt;='Read Me &amp; Markers'!$B$24,I585&lt;'Read Me &amp; Markers'!$B$18,J585&gt;='Read Me &amp; Markers'!$B$25,L585&gt;='Read Me &amp; Markers'!$B$26),"D. Promising (needs more spend)",""))))</f>
        <v/>
      </c>
      <c r="C585" s="4" t="s">
        <v>1687</v>
      </c>
      <c r="D585" s="4" t="s">
        <v>100</v>
      </c>
      <c r="E585" s="4" t="s">
        <v>1793</v>
      </c>
      <c r="F585" s="4" t="s">
        <v>253</v>
      </c>
      <c r="G585" s="4" t="s">
        <v>984</v>
      </c>
      <c r="H585" s="4" t="s">
        <v>2122</v>
      </c>
      <c r="I585" s="5" t="n">
        <v>28.3</v>
      </c>
      <c r="J585" s="7" t="n">
        <v>0</v>
      </c>
      <c r="K585" s="5" t="n">
        <v>0</v>
      </c>
      <c r="L585" s="8" t="n">
        <v>0</v>
      </c>
      <c r="M585" s="9" t="n">
        <v>0</v>
      </c>
      <c r="N585" s="10" t="n">
        <v>0.00920245</v>
      </c>
      <c r="O585" s="5" t="n">
        <v>43.4</v>
      </c>
      <c r="P585" s="11" t="n">
        <v>1.333333</v>
      </c>
      <c r="Q585" s="7" t="n">
        <v>652</v>
      </c>
      <c r="R585" s="7" t="n">
        <v>6</v>
      </c>
      <c r="S585" s="7" t="n">
        <v>0</v>
      </c>
      <c r="T585" s="7" t="n">
        <v>0</v>
      </c>
      <c r="U585" s="7" t="n">
        <v>0</v>
      </c>
      <c r="V585" s="7" t="n">
        <v>0</v>
      </c>
    </row>
    <row r="586" customFormat="false" ht="15" hidden="false" customHeight="false" outlineLevel="0" collapsed="false">
      <c r="A586" s="4" t="s">
        <v>2123</v>
      </c>
      <c r="B586" s="4" t="str">
        <f aca="false">IF(AND(I586&gt;='Read Me &amp; Markers'!$B$18,J586&gt;='Read Me &amp; Markers'!$B$19,L586&gt;='Read Me &amp; Markers'!$B$20),"A. Proven winner",IF(AND(I586&gt;='Read Me &amp; Markers'!$B$18,J586&gt;='Read Me &amp; Markers'!$B$19,L586&gt;='Read Me &amp; Markers'!$B$21),"B. Strong performer",IF(AND(I586&gt;='Read Me &amp; Markers'!$B$22,L586&gt;='Read Me &amp; Markers'!$B$23),"C. Scale workhorse",IF(AND(I586&gt;='Read Me &amp; Markers'!$B$24,I586&lt;'Read Me &amp; Markers'!$B$18,J586&gt;='Read Me &amp; Markers'!$B$25,L586&gt;='Read Me &amp; Markers'!$B$26),"D. Promising (needs more spend)",""))))</f>
        <v/>
      </c>
      <c r="C586" s="4" t="s">
        <v>121</v>
      </c>
      <c r="D586" s="4" t="s">
        <v>206</v>
      </c>
      <c r="E586" s="4" t="s">
        <v>742</v>
      </c>
      <c r="F586" s="4" t="s">
        <v>87</v>
      </c>
      <c r="G586" s="4" t="s">
        <v>2124</v>
      </c>
      <c r="H586" s="4" t="s">
        <v>2125</v>
      </c>
      <c r="I586" s="5" t="n">
        <v>28.25</v>
      </c>
      <c r="J586" s="7" t="n">
        <v>0</v>
      </c>
      <c r="K586" s="5" t="n">
        <v>0</v>
      </c>
      <c r="L586" s="8" t="n">
        <v>0</v>
      </c>
      <c r="M586" s="9" t="n">
        <v>0</v>
      </c>
      <c r="N586" s="10" t="n">
        <v>0.02640264</v>
      </c>
      <c r="O586" s="5" t="n">
        <v>93.23</v>
      </c>
      <c r="P586" s="11" t="n">
        <v>1.059441</v>
      </c>
      <c r="Q586" s="7" t="n">
        <v>303</v>
      </c>
      <c r="R586" s="7" t="n">
        <v>8</v>
      </c>
      <c r="S586" s="7" t="n">
        <v>0</v>
      </c>
      <c r="T586" s="7" t="n">
        <v>0</v>
      </c>
      <c r="U586" s="7" t="n">
        <v>296</v>
      </c>
      <c r="V586" s="7" t="n">
        <v>40</v>
      </c>
    </row>
    <row r="587" customFormat="false" ht="15" hidden="false" customHeight="false" outlineLevel="0" collapsed="false">
      <c r="A587" s="4" t="s">
        <v>2126</v>
      </c>
      <c r="B587" s="4" t="str">
        <f aca="false">IF(AND(I587&gt;='Read Me &amp; Markers'!$B$18,J587&gt;='Read Me &amp; Markers'!$B$19,L587&gt;='Read Me &amp; Markers'!$B$20),"A. Proven winner",IF(AND(I587&gt;='Read Me &amp; Markers'!$B$18,J587&gt;='Read Me &amp; Markers'!$B$19,L587&gt;='Read Me &amp; Markers'!$B$21),"B. Strong performer",IF(AND(I587&gt;='Read Me &amp; Markers'!$B$22,L587&gt;='Read Me &amp; Markers'!$B$23),"C. Scale workhorse",IF(AND(I587&gt;='Read Me &amp; Markers'!$B$24,I587&lt;'Read Me &amp; Markers'!$B$18,J587&gt;='Read Me &amp; Markers'!$B$25,L587&gt;='Read Me &amp; Markers'!$B$26),"D. Promising (needs more spend)",""))))</f>
        <v/>
      </c>
      <c r="C587" s="4" t="s">
        <v>129</v>
      </c>
      <c r="D587" s="4" t="s">
        <v>100</v>
      </c>
      <c r="E587" s="4" t="s">
        <v>1579</v>
      </c>
      <c r="F587" s="4" t="s">
        <v>253</v>
      </c>
      <c r="G587" s="4" t="s">
        <v>254</v>
      </c>
      <c r="H587" s="4" t="s">
        <v>2127</v>
      </c>
      <c r="I587" s="5" t="n">
        <v>27.96</v>
      </c>
      <c r="J587" s="7" t="n">
        <v>0</v>
      </c>
      <c r="K587" s="5" t="n">
        <v>0</v>
      </c>
      <c r="L587" s="8" t="n">
        <v>0</v>
      </c>
      <c r="M587" s="9" t="n">
        <v>0</v>
      </c>
      <c r="N587" s="10" t="n">
        <v>0.06382979</v>
      </c>
      <c r="O587" s="5" t="n">
        <v>297.45</v>
      </c>
      <c r="P587" s="11" t="n">
        <v>1.146341</v>
      </c>
      <c r="Q587" s="7" t="n">
        <v>94</v>
      </c>
      <c r="R587" s="7" t="n">
        <v>6</v>
      </c>
      <c r="S587" s="7" t="n">
        <v>0</v>
      </c>
      <c r="T587" s="7" t="n">
        <v>0</v>
      </c>
      <c r="U587" s="7" t="n">
        <v>78</v>
      </c>
      <c r="V587" s="7" t="n">
        <v>20</v>
      </c>
    </row>
    <row r="588" customFormat="false" ht="15" hidden="false" customHeight="false" outlineLevel="0" collapsed="false">
      <c r="A588" s="4" t="s">
        <v>2128</v>
      </c>
      <c r="B588" s="4" t="str">
        <f aca="false">IF(AND(I588&gt;='Read Me &amp; Markers'!$B$18,J588&gt;='Read Me &amp; Markers'!$B$19,L588&gt;='Read Me &amp; Markers'!$B$20),"A. Proven winner",IF(AND(I588&gt;='Read Me &amp; Markers'!$B$18,J588&gt;='Read Me &amp; Markers'!$B$19,L588&gt;='Read Me &amp; Markers'!$B$21),"B. Strong performer",IF(AND(I588&gt;='Read Me &amp; Markers'!$B$22,L588&gt;='Read Me &amp; Markers'!$B$23),"C. Scale workhorse",IF(AND(I588&gt;='Read Me &amp; Markers'!$B$24,I588&lt;'Read Me &amp; Markers'!$B$18,J588&gt;='Read Me &amp; Markers'!$B$25,L588&gt;='Read Me &amp; Markers'!$B$26),"D. Promising (needs more spend)",""))))</f>
        <v/>
      </c>
      <c r="C588" s="4" t="s">
        <v>169</v>
      </c>
      <c r="D588" s="4" t="s">
        <v>154</v>
      </c>
      <c r="E588" s="4" t="s">
        <v>2129</v>
      </c>
      <c r="F588" s="4" t="s">
        <v>253</v>
      </c>
      <c r="G588" s="4" t="s">
        <v>294</v>
      </c>
      <c r="H588" s="4" t="s">
        <v>2130</v>
      </c>
      <c r="I588" s="5" t="n">
        <v>27.78</v>
      </c>
      <c r="J588" s="7" t="n">
        <v>0</v>
      </c>
      <c r="K588" s="5" t="n">
        <v>0</v>
      </c>
      <c r="L588" s="8" t="n">
        <v>0</v>
      </c>
      <c r="M588" s="9" t="n">
        <v>0</v>
      </c>
      <c r="N588" s="10" t="n">
        <v>0.02166667</v>
      </c>
      <c r="O588" s="5" t="n">
        <v>46.3</v>
      </c>
      <c r="P588" s="11" t="n">
        <v>1.178782</v>
      </c>
      <c r="Q588" s="7" t="n">
        <v>600</v>
      </c>
      <c r="R588" s="7" t="n">
        <v>13</v>
      </c>
      <c r="S588" s="7" t="n">
        <v>1</v>
      </c>
      <c r="T588" s="7" t="n">
        <v>1</v>
      </c>
      <c r="U588" s="7" t="n">
        <v>550</v>
      </c>
      <c r="V588" s="7" t="n">
        <v>56</v>
      </c>
    </row>
    <row r="589" customFormat="false" ht="15" hidden="false" customHeight="false" outlineLevel="0" collapsed="false">
      <c r="A589" s="4" t="s">
        <v>2131</v>
      </c>
      <c r="B589" s="4" t="str">
        <f aca="false">IF(AND(I589&gt;='Read Me &amp; Markers'!$B$18,J589&gt;='Read Me &amp; Markers'!$B$19,L589&gt;='Read Me &amp; Markers'!$B$20),"A. Proven winner",IF(AND(I589&gt;='Read Me &amp; Markers'!$B$18,J589&gt;='Read Me &amp; Markers'!$B$19,L589&gt;='Read Me &amp; Markers'!$B$21),"B. Strong performer",IF(AND(I589&gt;='Read Me &amp; Markers'!$B$22,L589&gt;='Read Me &amp; Markers'!$B$23),"C. Scale workhorse",IF(AND(I589&gt;='Read Me &amp; Markers'!$B$24,I589&lt;'Read Me &amp; Markers'!$B$18,J589&gt;='Read Me &amp; Markers'!$B$25,L589&gt;='Read Me &amp; Markers'!$B$26),"D. Promising (needs more spend)",""))))</f>
        <v/>
      </c>
      <c r="C589" s="4" t="s">
        <v>129</v>
      </c>
      <c r="D589" s="4" t="s">
        <v>154</v>
      </c>
      <c r="E589" s="4" t="s">
        <v>2132</v>
      </c>
      <c r="F589" s="4" t="s">
        <v>253</v>
      </c>
      <c r="G589" s="4" t="s">
        <v>1085</v>
      </c>
      <c r="H589" s="4" t="s">
        <v>2133</v>
      </c>
      <c r="I589" s="5" t="n">
        <v>27.7</v>
      </c>
      <c r="J589" s="7" t="n">
        <v>0</v>
      </c>
      <c r="K589" s="5" t="n">
        <v>0</v>
      </c>
      <c r="L589" s="8" t="n">
        <v>0</v>
      </c>
      <c r="M589" s="9" t="n">
        <v>0</v>
      </c>
      <c r="N589" s="10" t="n">
        <v>0.03468208</v>
      </c>
      <c r="O589" s="5" t="n">
        <v>160.12</v>
      </c>
      <c r="P589" s="11" t="n">
        <v>1.08805</v>
      </c>
      <c r="Q589" s="7" t="n">
        <v>173</v>
      </c>
      <c r="R589" s="7" t="n">
        <v>6</v>
      </c>
      <c r="S589" s="7" t="n">
        <v>4</v>
      </c>
      <c r="T589" s="7" t="n">
        <v>0</v>
      </c>
      <c r="U589" s="7" t="n">
        <v>161</v>
      </c>
      <c r="V589" s="7" t="n">
        <v>13</v>
      </c>
    </row>
    <row r="590" customFormat="false" ht="15" hidden="false" customHeight="false" outlineLevel="0" collapsed="false">
      <c r="A590" s="4" t="s">
        <v>2134</v>
      </c>
      <c r="B590" s="4" t="str">
        <f aca="false">IF(AND(I590&gt;='Read Me &amp; Markers'!$B$18,J590&gt;='Read Me &amp; Markers'!$B$19,L590&gt;='Read Me &amp; Markers'!$B$20),"A. Proven winner",IF(AND(I590&gt;='Read Me &amp; Markers'!$B$18,J590&gt;='Read Me &amp; Markers'!$B$19,L590&gt;='Read Me &amp; Markers'!$B$21),"B. Strong performer",IF(AND(I590&gt;='Read Me &amp; Markers'!$B$22,L590&gt;='Read Me &amp; Markers'!$B$23),"C. Scale workhorse",IF(AND(I590&gt;='Read Me &amp; Markers'!$B$24,I590&lt;'Read Me &amp; Markers'!$B$18,J590&gt;='Read Me &amp; Markers'!$B$25,L590&gt;='Read Me &amp; Markers'!$B$26),"D. Promising (needs more spend)",""))))</f>
        <v/>
      </c>
      <c r="C590" s="4" t="s">
        <v>129</v>
      </c>
      <c r="D590" s="4" t="s">
        <v>154</v>
      </c>
      <c r="E590" s="4" t="s">
        <v>2135</v>
      </c>
      <c r="F590" s="4" t="s">
        <v>87</v>
      </c>
      <c r="G590" s="4" t="s">
        <v>2136</v>
      </c>
      <c r="H590" s="4" t="s">
        <v>2137</v>
      </c>
      <c r="I590" s="5" t="n">
        <v>27.56</v>
      </c>
      <c r="J590" s="7" t="n">
        <v>0</v>
      </c>
      <c r="K590" s="5" t="n">
        <v>0</v>
      </c>
      <c r="L590" s="8" t="n">
        <v>0</v>
      </c>
      <c r="M590" s="9" t="n">
        <v>0</v>
      </c>
      <c r="N590" s="10" t="n">
        <v>0.07849829</v>
      </c>
      <c r="O590" s="5" t="n">
        <v>94.06</v>
      </c>
      <c r="P590" s="11" t="n">
        <v>1.089219</v>
      </c>
      <c r="Q590" s="7" t="n">
        <v>293</v>
      </c>
      <c r="R590" s="7" t="n">
        <v>23</v>
      </c>
      <c r="S590" s="7" t="n">
        <v>2</v>
      </c>
      <c r="T590" s="7" t="n">
        <v>5</v>
      </c>
      <c r="U590" s="7" t="n">
        <v>278</v>
      </c>
      <c r="V590" s="7" t="n">
        <v>63</v>
      </c>
    </row>
    <row r="591" customFormat="false" ht="15" hidden="false" customHeight="false" outlineLevel="0" collapsed="false">
      <c r="A591" s="4" t="s">
        <v>2138</v>
      </c>
      <c r="B591" s="4" t="str">
        <f aca="false">IF(AND(I591&gt;='Read Me &amp; Markers'!$B$18,J591&gt;='Read Me &amp; Markers'!$B$19,L591&gt;='Read Me &amp; Markers'!$B$20),"A. Proven winner",IF(AND(I591&gt;='Read Me &amp; Markers'!$B$18,J591&gt;='Read Me &amp; Markers'!$B$19,L591&gt;='Read Me &amp; Markers'!$B$21),"B. Strong performer",IF(AND(I591&gt;='Read Me &amp; Markers'!$B$22,L591&gt;='Read Me &amp; Markers'!$B$23),"C. Scale workhorse",IF(AND(I591&gt;='Read Me &amp; Markers'!$B$24,I591&lt;'Read Me &amp; Markers'!$B$18,J591&gt;='Read Me &amp; Markers'!$B$25,L591&gt;='Read Me &amp; Markers'!$B$26),"D. Promising (needs more spend)",""))))</f>
        <v/>
      </c>
      <c r="C591" s="4" t="s">
        <v>2139</v>
      </c>
      <c r="D591" s="4" t="s">
        <v>100</v>
      </c>
      <c r="E591" s="4" t="s">
        <v>2140</v>
      </c>
      <c r="F591" s="4" t="s">
        <v>87</v>
      </c>
      <c r="G591" s="4" t="s">
        <v>310</v>
      </c>
      <c r="H591" s="4" t="s">
        <v>2141</v>
      </c>
      <c r="I591" s="5" t="n">
        <v>27.38</v>
      </c>
      <c r="J591" s="7" t="n">
        <v>0</v>
      </c>
      <c r="K591" s="5" t="n">
        <v>0</v>
      </c>
      <c r="L591" s="8" t="n">
        <v>0</v>
      </c>
      <c r="M591" s="9" t="n">
        <v>0</v>
      </c>
      <c r="N591" s="10" t="n">
        <v>0.021875</v>
      </c>
      <c r="O591" s="5" t="n">
        <v>85.56</v>
      </c>
      <c r="P591" s="11" t="n">
        <v>1.151079</v>
      </c>
      <c r="Q591" s="7" t="n">
        <v>320</v>
      </c>
      <c r="R591" s="7" t="n">
        <v>7</v>
      </c>
      <c r="S591" s="7" t="n">
        <v>3</v>
      </c>
      <c r="T591" s="7" t="n">
        <v>3</v>
      </c>
      <c r="U591" s="7" t="n">
        <v>265</v>
      </c>
      <c r="V591" s="7" t="n">
        <v>20</v>
      </c>
    </row>
    <row r="592" customFormat="false" ht="15" hidden="false" customHeight="false" outlineLevel="0" collapsed="false">
      <c r="A592" s="4" t="s">
        <v>2142</v>
      </c>
      <c r="B592" s="4" t="str">
        <f aca="false">IF(AND(I592&gt;='Read Me &amp; Markers'!$B$18,J592&gt;='Read Me &amp; Markers'!$B$19,L592&gt;='Read Me &amp; Markers'!$B$20),"A. Proven winner",IF(AND(I592&gt;='Read Me &amp; Markers'!$B$18,J592&gt;='Read Me &amp; Markers'!$B$19,L592&gt;='Read Me &amp; Markers'!$B$21),"B. Strong performer",IF(AND(I592&gt;='Read Me &amp; Markers'!$B$22,L592&gt;='Read Me &amp; Markers'!$B$23),"C. Scale workhorse",IF(AND(I592&gt;='Read Me &amp; Markers'!$B$24,I592&lt;'Read Me &amp; Markers'!$B$18,J592&gt;='Read Me &amp; Markers'!$B$25,L592&gt;='Read Me &amp; Markers'!$B$26),"D. Promising (needs more spend)",""))))</f>
        <v/>
      </c>
      <c r="C592" s="4" t="s">
        <v>129</v>
      </c>
      <c r="D592" s="4" t="s">
        <v>154</v>
      </c>
      <c r="E592" s="4" t="s">
        <v>2129</v>
      </c>
      <c r="F592" s="4" t="s">
        <v>87</v>
      </c>
      <c r="G592" s="4" t="s">
        <v>294</v>
      </c>
      <c r="H592" s="4" t="s">
        <v>2143</v>
      </c>
      <c r="I592" s="5" t="n">
        <v>27.35</v>
      </c>
      <c r="J592" s="7" t="n">
        <v>0</v>
      </c>
      <c r="K592" s="5" t="n">
        <v>0</v>
      </c>
      <c r="L592" s="8" t="n">
        <v>0</v>
      </c>
      <c r="M592" s="9" t="n">
        <v>0</v>
      </c>
      <c r="N592" s="10" t="n">
        <v>0.04444444</v>
      </c>
      <c r="O592" s="5" t="n">
        <v>101.3</v>
      </c>
      <c r="P592" s="11" t="n">
        <v>1.163793</v>
      </c>
      <c r="Q592" s="7" t="n">
        <v>270</v>
      </c>
      <c r="R592" s="7" t="n">
        <v>12</v>
      </c>
      <c r="S592" s="7" t="n">
        <v>0</v>
      </c>
      <c r="T592" s="7" t="n">
        <v>0</v>
      </c>
      <c r="U592" s="7" t="n">
        <v>249</v>
      </c>
      <c r="V592" s="7" t="n">
        <v>25</v>
      </c>
    </row>
    <row r="593" customFormat="false" ht="15" hidden="false" customHeight="false" outlineLevel="0" collapsed="false">
      <c r="A593" s="4" t="s">
        <v>2144</v>
      </c>
      <c r="B593" s="4" t="str">
        <f aca="false">IF(AND(I593&gt;='Read Me &amp; Markers'!$B$18,J593&gt;='Read Me &amp; Markers'!$B$19,L593&gt;='Read Me &amp; Markers'!$B$20),"A. Proven winner",IF(AND(I593&gt;='Read Me &amp; Markers'!$B$18,J593&gt;='Read Me &amp; Markers'!$B$19,L593&gt;='Read Me &amp; Markers'!$B$21),"B. Strong performer",IF(AND(I593&gt;='Read Me &amp; Markers'!$B$22,L593&gt;='Read Me &amp; Markers'!$B$23),"C. Scale workhorse",IF(AND(I593&gt;='Read Me &amp; Markers'!$B$24,I593&lt;'Read Me &amp; Markers'!$B$18,J593&gt;='Read Me &amp; Markers'!$B$25,L593&gt;='Read Me &amp; Markers'!$B$26),"D. Promising (needs more spend)",""))))</f>
        <v/>
      </c>
      <c r="C593" s="4" t="s">
        <v>2145</v>
      </c>
      <c r="D593" s="4" t="s">
        <v>109</v>
      </c>
      <c r="E593" s="4" t="s">
        <v>512</v>
      </c>
      <c r="F593" s="4" t="s">
        <v>430</v>
      </c>
      <c r="G593" s="4" t="s">
        <v>490</v>
      </c>
      <c r="H593" s="4" t="s">
        <v>2146</v>
      </c>
      <c r="I593" s="5" t="n">
        <v>26.94</v>
      </c>
      <c r="J593" s="7" t="n">
        <v>1</v>
      </c>
      <c r="K593" s="5" t="n">
        <v>37.76</v>
      </c>
      <c r="L593" s="8" t="n">
        <v>1.401633</v>
      </c>
      <c r="M593" s="9" t="n">
        <v>26.94</v>
      </c>
      <c r="N593" s="10" t="n">
        <v>0.05464481</v>
      </c>
      <c r="O593" s="5" t="n">
        <v>147.21</v>
      </c>
      <c r="P593" s="11" t="n">
        <v>1.076471</v>
      </c>
      <c r="Q593" s="7" t="n">
        <v>183</v>
      </c>
      <c r="R593" s="7" t="n">
        <v>10</v>
      </c>
      <c r="S593" s="7" t="n">
        <v>0</v>
      </c>
      <c r="T593" s="7" t="n">
        <v>1</v>
      </c>
      <c r="U593" s="7" t="n">
        <v>175</v>
      </c>
      <c r="V593" s="7" t="n">
        <v>39</v>
      </c>
    </row>
    <row r="594" customFormat="false" ht="15" hidden="false" customHeight="false" outlineLevel="0" collapsed="false">
      <c r="A594" s="4" t="s">
        <v>2147</v>
      </c>
      <c r="B594" s="4" t="str">
        <f aca="false">IF(AND(I594&gt;='Read Me &amp; Markers'!$B$18,J594&gt;='Read Me &amp; Markers'!$B$19,L594&gt;='Read Me &amp; Markers'!$B$20),"A. Proven winner",IF(AND(I594&gt;='Read Me &amp; Markers'!$B$18,J594&gt;='Read Me &amp; Markers'!$B$19,L594&gt;='Read Me &amp; Markers'!$B$21),"B. Strong performer",IF(AND(I594&gt;='Read Me &amp; Markers'!$B$22,L594&gt;='Read Me &amp; Markers'!$B$23),"C. Scale workhorse",IF(AND(I594&gt;='Read Me &amp; Markers'!$B$24,I594&lt;'Read Me &amp; Markers'!$B$18,J594&gt;='Read Me &amp; Markers'!$B$25,L594&gt;='Read Me &amp; Markers'!$B$26),"D. Promising (needs more spend)",""))))</f>
        <v/>
      </c>
      <c r="C594" s="4" t="s">
        <v>2148</v>
      </c>
      <c r="D594" s="4" t="s">
        <v>109</v>
      </c>
      <c r="E594" s="4" t="s">
        <v>474</v>
      </c>
      <c r="F594" s="4" t="s">
        <v>111</v>
      </c>
      <c r="G594" s="4" t="s">
        <v>475</v>
      </c>
      <c r="H594" s="4" t="s">
        <v>2149</v>
      </c>
      <c r="I594" s="5" t="n">
        <v>26.89</v>
      </c>
      <c r="J594" s="7" t="n">
        <v>0</v>
      </c>
      <c r="K594" s="5" t="n">
        <v>0</v>
      </c>
      <c r="L594" s="8" t="n">
        <v>0</v>
      </c>
      <c r="M594" s="9" t="n">
        <v>0</v>
      </c>
      <c r="N594" s="10" t="n">
        <v>0.01282051</v>
      </c>
      <c r="O594" s="5" t="n">
        <v>57.46</v>
      </c>
      <c r="P594" s="11" t="n">
        <v>1.193878</v>
      </c>
      <c r="Q594" s="7" t="n">
        <v>468</v>
      </c>
      <c r="R594" s="7" t="n">
        <v>6</v>
      </c>
      <c r="S594" s="7" t="n">
        <v>0</v>
      </c>
      <c r="T594" s="7" t="n">
        <v>0</v>
      </c>
      <c r="U594" s="7" t="n">
        <v>0</v>
      </c>
      <c r="V594" s="7" t="n">
        <v>0</v>
      </c>
    </row>
    <row r="595" customFormat="false" ht="15" hidden="false" customHeight="false" outlineLevel="0" collapsed="false">
      <c r="A595" s="4" t="s">
        <v>2150</v>
      </c>
      <c r="B595" s="4" t="str">
        <f aca="false">IF(AND(I595&gt;='Read Me &amp; Markers'!$B$18,J595&gt;='Read Me &amp; Markers'!$B$19,L595&gt;='Read Me &amp; Markers'!$B$20),"A. Proven winner",IF(AND(I595&gt;='Read Me &amp; Markers'!$B$18,J595&gt;='Read Me &amp; Markers'!$B$19,L595&gt;='Read Me &amp; Markers'!$B$21),"B. Strong performer",IF(AND(I595&gt;='Read Me &amp; Markers'!$B$22,L595&gt;='Read Me &amp; Markers'!$B$23),"C. Scale workhorse",IF(AND(I595&gt;='Read Me &amp; Markers'!$B$24,I595&lt;'Read Me &amp; Markers'!$B$18,J595&gt;='Read Me &amp; Markers'!$B$25,L595&gt;='Read Me &amp; Markers'!$B$26),"D. Promising (needs more spend)",""))))</f>
        <v/>
      </c>
      <c r="C595" s="4" t="s">
        <v>1120</v>
      </c>
      <c r="D595" s="4" t="s">
        <v>154</v>
      </c>
      <c r="E595" s="4" t="s">
        <v>2151</v>
      </c>
      <c r="F595" s="4" t="s">
        <v>253</v>
      </c>
      <c r="G595" s="4" t="s">
        <v>1122</v>
      </c>
      <c r="H595" s="4" t="s">
        <v>2152</v>
      </c>
      <c r="I595" s="5" t="n">
        <v>26.72</v>
      </c>
      <c r="J595" s="7" t="n">
        <v>0</v>
      </c>
      <c r="K595" s="5" t="n">
        <v>0</v>
      </c>
      <c r="L595" s="8" t="n">
        <v>0</v>
      </c>
      <c r="M595" s="9" t="n">
        <v>0</v>
      </c>
      <c r="N595" s="10" t="n">
        <v>0.02488688</v>
      </c>
      <c r="O595" s="5" t="n">
        <v>60.45</v>
      </c>
      <c r="P595" s="11" t="n">
        <v>1.20436</v>
      </c>
      <c r="Q595" s="7" t="n">
        <v>442</v>
      </c>
      <c r="R595" s="7" t="n">
        <v>11</v>
      </c>
      <c r="S595" s="7" t="n">
        <v>0</v>
      </c>
      <c r="T595" s="7" t="n">
        <v>1</v>
      </c>
      <c r="U595" s="7" t="n">
        <v>386</v>
      </c>
      <c r="V595" s="7" t="n">
        <v>71</v>
      </c>
    </row>
    <row r="596" customFormat="false" ht="15" hidden="false" customHeight="false" outlineLevel="0" collapsed="false">
      <c r="A596" s="4" t="s">
        <v>2153</v>
      </c>
      <c r="B596" s="4" t="str">
        <f aca="false">IF(AND(I596&gt;='Read Me &amp; Markers'!$B$18,J596&gt;='Read Me &amp; Markers'!$B$19,L596&gt;='Read Me &amp; Markers'!$B$20),"A. Proven winner",IF(AND(I596&gt;='Read Me &amp; Markers'!$B$18,J596&gt;='Read Me &amp; Markers'!$B$19,L596&gt;='Read Me &amp; Markers'!$B$21),"B. Strong performer",IF(AND(I596&gt;='Read Me &amp; Markers'!$B$22,L596&gt;='Read Me &amp; Markers'!$B$23),"C. Scale workhorse",IF(AND(I596&gt;='Read Me &amp; Markers'!$B$24,I596&lt;'Read Me &amp; Markers'!$B$18,J596&gt;='Read Me &amp; Markers'!$B$25,L596&gt;='Read Me &amp; Markers'!$B$26),"D. Promising (needs more spend)",""))))</f>
        <v/>
      </c>
      <c r="C596" s="4" t="s">
        <v>2154</v>
      </c>
      <c r="D596" s="4" t="s">
        <v>109</v>
      </c>
      <c r="E596" s="4" t="s">
        <v>1701</v>
      </c>
      <c r="F596" s="4" t="s">
        <v>111</v>
      </c>
      <c r="G596" s="4" t="s">
        <v>1702</v>
      </c>
      <c r="H596" s="4" t="s">
        <v>2155</v>
      </c>
      <c r="I596" s="5" t="n">
        <v>26.33</v>
      </c>
      <c r="J596" s="7" t="n">
        <v>0</v>
      </c>
      <c r="K596" s="5" t="n">
        <v>0</v>
      </c>
      <c r="L596" s="8" t="n">
        <v>0</v>
      </c>
      <c r="M596" s="9" t="n">
        <v>0</v>
      </c>
      <c r="N596" s="10" t="n">
        <v>0.05223881</v>
      </c>
      <c r="O596" s="5" t="n">
        <v>196.49</v>
      </c>
      <c r="P596" s="11" t="n">
        <v>1.055118</v>
      </c>
      <c r="Q596" s="7" t="n">
        <v>134</v>
      </c>
      <c r="R596" s="7" t="n">
        <v>7</v>
      </c>
      <c r="S596" s="7" t="n">
        <v>0</v>
      </c>
      <c r="T596" s="7" t="n">
        <v>0</v>
      </c>
      <c r="U596" s="7" t="n">
        <v>128</v>
      </c>
      <c r="V596" s="7" t="n">
        <v>24</v>
      </c>
    </row>
    <row r="597" customFormat="false" ht="15" hidden="false" customHeight="false" outlineLevel="0" collapsed="false">
      <c r="A597" s="4" t="s">
        <v>2156</v>
      </c>
      <c r="B597" s="4" t="str">
        <f aca="false">IF(AND(I597&gt;='Read Me &amp; Markers'!$B$18,J597&gt;='Read Me &amp; Markers'!$B$19,L597&gt;='Read Me &amp; Markers'!$B$20),"A. Proven winner",IF(AND(I597&gt;='Read Me &amp; Markers'!$B$18,J597&gt;='Read Me &amp; Markers'!$B$19,L597&gt;='Read Me &amp; Markers'!$B$21),"B. Strong performer",IF(AND(I597&gt;='Read Me &amp; Markers'!$B$22,L597&gt;='Read Me &amp; Markers'!$B$23),"C. Scale workhorse",IF(AND(I597&gt;='Read Me &amp; Markers'!$B$24,I597&lt;'Read Me &amp; Markers'!$B$18,J597&gt;='Read Me &amp; Markers'!$B$25,L597&gt;='Read Me &amp; Markers'!$B$26),"D. Promising (needs more spend)",""))))</f>
        <v/>
      </c>
      <c r="C597" s="4" t="s">
        <v>169</v>
      </c>
      <c r="D597" s="4" t="s">
        <v>100</v>
      </c>
      <c r="E597" s="4" t="s">
        <v>760</v>
      </c>
      <c r="F597" s="4" t="s">
        <v>87</v>
      </c>
      <c r="G597" s="4" t="s">
        <v>342</v>
      </c>
      <c r="H597" s="4" t="s">
        <v>2157</v>
      </c>
      <c r="I597" s="5" t="n">
        <v>26.2</v>
      </c>
      <c r="J597" s="7" t="n">
        <v>0</v>
      </c>
      <c r="K597" s="5" t="n">
        <v>0</v>
      </c>
      <c r="L597" s="8" t="n">
        <v>0</v>
      </c>
      <c r="M597" s="9" t="n">
        <v>0</v>
      </c>
      <c r="N597" s="10" t="n">
        <v>0.00460829</v>
      </c>
      <c r="O597" s="5" t="n">
        <v>120.74</v>
      </c>
      <c r="P597" s="11" t="n">
        <v>1.028436</v>
      </c>
      <c r="Q597" s="7" t="n">
        <v>217</v>
      </c>
      <c r="R597" s="7" t="n">
        <v>1</v>
      </c>
      <c r="S597" s="7" t="n">
        <v>0</v>
      </c>
      <c r="T597" s="7" t="n">
        <v>0</v>
      </c>
      <c r="U597" s="7" t="n">
        <v>206</v>
      </c>
      <c r="V597" s="7" t="n">
        <v>25</v>
      </c>
    </row>
    <row r="598" customFormat="false" ht="15" hidden="false" customHeight="false" outlineLevel="0" collapsed="false">
      <c r="A598" s="4" t="s">
        <v>2158</v>
      </c>
      <c r="B598" s="4" t="str">
        <f aca="false">IF(AND(I598&gt;='Read Me &amp; Markers'!$B$18,J598&gt;='Read Me &amp; Markers'!$B$19,L598&gt;='Read Me &amp; Markers'!$B$20),"A. Proven winner",IF(AND(I598&gt;='Read Me &amp; Markers'!$B$18,J598&gt;='Read Me &amp; Markers'!$B$19,L598&gt;='Read Me &amp; Markers'!$B$21),"B. Strong performer",IF(AND(I598&gt;='Read Me &amp; Markers'!$B$22,L598&gt;='Read Me &amp; Markers'!$B$23),"C. Scale workhorse",IF(AND(I598&gt;='Read Me &amp; Markers'!$B$24,I598&lt;'Read Me &amp; Markers'!$B$18,J598&gt;='Read Me &amp; Markers'!$B$25,L598&gt;='Read Me &amp; Markers'!$B$26),"D. Promising (needs more spend)",""))))</f>
        <v/>
      </c>
      <c r="C598" s="4" t="s">
        <v>2159</v>
      </c>
      <c r="D598" s="4" t="s">
        <v>109</v>
      </c>
      <c r="E598" s="4" t="s">
        <v>110</v>
      </c>
      <c r="F598" s="4" t="s">
        <v>111</v>
      </c>
      <c r="G598" s="4" t="s">
        <v>112</v>
      </c>
      <c r="H598" s="4" t="s">
        <v>2160</v>
      </c>
      <c r="I598" s="5" t="n">
        <v>26.18</v>
      </c>
      <c r="J598" s="7" t="n">
        <v>0</v>
      </c>
      <c r="K598" s="5" t="n">
        <v>0</v>
      </c>
      <c r="L598" s="8" t="n">
        <v>0</v>
      </c>
      <c r="M598" s="9" t="n">
        <v>0</v>
      </c>
      <c r="N598" s="10" t="n">
        <v>0.01459854</v>
      </c>
      <c r="O598" s="5" t="n">
        <v>63.7</v>
      </c>
      <c r="P598" s="11" t="n">
        <v>1.194767</v>
      </c>
      <c r="Q598" s="7" t="n">
        <v>411</v>
      </c>
      <c r="R598" s="7" t="n">
        <v>6</v>
      </c>
      <c r="S598" s="7" t="n">
        <v>0</v>
      </c>
      <c r="T598" s="7" t="n">
        <v>0</v>
      </c>
      <c r="U598" s="7" t="n">
        <v>0</v>
      </c>
      <c r="V598" s="7" t="n">
        <v>0</v>
      </c>
    </row>
    <row r="599" customFormat="false" ht="15" hidden="false" customHeight="false" outlineLevel="0" collapsed="false">
      <c r="A599" s="4" t="s">
        <v>2161</v>
      </c>
      <c r="B599" s="4" t="str">
        <f aca="false">IF(AND(I599&gt;='Read Me &amp; Markers'!$B$18,J599&gt;='Read Me &amp; Markers'!$B$19,L599&gt;='Read Me &amp; Markers'!$B$20),"A. Proven winner",IF(AND(I599&gt;='Read Me &amp; Markers'!$B$18,J599&gt;='Read Me &amp; Markers'!$B$19,L599&gt;='Read Me &amp; Markers'!$B$21),"B. Strong performer",IF(AND(I599&gt;='Read Me &amp; Markers'!$B$22,L599&gt;='Read Me &amp; Markers'!$B$23),"C. Scale workhorse",IF(AND(I599&gt;='Read Me &amp; Markers'!$B$24,I599&lt;'Read Me &amp; Markers'!$B$18,J599&gt;='Read Me &amp; Markers'!$B$25,L599&gt;='Read Me &amp; Markers'!$B$26),"D. Promising (needs more spend)",""))))</f>
        <v/>
      </c>
      <c r="C599" s="4" t="s">
        <v>1514</v>
      </c>
      <c r="D599" s="4" t="s">
        <v>109</v>
      </c>
      <c r="E599" s="4" t="s">
        <v>474</v>
      </c>
      <c r="F599" s="4" t="s">
        <v>111</v>
      </c>
      <c r="G599" s="4" t="s">
        <v>475</v>
      </c>
      <c r="H599" s="4" t="s">
        <v>2162</v>
      </c>
      <c r="I599" s="5" t="n">
        <v>25.61</v>
      </c>
      <c r="J599" s="7" t="n">
        <v>0</v>
      </c>
      <c r="K599" s="5" t="n">
        <v>0</v>
      </c>
      <c r="L599" s="8" t="n">
        <v>0</v>
      </c>
      <c r="M599" s="9" t="n">
        <v>0</v>
      </c>
      <c r="N599" s="10" t="n">
        <v>0.04</v>
      </c>
      <c r="O599" s="5" t="n">
        <v>113.82</v>
      </c>
      <c r="P599" s="11" t="n">
        <v>1.264045</v>
      </c>
      <c r="Q599" s="7" t="n">
        <v>225</v>
      </c>
      <c r="R599" s="7" t="n">
        <v>9</v>
      </c>
      <c r="S599" s="7" t="n">
        <v>0</v>
      </c>
      <c r="T599" s="7" t="n">
        <v>0</v>
      </c>
      <c r="U599" s="7" t="n">
        <v>0</v>
      </c>
      <c r="V599" s="7" t="n">
        <v>0</v>
      </c>
    </row>
    <row r="600" customFormat="false" ht="15" hidden="false" customHeight="false" outlineLevel="0" collapsed="false">
      <c r="A600" s="4" t="s">
        <v>2163</v>
      </c>
      <c r="B600" s="4" t="str">
        <f aca="false">IF(AND(I600&gt;='Read Me &amp; Markers'!$B$18,J600&gt;='Read Me &amp; Markers'!$B$19,L600&gt;='Read Me &amp; Markers'!$B$20),"A. Proven winner",IF(AND(I600&gt;='Read Me &amp; Markers'!$B$18,J600&gt;='Read Me &amp; Markers'!$B$19,L600&gt;='Read Me &amp; Markers'!$B$21),"B. Strong performer",IF(AND(I600&gt;='Read Me &amp; Markers'!$B$22,L600&gt;='Read Me &amp; Markers'!$B$23),"C. Scale workhorse",IF(AND(I600&gt;='Read Me &amp; Markers'!$B$24,I600&lt;'Read Me &amp; Markers'!$B$18,J600&gt;='Read Me &amp; Markers'!$B$25,L600&gt;='Read Me &amp; Markers'!$B$26),"D. Promising (needs more spend)",""))))</f>
        <v/>
      </c>
      <c r="C600" s="4" t="s">
        <v>2164</v>
      </c>
      <c r="D600" s="4" t="s">
        <v>528</v>
      </c>
      <c r="E600" s="4" t="s">
        <v>792</v>
      </c>
      <c r="F600" s="4" t="s">
        <v>230</v>
      </c>
      <c r="G600" s="4" t="s">
        <v>378</v>
      </c>
      <c r="H600" s="4" t="s">
        <v>2165</v>
      </c>
      <c r="I600" s="5" t="n">
        <v>25.57</v>
      </c>
      <c r="J600" s="7" t="n">
        <v>0</v>
      </c>
      <c r="K600" s="5" t="n">
        <v>0</v>
      </c>
      <c r="L600" s="8" t="n">
        <v>0</v>
      </c>
      <c r="M600" s="9" t="n">
        <v>0</v>
      </c>
      <c r="N600" s="10" t="n">
        <v>0.06372549</v>
      </c>
      <c r="O600" s="5" t="n">
        <v>125.34</v>
      </c>
      <c r="P600" s="11" t="n">
        <v>1.102703</v>
      </c>
      <c r="Q600" s="7" t="n">
        <v>204</v>
      </c>
      <c r="R600" s="7" t="n">
        <v>13</v>
      </c>
      <c r="S600" s="7" t="n">
        <v>0</v>
      </c>
      <c r="T600" s="7" t="n">
        <v>0</v>
      </c>
      <c r="U600" s="7" t="n">
        <v>170</v>
      </c>
      <c r="V600" s="7" t="n">
        <v>29</v>
      </c>
    </row>
    <row r="601" customFormat="false" ht="15" hidden="false" customHeight="false" outlineLevel="0" collapsed="false">
      <c r="A601" s="4" t="s">
        <v>2166</v>
      </c>
      <c r="B601" s="4" t="str">
        <f aca="false">IF(AND(I601&gt;='Read Me &amp; Markers'!$B$18,J601&gt;='Read Me &amp; Markers'!$B$19,L601&gt;='Read Me &amp; Markers'!$B$20),"A. Proven winner",IF(AND(I601&gt;='Read Me &amp; Markers'!$B$18,J601&gt;='Read Me &amp; Markers'!$B$19,L601&gt;='Read Me &amp; Markers'!$B$21),"B. Strong performer",IF(AND(I601&gt;='Read Me &amp; Markers'!$B$22,L601&gt;='Read Me &amp; Markers'!$B$23),"C. Scale workhorse",IF(AND(I601&gt;='Read Me &amp; Markers'!$B$24,I601&lt;'Read Me &amp; Markers'!$B$18,J601&gt;='Read Me &amp; Markers'!$B$25,L601&gt;='Read Me &amp; Markers'!$B$26),"D. Promising (needs more spend)",""))))</f>
        <v/>
      </c>
      <c r="C601" s="4" t="s">
        <v>2167</v>
      </c>
      <c r="D601" s="4" t="s">
        <v>109</v>
      </c>
      <c r="E601" s="4" t="s">
        <v>1318</v>
      </c>
      <c r="F601" s="4" t="s">
        <v>111</v>
      </c>
      <c r="G601" s="4" t="s">
        <v>599</v>
      </c>
      <c r="H601" s="4" t="s">
        <v>2168</v>
      </c>
      <c r="I601" s="5" t="n">
        <v>25.54</v>
      </c>
      <c r="J601" s="7" t="n">
        <v>0</v>
      </c>
      <c r="K601" s="5" t="n">
        <v>0</v>
      </c>
      <c r="L601" s="8" t="n">
        <v>0</v>
      </c>
      <c r="M601" s="9" t="n">
        <v>0</v>
      </c>
      <c r="N601" s="10" t="n">
        <v>0.08024691</v>
      </c>
      <c r="O601" s="5" t="n">
        <v>157.65</v>
      </c>
      <c r="P601" s="11" t="n">
        <v>1.227273</v>
      </c>
      <c r="Q601" s="7" t="n">
        <v>162</v>
      </c>
      <c r="R601" s="7" t="n">
        <v>13</v>
      </c>
      <c r="S601" s="7" t="n">
        <v>0</v>
      </c>
      <c r="T601" s="7" t="n">
        <v>1</v>
      </c>
      <c r="U601" s="7" t="n">
        <v>125</v>
      </c>
      <c r="V601" s="7" t="n">
        <v>26</v>
      </c>
    </row>
    <row r="602" customFormat="false" ht="15" hidden="false" customHeight="false" outlineLevel="0" collapsed="false">
      <c r="A602" s="4" t="s">
        <v>2169</v>
      </c>
      <c r="B602" s="4" t="str">
        <f aca="false">IF(AND(I602&gt;='Read Me &amp; Markers'!$B$18,J602&gt;='Read Me &amp; Markers'!$B$19,L602&gt;='Read Me &amp; Markers'!$B$20),"A. Proven winner",IF(AND(I602&gt;='Read Me &amp; Markers'!$B$18,J602&gt;='Read Me &amp; Markers'!$B$19,L602&gt;='Read Me &amp; Markers'!$B$21),"B. Strong performer",IF(AND(I602&gt;='Read Me &amp; Markers'!$B$22,L602&gt;='Read Me &amp; Markers'!$B$23),"C. Scale workhorse",IF(AND(I602&gt;='Read Me &amp; Markers'!$B$24,I602&lt;'Read Me &amp; Markers'!$B$18,J602&gt;='Read Me &amp; Markers'!$B$25,L602&gt;='Read Me &amp; Markers'!$B$26),"D. Promising (needs more spend)",""))))</f>
        <v/>
      </c>
      <c r="C602" s="4" t="s">
        <v>2170</v>
      </c>
      <c r="D602" s="4" t="s">
        <v>100</v>
      </c>
      <c r="E602" s="4" t="s">
        <v>2171</v>
      </c>
      <c r="F602" s="4" t="s">
        <v>172</v>
      </c>
      <c r="G602" s="4" t="s">
        <v>348</v>
      </c>
      <c r="H602" s="4" t="s">
        <v>2172</v>
      </c>
      <c r="I602" s="5" t="n">
        <v>25.49</v>
      </c>
      <c r="J602" s="7" t="n">
        <v>0</v>
      </c>
      <c r="K602" s="5" t="n">
        <v>0</v>
      </c>
      <c r="L602" s="8" t="n">
        <v>0</v>
      </c>
      <c r="M602" s="9" t="n">
        <v>0</v>
      </c>
      <c r="N602" s="10" t="n">
        <v>0.00940439</v>
      </c>
      <c r="O602" s="5" t="n">
        <v>79.91</v>
      </c>
      <c r="P602" s="11" t="n">
        <v>1.265873</v>
      </c>
      <c r="Q602" s="7" t="n">
        <v>319</v>
      </c>
      <c r="R602" s="7" t="n">
        <v>3</v>
      </c>
      <c r="S602" s="7" t="n">
        <v>1</v>
      </c>
      <c r="T602" s="7" t="n">
        <v>1</v>
      </c>
      <c r="U602" s="7" t="n">
        <v>188</v>
      </c>
      <c r="V602" s="7" t="n">
        <v>9</v>
      </c>
    </row>
    <row r="603" customFormat="false" ht="15" hidden="false" customHeight="false" outlineLevel="0" collapsed="false">
      <c r="A603" s="4" t="s">
        <v>2173</v>
      </c>
      <c r="B603" s="4" t="str">
        <f aca="false">IF(AND(I603&gt;='Read Me &amp; Markers'!$B$18,J603&gt;='Read Me &amp; Markers'!$B$19,L603&gt;='Read Me &amp; Markers'!$B$20),"A. Proven winner",IF(AND(I603&gt;='Read Me &amp; Markers'!$B$18,J603&gt;='Read Me &amp; Markers'!$B$19,L603&gt;='Read Me &amp; Markers'!$B$21),"B. Strong performer",IF(AND(I603&gt;='Read Me &amp; Markers'!$B$22,L603&gt;='Read Me &amp; Markers'!$B$23),"C. Scale workhorse",IF(AND(I603&gt;='Read Me &amp; Markers'!$B$24,I603&lt;'Read Me &amp; Markers'!$B$18,J603&gt;='Read Me &amp; Markers'!$B$25,L603&gt;='Read Me &amp; Markers'!$B$26),"D. Promising (needs more spend)",""))))</f>
        <v/>
      </c>
      <c r="C603" s="4" t="s">
        <v>2174</v>
      </c>
      <c r="D603" s="4" t="s">
        <v>109</v>
      </c>
      <c r="E603" s="4" t="s">
        <v>110</v>
      </c>
      <c r="F603" s="4" t="s">
        <v>111</v>
      </c>
      <c r="G603" s="4" t="s">
        <v>112</v>
      </c>
      <c r="H603" s="4" t="s">
        <v>2175</v>
      </c>
      <c r="I603" s="5" t="n">
        <v>25.39</v>
      </c>
      <c r="J603" s="7" t="n">
        <v>0</v>
      </c>
      <c r="K603" s="5" t="n">
        <v>0</v>
      </c>
      <c r="L603" s="8" t="n">
        <v>0</v>
      </c>
      <c r="M603" s="9" t="n">
        <v>0</v>
      </c>
      <c r="N603" s="10" t="n">
        <v>0.02088167</v>
      </c>
      <c r="O603" s="5" t="n">
        <v>58.91</v>
      </c>
      <c r="P603" s="11" t="n">
        <v>1.140212</v>
      </c>
      <c r="Q603" s="7" t="n">
        <v>431</v>
      </c>
      <c r="R603" s="7" t="n">
        <v>9</v>
      </c>
      <c r="S603" s="7" t="n">
        <v>1</v>
      </c>
      <c r="T603" s="7" t="n">
        <v>2</v>
      </c>
      <c r="U603" s="7" t="n">
        <v>0</v>
      </c>
      <c r="V603" s="7" t="n">
        <v>0</v>
      </c>
    </row>
    <row r="604" customFormat="false" ht="15" hidden="false" customHeight="false" outlineLevel="0" collapsed="false">
      <c r="A604" s="4" t="s">
        <v>2176</v>
      </c>
      <c r="B604" s="4" t="str">
        <f aca="false">IF(AND(I604&gt;='Read Me &amp; Markers'!$B$18,J604&gt;='Read Me &amp; Markers'!$B$19,L604&gt;='Read Me &amp; Markers'!$B$20),"A. Proven winner",IF(AND(I604&gt;='Read Me &amp; Markers'!$B$18,J604&gt;='Read Me &amp; Markers'!$B$19,L604&gt;='Read Me &amp; Markers'!$B$21),"B. Strong performer",IF(AND(I604&gt;='Read Me &amp; Markers'!$B$22,L604&gt;='Read Me &amp; Markers'!$B$23),"C. Scale workhorse",IF(AND(I604&gt;='Read Me &amp; Markers'!$B$24,I604&lt;'Read Me &amp; Markers'!$B$18,J604&gt;='Read Me &amp; Markers'!$B$25,L604&gt;='Read Me &amp; Markers'!$B$26),"D. Promising (needs more spend)",""))))</f>
        <v/>
      </c>
      <c r="C604" s="4" t="s">
        <v>169</v>
      </c>
      <c r="D604" s="4" t="s">
        <v>100</v>
      </c>
      <c r="E604" s="4" t="s">
        <v>2177</v>
      </c>
      <c r="F604" s="4" t="s">
        <v>87</v>
      </c>
      <c r="G604" s="4" t="s">
        <v>650</v>
      </c>
      <c r="H604" s="4" t="s">
        <v>2178</v>
      </c>
      <c r="I604" s="5" t="n">
        <v>25.31</v>
      </c>
      <c r="J604" s="7" t="n">
        <v>0</v>
      </c>
      <c r="K604" s="5" t="n">
        <v>0</v>
      </c>
      <c r="L604" s="8" t="n">
        <v>0</v>
      </c>
      <c r="M604" s="9" t="n">
        <v>0</v>
      </c>
      <c r="N604" s="10" t="n">
        <v>0.03278689</v>
      </c>
      <c r="O604" s="5" t="n">
        <v>103.73</v>
      </c>
      <c r="P604" s="11" t="n">
        <v>1.079646</v>
      </c>
      <c r="Q604" s="7" t="n">
        <v>244</v>
      </c>
      <c r="R604" s="7" t="n">
        <v>8</v>
      </c>
      <c r="S604" s="7" t="n">
        <v>0</v>
      </c>
      <c r="T604" s="7" t="n">
        <v>0</v>
      </c>
      <c r="U604" s="7" t="n">
        <v>221</v>
      </c>
      <c r="V604" s="7" t="n">
        <v>23</v>
      </c>
    </row>
    <row r="605" customFormat="false" ht="15" hidden="false" customHeight="false" outlineLevel="0" collapsed="false">
      <c r="A605" s="4" t="s">
        <v>2179</v>
      </c>
      <c r="B605" s="4" t="str">
        <f aca="false">IF(AND(I605&gt;='Read Me &amp; Markers'!$B$18,J605&gt;='Read Me &amp; Markers'!$B$19,L605&gt;='Read Me &amp; Markers'!$B$20),"A. Proven winner",IF(AND(I605&gt;='Read Me &amp; Markers'!$B$18,J605&gt;='Read Me &amp; Markers'!$B$19,L605&gt;='Read Me &amp; Markers'!$B$21),"B. Strong performer",IF(AND(I605&gt;='Read Me &amp; Markers'!$B$22,L605&gt;='Read Me &amp; Markers'!$B$23),"C. Scale workhorse",IF(AND(I605&gt;='Read Me &amp; Markers'!$B$24,I605&lt;'Read Me &amp; Markers'!$B$18,J605&gt;='Read Me &amp; Markers'!$B$25,L605&gt;='Read Me &amp; Markers'!$B$26),"D. Promising (needs more spend)",""))))</f>
        <v/>
      </c>
      <c r="C605" s="4" t="s">
        <v>2180</v>
      </c>
      <c r="D605" s="4" t="s">
        <v>109</v>
      </c>
      <c r="E605" s="4" t="s">
        <v>435</v>
      </c>
      <c r="F605" s="4" t="s">
        <v>430</v>
      </c>
      <c r="G605" s="4" t="s">
        <v>436</v>
      </c>
      <c r="H605" s="4" t="s">
        <v>2181</v>
      </c>
      <c r="I605" s="5" t="n">
        <v>25.13</v>
      </c>
      <c r="J605" s="7" t="n">
        <v>0</v>
      </c>
      <c r="K605" s="5" t="n">
        <v>0</v>
      </c>
      <c r="L605" s="8" t="n">
        <v>0</v>
      </c>
      <c r="M605" s="9" t="n">
        <v>0</v>
      </c>
      <c r="N605" s="10" t="n">
        <v>0.03813559</v>
      </c>
      <c r="O605" s="5" t="n">
        <v>106.48</v>
      </c>
      <c r="P605" s="11" t="n">
        <v>1.15122</v>
      </c>
      <c r="Q605" s="7" t="n">
        <v>236</v>
      </c>
      <c r="R605" s="7" t="n">
        <v>9</v>
      </c>
      <c r="S605" s="7" t="n">
        <v>0</v>
      </c>
      <c r="T605" s="7" t="n">
        <v>0</v>
      </c>
      <c r="U605" s="7" t="n">
        <v>226</v>
      </c>
      <c r="V605" s="7" t="n">
        <v>50</v>
      </c>
    </row>
    <row r="606" customFormat="false" ht="15" hidden="false" customHeight="false" outlineLevel="0" collapsed="false">
      <c r="A606" s="4" t="s">
        <v>2182</v>
      </c>
      <c r="B606" s="4" t="str">
        <f aca="false">IF(AND(I606&gt;='Read Me &amp; Markers'!$B$18,J606&gt;='Read Me &amp; Markers'!$B$19,L606&gt;='Read Me &amp; Markers'!$B$20),"A. Proven winner",IF(AND(I606&gt;='Read Me &amp; Markers'!$B$18,J606&gt;='Read Me &amp; Markers'!$B$19,L606&gt;='Read Me &amp; Markers'!$B$21),"B. Strong performer",IF(AND(I606&gt;='Read Me &amp; Markers'!$B$22,L606&gt;='Read Me &amp; Markers'!$B$23),"C. Scale workhorse",IF(AND(I606&gt;='Read Me &amp; Markers'!$B$24,I606&lt;'Read Me &amp; Markers'!$B$18,J606&gt;='Read Me &amp; Markers'!$B$25,L606&gt;='Read Me &amp; Markers'!$B$26),"D. Promising (needs more spend)",""))))</f>
        <v/>
      </c>
      <c r="C606" s="4" t="s">
        <v>121</v>
      </c>
      <c r="D606" s="4" t="s">
        <v>206</v>
      </c>
      <c r="E606" s="4" t="s">
        <v>742</v>
      </c>
      <c r="F606" s="4" t="s">
        <v>172</v>
      </c>
      <c r="G606" s="4" t="s">
        <v>743</v>
      </c>
      <c r="H606" s="4" t="s">
        <v>2183</v>
      </c>
      <c r="I606" s="5" t="n">
        <v>24.95</v>
      </c>
      <c r="J606" s="7" t="n">
        <v>1</v>
      </c>
      <c r="K606" s="5" t="n">
        <v>48.34</v>
      </c>
      <c r="L606" s="8" t="n">
        <v>1.937475</v>
      </c>
      <c r="M606" s="9" t="n">
        <v>24.95</v>
      </c>
      <c r="N606" s="10" t="n">
        <v>0.04263566</v>
      </c>
      <c r="O606" s="5" t="n">
        <v>96.71</v>
      </c>
      <c r="P606" s="11" t="n">
        <v>1.084034</v>
      </c>
      <c r="Q606" s="7" t="n">
        <v>258</v>
      </c>
      <c r="R606" s="7" t="n">
        <v>11</v>
      </c>
      <c r="S606" s="7" t="n">
        <v>1</v>
      </c>
      <c r="T606" s="7" t="n">
        <v>3</v>
      </c>
      <c r="U606" s="7" t="n">
        <v>227</v>
      </c>
      <c r="V606" s="7" t="n">
        <v>32</v>
      </c>
    </row>
    <row r="607" customFormat="false" ht="15" hidden="false" customHeight="false" outlineLevel="0" collapsed="false">
      <c r="A607" s="4" t="s">
        <v>2184</v>
      </c>
      <c r="B607" s="4" t="str">
        <f aca="false">IF(AND(I607&gt;='Read Me &amp; Markers'!$B$18,J607&gt;='Read Me &amp; Markers'!$B$19,L607&gt;='Read Me &amp; Markers'!$B$20),"A. Proven winner",IF(AND(I607&gt;='Read Me &amp; Markers'!$B$18,J607&gt;='Read Me &amp; Markers'!$B$19,L607&gt;='Read Me &amp; Markers'!$B$21),"B. Strong performer",IF(AND(I607&gt;='Read Me &amp; Markers'!$B$22,L607&gt;='Read Me &amp; Markers'!$B$23),"C. Scale workhorse",IF(AND(I607&gt;='Read Me &amp; Markers'!$B$24,I607&lt;'Read Me &amp; Markers'!$B$18,J607&gt;='Read Me &amp; Markers'!$B$25,L607&gt;='Read Me &amp; Markers'!$B$26),"D. Promising (needs more spend)",""))))</f>
        <v/>
      </c>
      <c r="C607" s="4" t="s">
        <v>1527</v>
      </c>
      <c r="D607" s="4" t="s">
        <v>154</v>
      </c>
      <c r="E607" s="4" t="s">
        <v>323</v>
      </c>
      <c r="F607" s="4" t="s">
        <v>253</v>
      </c>
      <c r="G607" s="4" t="s">
        <v>156</v>
      </c>
      <c r="H607" s="4" t="s">
        <v>2185</v>
      </c>
      <c r="I607" s="5" t="n">
        <v>24.64</v>
      </c>
      <c r="J607" s="7" t="n">
        <v>0</v>
      </c>
      <c r="K607" s="5" t="n">
        <v>0</v>
      </c>
      <c r="L607" s="8" t="n">
        <v>0</v>
      </c>
      <c r="M607" s="9" t="n">
        <v>0</v>
      </c>
      <c r="N607" s="10" t="n">
        <v>0.06060606</v>
      </c>
      <c r="O607" s="5" t="n">
        <v>74.67</v>
      </c>
      <c r="P607" s="11" t="n">
        <v>1.2</v>
      </c>
      <c r="Q607" s="7" t="n">
        <v>330</v>
      </c>
      <c r="R607" s="7" t="n">
        <v>20</v>
      </c>
      <c r="S607" s="7" t="n">
        <v>7</v>
      </c>
      <c r="T607" s="7" t="n">
        <v>10</v>
      </c>
      <c r="U607" s="7" t="n">
        <v>297</v>
      </c>
      <c r="V607" s="7" t="n">
        <v>25</v>
      </c>
    </row>
    <row r="608" customFormat="false" ht="15" hidden="false" customHeight="false" outlineLevel="0" collapsed="false">
      <c r="A608" s="4" t="s">
        <v>2186</v>
      </c>
      <c r="B608" s="4" t="str">
        <f aca="false">IF(AND(I608&gt;='Read Me &amp; Markers'!$B$18,J608&gt;='Read Me &amp; Markers'!$B$19,L608&gt;='Read Me &amp; Markers'!$B$20),"A. Proven winner",IF(AND(I608&gt;='Read Me &amp; Markers'!$B$18,J608&gt;='Read Me &amp; Markers'!$B$19,L608&gt;='Read Me &amp; Markers'!$B$21),"B. Strong performer",IF(AND(I608&gt;='Read Me &amp; Markers'!$B$22,L608&gt;='Read Me &amp; Markers'!$B$23),"C. Scale workhorse",IF(AND(I608&gt;='Read Me &amp; Markers'!$B$24,I608&lt;'Read Me &amp; Markers'!$B$18,J608&gt;='Read Me &amp; Markers'!$B$25,L608&gt;='Read Me &amp; Markers'!$B$26),"D. Promising (needs more spend)",""))))</f>
        <v/>
      </c>
      <c r="C608" s="4" t="s">
        <v>2187</v>
      </c>
      <c r="D608" s="4" t="s">
        <v>1204</v>
      </c>
      <c r="E608" s="4" t="s">
        <v>2188</v>
      </c>
      <c r="F608" s="4" t="s">
        <v>253</v>
      </c>
      <c r="G608" s="4" t="s">
        <v>1206</v>
      </c>
      <c r="H608" s="4" t="s">
        <v>2189</v>
      </c>
      <c r="I608" s="5" t="n">
        <v>24.63</v>
      </c>
      <c r="J608" s="7" t="n">
        <v>0</v>
      </c>
      <c r="K608" s="5" t="n">
        <v>0</v>
      </c>
      <c r="L608" s="8" t="n">
        <v>0</v>
      </c>
      <c r="M608" s="9" t="n">
        <v>0</v>
      </c>
      <c r="N608" s="10" t="n">
        <v>0.04639175</v>
      </c>
      <c r="O608" s="5" t="n">
        <v>126.96</v>
      </c>
      <c r="P608" s="11" t="n">
        <v>1.134503</v>
      </c>
      <c r="Q608" s="7" t="n">
        <v>194</v>
      </c>
      <c r="R608" s="7" t="n">
        <v>9</v>
      </c>
      <c r="S608" s="7" t="n">
        <v>0</v>
      </c>
      <c r="T608" s="7" t="n">
        <v>0</v>
      </c>
      <c r="U608" s="7" t="n">
        <v>185</v>
      </c>
      <c r="V608" s="7" t="n">
        <v>46</v>
      </c>
    </row>
    <row r="609" customFormat="false" ht="15" hidden="false" customHeight="false" outlineLevel="0" collapsed="false">
      <c r="A609" s="4" t="s">
        <v>2190</v>
      </c>
      <c r="B609" s="4" t="str">
        <f aca="false">IF(AND(I609&gt;='Read Me &amp; Markers'!$B$18,J609&gt;='Read Me &amp; Markers'!$B$19,L609&gt;='Read Me &amp; Markers'!$B$20),"A. Proven winner",IF(AND(I609&gt;='Read Me &amp; Markers'!$B$18,J609&gt;='Read Me &amp; Markers'!$B$19,L609&gt;='Read Me &amp; Markers'!$B$21),"B. Strong performer",IF(AND(I609&gt;='Read Me &amp; Markers'!$B$22,L609&gt;='Read Me &amp; Markers'!$B$23),"C. Scale workhorse",IF(AND(I609&gt;='Read Me &amp; Markers'!$B$24,I609&lt;'Read Me &amp; Markers'!$B$18,J609&gt;='Read Me &amp; Markers'!$B$25,L609&gt;='Read Me &amp; Markers'!$B$26),"D. Promising (needs more spend)",""))))</f>
        <v/>
      </c>
      <c r="C609" s="4" t="s">
        <v>129</v>
      </c>
      <c r="D609" s="4" t="s">
        <v>154</v>
      </c>
      <c r="E609" s="4" t="s">
        <v>1782</v>
      </c>
      <c r="F609" s="4" t="s">
        <v>253</v>
      </c>
      <c r="G609" s="4" t="s">
        <v>88</v>
      </c>
      <c r="H609" s="4" t="s">
        <v>2191</v>
      </c>
      <c r="I609" s="5" t="n">
        <v>24.61</v>
      </c>
      <c r="J609" s="7" t="n">
        <v>2</v>
      </c>
      <c r="K609" s="5" t="n">
        <v>125.91</v>
      </c>
      <c r="L609" s="8" t="n">
        <v>5.116213</v>
      </c>
      <c r="M609" s="9" t="n">
        <v>12.31</v>
      </c>
      <c r="N609" s="10" t="n">
        <v>0.02863436</v>
      </c>
      <c r="O609" s="5" t="n">
        <v>54.21</v>
      </c>
      <c r="P609" s="11" t="n">
        <v>1.286119</v>
      </c>
      <c r="Q609" s="7" t="n">
        <v>454</v>
      </c>
      <c r="R609" s="7" t="n">
        <v>13</v>
      </c>
      <c r="S609" s="7" t="n">
        <v>2</v>
      </c>
      <c r="T609" s="7" t="n">
        <v>3</v>
      </c>
      <c r="U609" s="7" t="n">
        <v>379</v>
      </c>
      <c r="V609" s="7" t="n">
        <v>45</v>
      </c>
    </row>
    <row r="610" customFormat="false" ht="15" hidden="false" customHeight="false" outlineLevel="0" collapsed="false">
      <c r="A610" s="4" t="s">
        <v>2192</v>
      </c>
      <c r="B610" s="4" t="str">
        <f aca="false">IF(AND(I610&gt;='Read Me &amp; Markers'!$B$18,J610&gt;='Read Me &amp; Markers'!$B$19,L610&gt;='Read Me &amp; Markers'!$B$20),"A. Proven winner",IF(AND(I610&gt;='Read Me &amp; Markers'!$B$18,J610&gt;='Read Me &amp; Markers'!$B$19,L610&gt;='Read Me &amp; Markers'!$B$21),"B. Strong performer",IF(AND(I610&gt;='Read Me &amp; Markers'!$B$22,L610&gt;='Read Me &amp; Markers'!$B$23),"C. Scale workhorse",IF(AND(I610&gt;='Read Me &amp; Markers'!$B$24,I610&lt;'Read Me &amp; Markers'!$B$18,J610&gt;='Read Me &amp; Markers'!$B$25,L610&gt;='Read Me &amp; Markers'!$B$26),"D. Promising (needs more spend)",""))))</f>
        <v/>
      </c>
      <c r="C610" s="4" t="s">
        <v>129</v>
      </c>
      <c r="D610" s="4" t="s">
        <v>100</v>
      </c>
      <c r="E610" s="4" t="s">
        <v>278</v>
      </c>
      <c r="F610" s="4" t="s">
        <v>87</v>
      </c>
      <c r="G610" s="4" t="s">
        <v>279</v>
      </c>
      <c r="H610" s="4" t="s">
        <v>2193</v>
      </c>
      <c r="I610" s="5" t="n">
        <v>24.39</v>
      </c>
      <c r="J610" s="7" t="n">
        <v>0</v>
      </c>
      <c r="K610" s="5" t="n">
        <v>0</v>
      </c>
      <c r="L610" s="8" t="n">
        <v>0</v>
      </c>
      <c r="M610" s="9" t="n">
        <v>0</v>
      </c>
      <c r="N610" s="10" t="n">
        <v>0.05426357</v>
      </c>
      <c r="O610" s="5" t="n">
        <v>94.53</v>
      </c>
      <c r="P610" s="11" t="n">
        <v>1.053061</v>
      </c>
      <c r="Q610" s="7" t="n">
        <v>258</v>
      </c>
      <c r="R610" s="7" t="n">
        <v>14</v>
      </c>
      <c r="S610" s="7" t="n">
        <v>2</v>
      </c>
      <c r="T610" s="7" t="n">
        <v>3</v>
      </c>
      <c r="U610" s="7" t="n">
        <v>230</v>
      </c>
      <c r="V610" s="7" t="n">
        <v>15</v>
      </c>
    </row>
    <row r="611" customFormat="false" ht="15" hidden="false" customHeight="false" outlineLevel="0" collapsed="false">
      <c r="A611" s="4" t="s">
        <v>2194</v>
      </c>
      <c r="B611" s="4" t="str">
        <f aca="false">IF(AND(I611&gt;='Read Me &amp; Markers'!$B$18,J611&gt;='Read Me &amp; Markers'!$B$19,L611&gt;='Read Me &amp; Markers'!$B$20),"A. Proven winner",IF(AND(I611&gt;='Read Me &amp; Markers'!$B$18,J611&gt;='Read Me &amp; Markers'!$B$19,L611&gt;='Read Me &amp; Markers'!$B$21),"B. Strong performer",IF(AND(I611&gt;='Read Me &amp; Markers'!$B$22,L611&gt;='Read Me &amp; Markers'!$B$23),"C. Scale workhorse",IF(AND(I611&gt;='Read Me &amp; Markers'!$B$24,I611&lt;'Read Me &amp; Markers'!$B$18,J611&gt;='Read Me &amp; Markers'!$B$25,L611&gt;='Read Me &amp; Markers'!$B$26),"D. Promising (needs more spend)",""))))</f>
        <v/>
      </c>
      <c r="C611" s="4" t="s">
        <v>2195</v>
      </c>
      <c r="D611" s="4" t="s">
        <v>109</v>
      </c>
      <c r="E611" s="4" t="s">
        <v>429</v>
      </c>
      <c r="F611" s="4" t="s">
        <v>111</v>
      </c>
      <c r="G611" s="4" t="s">
        <v>431</v>
      </c>
      <c r="H611" s="4" t="s">
        <v>2196</v>
      </c>
      <c r="I611" s="5" t="n">
        <v>24.36</v>
      </c>
      <c r="J611" s="7" t="n">
        <v>0</v>
      </c>
      <c r="K611" s="5" t="n">
        <v>0</v>
      </c>
      <c r="L611" s="8" t="n">
        <v>0</v>
      </c>
      <c r="M611" s="9" t="n">
        <v>0</v>
      </c>
      <c r="N611" s="10" t="n">
        <v>0.01792115</v>
      </c>
      <c r="O611" s="5" t="n">
        <v>87.31</v>
      </c>
      <c r="P611" s="11" t="n">
        <v>1.245536</v>
      </c>
      <c r="Q611" s="7" t="n">
        <v>279</v>
      </c>
      <c r="R611" s="7" t="n">
        <v>5</v>
      </c>
      <c r="S611" s="7" t="n">
        <v>0</v>
      </c>
      <c r="T611" s="7" t="n">
        <v>0</v>
      </c>
      <c r="U611" s="7" t="n">
        <v>8</v>
      </c>
      <c r="V611" s="7" t="n">
        <v>3</v>
      </c>
    </row>
    <row r="612" customFormat="false" ht="15" hidden="false" customHeight="false" outlineLevel="0" collapsed="false">
      <c r="A612" s="4" t="s">
        <v>2197</v>
      </c>
      <c r="B612" s="4" t="str">
        <f aca="false">IF(AND(I612&gt;='Read Me &amp; Markers'!$B$18,J612&gt;='Read Me &amp; Markers'!$B$19,L612&gt;='Read Me &amp; Markers'!$B$20),"A. Proven winner",IF(AND(I612&gt;='Read Me &amp; Markers'!$B$18,J612&gt;='Read Me &amp; Markers'!$B$19,L612&gt;='Read Me &amp; Markers'!$B$21),"B. Strong performer",IF(AND(I612&gt;='Read Me &amp; Markers'!$B$22,L612&gt;='Read Me &amp; Markers'!$B$23),"C. Scale workhorse",IF(AND(I612&gt;='Read Me &amp; Markers'!$B$24,I612&lt;'Read Me &amp; Markers'!$B$18,J612&gt;='Read Me &amp; Markers'!$B$25,L612&gt;='Read Me &amp; Markers'!$B$26),"D. Promising (needs more spend)",""))))</f>
        <v/>
      </c>
      <c r="C612" s="4" t="s">
        <v>2198</v>
      </c>
      <c r="D612" s="4" t="s">
        <v>109</v>
      </c>
      <c r="E612" s="4" t="s">
        <v>2108</v>
      </c>
      <c r="F612" s="4" t="s">
        <v>172</v>
      </c>
      <c r="G612" s="4" t="s">
        <v>361</v>
      </c>
      <c r="H612" s="4" t="s">
        <v>2199</v>
      </c>
      <c r="I612" s="5" t="n">
        <v>24.26</v>
      </c>
      <c r="J612" s="7" t="n">
        <v>0</v>
      </c>
      <c r="K612" s="5" t="n">
        <v>0</v>
      </c>
      <c r="L612" s="8" t="n">
        <v>0</v>
      </c>
      <c r="M612" s="9" t="n">
        <v>0</v>
      </c>
      <c r="N612" s="10" t="n">
        <v>0.06086957</v>
      </c>
      <c r="O612" s="5" t="n">
        <v>210.96</v>
      </c>
      <c r="P612" s="11" t="n">
        <v>1.026786</v>
      </c>
      <c r="Q612" s="7" t="n">
        <v>115</v>
      </c>
      <c r="R612" s="7" t="n">
        <v>7</v>
      </c>
      <c r="S612" s="7" t="n">
        <v>0</v>
      </c>
      <c r="T612" s="7" t="n">
        <v>0</v>
      </c>
      <c r="U612" s="7" t="n">
        <v>109</v>
      </c>
      <c r="V612" s="7" t="n">
        <v>23</v>
      </c>
    </row>
    <row r="613" customFormat="false" ht="15" hidden="false" customHeight="false" outlineLevel="0" collapsed="false">
      <c r="A613" s="4" t="s">
        <v>2200</v>
      </c>
      <c r="B613" s="4" t="str">
        <f aca="false">IF(AND(I613&gt;='Read Me &amp; Markers'!$B$18,J613&gt;='Read Me &amp; Markers'!$B$19,L613&gt;='Read Me &amp; Markers'!$B$20),"A. Proven winner",IF(AND(I613&gt;='Read Me &amp; Markers'!$B$18,J613&gt;='Read Me &amp; Markers'!$B$19,L613&gt;='Read Me &amp; Markers'!$B$21),"B. Strong performer",IF(AND(I613&gt;='Read Me &amp; Markers'!$B$22,L613&gt;='Read Me &amp; Markers'!$B$23),"C. Scale workhorse",IF(AND(I613&gt;='Read Me &amp; Markers'!$B$24,I613&lt;'Read Me &amp; Markers'!$B$18,J613&gt;='Read Me &amp; Markers'!$B$25,L613&gt;='Read Me &amp; Markers'!$B$26),"D. Promising (needs more spend)",""))))</f>
        <v/>
      </c>
      <c r="C613" s="4" t="s">
        <v>129</v>
      </c>
      <c r="D613" s="4" t="s">
        <v>154</v>
      </c>
      <c r="E613" s="4" t="s">
        <v>2201</v>
      </c>
      <c r="F613" s="4" t="s">
        <v>253</v>
      </c>
      <c r="G613" s="4" t="s">
        <v>1711</v>
      </c>
      <c r="H613" s="4" t="s">
        <v>2202</v>
      </c>
      <c r="I613" s="5" t="n">
        <v>24.18</v>
      </c>
      <c r="J613" s="7" t="n">
        <v>0</v>
      </c>
      <c r="K613" s="5" t="n">
        <v>0</v>
      </c>
      <c r="L613" s="8" t="n">
        <v>0</v>
      </c>
      <c r="M613" s="9" t="n">
        <v>0</v>
      </c>
      <c r="N613" s="10" t="n">
        <v>0.03485839</v>
      </c>
      <c r="O613" s="5" t="n">
        <v>52.68</v>
      </c>
      <c r="P613" s="11" t="n">
        <v>1.466454</v>
      </c>
      <c r="Q613" s="7" t="n">
        <v>459</v>
      </c>
      <c r="R613" s="7" t="n">
        <v>16</v>
      </c>
      <c r="S613" s="7" t="n">
        <v>20</v>
      </c>
      <c r="T613" s="7" t="n">
        <v>21</v>
      </c>
      <c r="U613" s="7" t="n">
        <v>350</v>
      </c>
      <c r="V613" s="7" t="n">
        <v>41</v>
      </c>
    </row>
    <row r="614" customFormat="false" ht="15" hidden="false" customHeight="false" outlineLevel="0" collapsed="false">
      <c r="A614" s="4" t="s">
        <v>2203</v>
      </c>
      <c r="B614" s="4" t="str">
        <f aca="false">IF(AND(I614&gt;='Read Me &amp; Markers'!$B$18,J614&gt;='Read Me &amp; Markers'!$B$19,L614&gt;='Read Me &amp; Markers'!$B$20),"A. Proven winner",IF(AND(I614&gt;='Read Me &amp; Markers'!$B$18,J614&gt;='Read Me &amp; Markers'!$B$19,L614&gt;='Read Me &amp; Markers'!$B$21),"B. Strong performer",IF(AND(I614&gt;='Read Me &amp; Markers'!$B$22,L614&gt;='Read Me &amp; Markers'!$B$23),"C. Scale workhorse",IF(AND(I614&gt;='Read Me &amp; Markers'!$B$24,I614&lt;'Read Me &amp; Markers'!$B$18,J614&gt;='Read Me &amp; Markers'!$B$25,L614&gt;='Read Me &amp; Markers'!$B$26),"D. Promising (needs more spend)",""))))</f>
        <v/>
      </c>
      <c r="C614" s="4" t="s">
        <v>129</v>
      </c>
      <c r="D614" s="4" t="s">
        <v>100</v>
      </c>
      <c r="E614" s="4" t="s">
        <v>872</v>
      </c>
      <c r="F614" s="4" t="s">
        <v>87</v>
      </c>
      <c r="G614" s="4" t="s">
        <v>342</v>
      </c>
      <c r="H614" s="4" t="s">
        <v>2204</v>
      </c>
      <c r="I614" s="5" t="n">
        <v>24.1</v>
      </c>
      <c r="J614" s="7" t="n">
        <v>0</v>
      </c>
      <c r="K614" s="5" t="n">
        <v>0</v>
      </c>
      <c r="L614" s="8" t="n">
        <v>0</v>
      </c>
      <c r="M614" s="9" t="n">
        <v>0</v>
      </c>
      <c r="N614" s="10" t="n">
        <v>0.07727273</v>
      </c>
      <c r="O614" s="5" t="n">
        <v>109.55</v>
      </c>
      <c r="P614" s="11" t="n">
        <v>1.089109</v>
      </c>
      <c r="Q614" s="7" t="n">
        <v>220</v>
      </c>
      <c r="R614" s="7" t="n">
        <v>17</v>
      </c>
      <c r="S614" s="7" t="n">
        <v>0</v>
      </c>
      <c r="T614" s="7" t="n">
        <v>0</v>
      </c>
      <c r="U614" s="7" t="n">
        <v>214</v>
      </c>
      <c r="V614" s="7" t="n">
        <v>45</v>
      </c>
    </row>
    <row r="615" customFormat="false" ht="15" hidden="false" customHeight="false" outlineLevel="0" collapsed="false">
      <c r="A615" s="4" t="s">
        <v>2205</v>
      </c>
      <c r="B615" s="4" t="str">
        <f aca="false">IF(AND(I615&gt;='Read Me &amp; Markers'!$B$18,J615&gt;='Read Me &amp; Markers'!$B$19,L615&gt;='Read Me &amp; Markers'!$B$20),"A. Proven winner",IF(AND(I615&gt;='Read Me &amp; Markers'!$B$18,J615&gt;='Read Me &amp; Markers'!$B$19,L615&gt;='Read Me &amp; Markers'!$B$21),"B. Strong performer",IF(AND(I615&gt;='Read Me &amp; Markers'!$B$22,L615&gt;='Read Me &amp; Markers'!$B$23),"C. Scale workhorse",IF(AND(I615&gt;='Read Me &amp; Markers'!$B$24,I615&lt;'Read Me &amp; Markers'!$B$18,J615&gt;='Read Me &amp; Markers'!$B$25,L615&gt;='Read Me &amp; Markers'!$B$26),"D. Promising (needs more spend)",""))))</f>
        <v/>
      </c>
      <c r="C615" s="4" t="s">
        <v>2206</v>
      </c>
      <c r="D615" s="4" t="s">
        <v>109</v>
      </c>
      <c r="E615" s="4" t="s">
        <v>429</v>
      </c>
      <c r="F615" s="4" t="s">
        <v>111</v>
      </c>
      <c r="G615" s="4" t="s">
        <v>431</v>
      </c>
      <c r="H615" s="4" t="s">
        <v>2207</v>
      </c>
      <c r="I615" s="5" t="n">
        <v>23.96</v>
      </c>
      <c r="J615" s="7" t="n">
        <v>0</v>
      </c>
      <c r="K615" s="5" t="n">
        <v>0</v>
      </c>
      <c r="L615" s="8" t="n">
        <v>0</v>
      </c>
      <c r="M615" s="9" t="n">
        <v>0</v>
      </c>
      <c r="N615" s="10" t="n">
        <v>0.01152738</v>
      </c>
      <c r="O615" s="5" t="n">
        <v>34.52</v>
      </c>
      <c r="P615" s="11" t="n">
        <v>1.390782</v>
      </c>
      <c r="Q615" s="7" t="n">
        <v>694</v>
      </c>
      <c r="R615" s="7" t="n">
        <v>8</v>
      </c>
      <c r="S615" s="7" t="n">
        <v>0</v>
      </c>
      <c r="T615" s="7" t="n">
        <v>0</v>
      </c>
      <c r="U615" s="7" t="n">
        <v>2</v>
      </c>
      <c r="V615" s="7" t="n">
        <v>0</v>
      </c>
    </row>
    <row r="616" customFormat="false" ht="15" hidden="false" customHeight="false" outlineLevel="0" collapsed="false">
      <c r="A616" s="4" t="s">
        <v>2208</v>
      </c>
      <c r="B616" s="4" t="str">
        <f aca="false">IF(AND(I616&gt;='Read Me &amp; Markers'!$B$18,J616&gt;='Read Me &amp; Markers'!$B$19,L616&gt;='Read Me &amp; Markers'!$B$20),"A. Proven winner",IF(AND(I616&gt;='Read Me &amp; Markers'!$B$18,J616&gt;='Read Me &amp; Markers'!$B$19,L616&gt;='Read Me &amp; Markers'!$B$21),"B. Strong performer",IF(AND(I616&gt;='Read Me &amp; Markers'!$B$22,L616&gt;='Read Me &amp; Markers'!$B$23),"C. Scale workhorse",IF(AND(I616&gt;='Read Me &amp; Markers'!$B$24,I616&lt;'Read Me &amp; Markers'!$B$18,J616&gt;='Read Me &amp; Markers'!$B$25,L616&gt;='Read Me &amp; Markers'!$B$26),"D. Promising (needs more spend)",""))))</f>
        <v/>
      </c>
      <c r="C616" s="4" t="s">
        <v>2209</v>
      </c>
      <c r="D616" s="4" t="s">
        <v>154</v>
      </c>
      <c r="E616" s="4" t="s">
        <v>1461</v>
      </c>
      <c r="F616" s="4" t="s">
        <v>253</v>
      </c>
      <c r="G616" s="4" t="s">
        <v>156</v>
      </c>
      <c r="H616" s="4" t="s">
        <v>2210</v>
      </c>
      <c r="I616" s="5" t="n">
        <v>23.9</v>
      </c>
      <c r="J616" s="7" t="n">
        <v>1</v>
      </c>
      <c r="K616" s="5" t="n">
        <v>45.96</v>
      </c>
      <c r="L616" s="8" t="n">
        <v>1.923013</v>
      </c>
      <c r="M616" s="9" t="n">
        <v>23.9</v>
      </c>
      <c r="N616" s="10" t="n">
        <v>0.04166667</v>
      </c>
      <c r="O616" s="5" t="n">
        <v>99.58</v>
      </c>
      <c r="P616" s="11" t="n">
        <v>1.100917</v>
      </c>
      <c r="Q616" s="7" t="n">
        <v>240</v>
      </c>
      <c r="R616" s="7" t="n">
        <v>10</v>
      </c>
      <c r="S616" s="7" t="n">
        <v>5</v>
      </c>
      <c r="T616" s="7" t="n">
        <v>5</v>
      </c>
      <c r="U616" s="7" t="n">
        <v>203</v>
      </c>
      <c r="V616" s="7" t="n">
        <v>21</v>
      </c>
    </row>
    <row r="617" customFormat="false" ht="15" hidden="false" customHeight="false" outlineLevel="0" collapsed="false">
      <c r="A617" s="4" t="s">
        <v>2211</v>
      </c>
      <c r="B617" s="4" t="str">
        <f aca="false">IF(AND(I617&gt;='Read Me &amp; Markers'!$B$18,J617&gt;='Read Me &amp; Markers'!$B$19,L617&gt;='Read Me &amp; Markers'!$B$20),"A. Proven winner",IF(AND(I617&gt;='Read Me &amp; Markers'!$B$18,J617&gt;='Read Me &amp; Markers'!$B$19,L617&gt;='Read Me &amp; Markers'!$B$21),"B. Strong performer",IF(AND(I617&gt;='Read Me &amp; Markers'!$B$22,L617&gt;='Read Me &amp; Markers'!$B$23),"C. Scale workhorse",IF(AND(I617&gt;='Read Me &amp; Markers'!$B$24,I617&lt;'Read Me &amp; Markers'!$B$18,J617&gt;='Read Me &amp; Markers'!$B$25,L617&gt;='Read Me &amp; Markers'!$B$26),"D. Promising (needs more spend)",""))))</f>
        <v/>
      </c>
      <c r="C617" s="4" t="s">
        <v>169</v>
      </c>
      <c r="D617" s="4" t="s">
        <v>154</v>
      </c>
      <c r="E617" s="4" t="s">
        <v>2212</v>
      </c>
      <c r="F617" s="4" t="s">
        <v>253</v>
      </c>
      <c r="G617" s="4" t="s">
        <v>1583</v>
      </c>
      <c r="H617" s="4" t="s">
        <v>2213</v>
      </c>
      <c r="I617" s="5" t="n">
        <v>23.89</v>
      </c>
      <c r="J617" s="7" t="n">
        <v>0</v>
      </c>
      <c r="K617" s="5" t="n">
        <v>0</v>
      </c>
      <c r="L617" s="8" t="n">
        <v>0</v>
      </c>
      <c r="M617" s="9" t="n">
        <v>0</v>
      </c>
      <c r="N617" s="10" t="n">
        <v>0.03517588</v>
      </c>
      <c r="O617" s="5" t="n">
        <v>60.03</v>
      </c>
      <c r="P617" s="11" t="n">
        <v>1.137143</v>
      </c>
      <c r="Q617" s="7" t="n">
        <v>398</v>
      </c>
      <c r="R617" s="7" t="n">
        <v>14</v>
      </c>
      <c r="S617" s="7" t="n">
        <v>2</v>
      </c>
      <c r="T617" s="7" t="n">
        <v>1</v>
      </c>
      <c r="U617" s="7" t="n">
        <v>283</v>
      </c>
      <c r="V617" s="7" t="n">
        <v>24</v>
      </c>
    </row>
    <row r="618" customFormat="false" ht="15" hidden="false" customHeight="false" outlineLevel="0" collapsed="false">
      <c r="A618" s="4" t="s">
        <v>2214</v>
      </c>
      <c r="B618" s="4" t="str">
        <f aca="false">IF(AND(I618&gt;='Read Me &amp; Markers'!$B$18,J618&gt;='Read Me &amp; Markers'!$B$19,L618&gt;='Read Me &amp; Markers'!$B$20),"A. Proven winner",IF(AND(I618&gt;='Read Me &amp; Markers'!$B$18,J618&gt;='Read Me &amp; Markers'!$B$19,L618&gt;='Read Me &amp; Markers'!$B$21),"B. Strong performer",IF(AND(I618&gt;='Read Me &amp; Markers'!$B$22,L618&gt;='Read Me &amp; Markers'!$B$23),"C. Scale workhorse",IF(AND(I618&gt;='Read Me &amp; Markers'!$B$24,I618&lt;'Read Me &amp; Markers'!$B$18,J618&gt;='Read Me &amp; Markers'!$B$25,L618&gt;='Read Me &amp; Markers'!$B$26),"D. Promising (needs more spend)",""))))</f>
        <v/>
      </c>
      <c r="C618" s="4" t="s">
        <v>98</v>
      </c>
      <c r="D618" s="4" t="s">
        <v>100</v>
      </c>
      <c r="E618" s="4" t="s">
        <v>649</v>
      </c>
      <c r="F618" s="4" t="s">
        <v>87</v>
      </c>
      <c r="G618" s="4" t="s">
        <v>650</v>
      </c>
      <c r="H618" s="4" t="s">
        <v>2215</v>
      </c>
      <c r="I618" s="5" t="n">
        <v>23.65</v>
      </c>
      <c r="J618" s="7" t="n">
        <v>0</v>
      </c>
      <c r="K618" s="5" t="n">
        <v>0</v>
      </c>
      <c r="L618" s="8" t="n">
        <v>0</v>
      </c>
      <c r="M618" s="9" t="n">
        <v>0</v>
      </c>
      <c r="N618" s="10" t="n">
        <v>0.03428571</v>
      </c>
      <c r="O618" s="5" t="n">
        <v>67.57</v>
      </c>
      <c r="P618" s="11" t="n">
        <v>1.143791</v>
      </c>
      <c r="Q618" s="7" t="n">
        <v>350</v>
      </c>
      <c r="R618" s="7" t="n">
        <v>12</v>
      </c>
      <c r="S618" s="7" t="n">
        <v>0</v>
      </c>
      <c r="T618" s="7" t="n">
        <v>0</v>
      </c>
      <c r="U618" s="7" t="n">
        <v>302</v>
      </c>
      <c r="V618" s="7" t="n">
        <v>22</v>
      </c>
    </row>
    <row r="619" customFormat="false" ht="15" hidden="false" customHeight="false" outlineLevel="0" collapsed="false">
      <c r="A619" s="4" t="s">
        <v>2216</v>
      </c>
      <c r="B619" s="4" t="str">
        <f aca="false">IF(AND(I619&gt;='Read Me &amp; Markers'!$B$18,J619&gt;='Read Me &amp; Markers'!$B$19,L619&gt;='Read Me &amp; Markers'!$B$20),"A. Proven winner",IF(AND(I619&gt;='Read Me &amp; Markers'!$B$18,J619&gt;='Read Me &amp; Markers'!$B$19,L619&gt;='Read Me &amp; Markers'!$B$21),"B. Strong performer",IF(AND(I619&gt;='Read Me &amp; Markers'!$B$22,L619&gt;='Read Me &amp; Markers'!$B$23),"C. Scale workhorse",IF(AND(I619&gt;='Read Me &amp; Markers'!$B$24,I619&lt;'Read Me &amp; Markers'!$B$18,J619&gt;='Read Me &amp; Markers'!$B$25,L619&gt;='Read Me &amp; Markers'!$B$26),"D. Promising (needs more spend)",""))))</f>
        <v/>
      </c>
      <c r="C619" s="4" t="s">
        <v>2217</v>
      </c>
      <c r="D619" s="4" t="s">
        <v>109</v>
      </c>
      <c r="E619" s="4" t="s">
        <v>435</v>
      </c>
      <c r="F619" s="4" t="s">
        <v>111</v>
      </c>
      <c r="G619" s="4" t="s">
        <v>500</v>
      </c>
      <c r="H619" s="4" t="s">
        <v>2218</v>
      </c>
      <c r="I619" s="5" t="n">
        <v>23.59</v>
      </c>
      <c r="J619" s="7" t="n">
        <v>0</v>
      </c>
      <c r="K619" s="5" t="n">
        <v>0</v>
      </c>
      <c r="L619" s="8" t="n">
        <v>0</v>
      </c>
      <c r="M619" s="9" t="n">
        <v>0</v>
      </c>
      <c r="N619" s="10" t="n">
        <v>0.01152738</v>
      </c>
      <c r="O619" s="5" t="n">
        <v>67.98</v>
      </c>
      <c r="P619" s="11" t="n">
        <v>1.355469</v>
      </c>
      <c r="Q619" s="7" t="n">
        <v>347</v>
      </c>
      <c r="R619" s="7" t="n">
        <v>4</v>
      </c>
      <c r="S619" s="7" t="n">
        <v>1</v>
      </c>
      <c r="T619" s="7" t="n">
        <v>0</v>
      </c>
      <c r="U619" s="7" t="n">
        <v>0</v>
      </c>
      <c r="V619" s="7" t="n">
        <v>0</v>
      </c>
    </row>
    <row r="620" customFormat="false" ht="15" hidden="false" customHeight="false" outlineLevel="0" collapsed="false">
      <c r="A620" s="4" t="s">
        <v>2219</v>
      </c>
      <c r="B620" s="4" t="str">
        <f aca="false">IF(AND(I620&gt;='Read Me &amp; Markers'!$B$18,J620&gt;='Read Me &amp; Markers'!$B$19,L620&gt;='Read Me &amp; Markers'!$B$20),"A. Proven winner",IF(AND(I620&gt;='Read Me &amp; Markers'!$B$18,J620&gt;='Read Me &amp; Markers'!$B$19,L620&gt;='Read Me &amp; Markers'!$B$21),"B. Strong performer",IF(AND(I620&gt;='Read Me &amp; Markers'!$B$22,L620&gt;='Read Me &amp; Markers'!$B$23),"C. Scale workhorse",IF(AND(I620&gt;='Read Me &amp; Markers'!$B$24,I620&lt;'Read Me &amp; Markers'!$B$18,J620&gt;='Read Me &amp; Markers'!$B$25,L620&gt;='Read Me &amp; Markers'!$B$26),"D. Promising (needs more spend)",""))))</f>
        <v/>
      </c>
      <c r="C620" s="4" t="s">
        <v>121</v>
      </c>
      <c r="D620" s="4" t="s">
        <v>206</v>
      </c>
      <c r="E620" s="4" t="s">
        <v>252</v>
      </c>
      <c r="F620" s="4" t="s">
        <v>253</v>
      </c>
      <c r="G620" s="4" t="s">
        <v>254</v>
      </c>
      <c r="H620" s="4" t="s">
        <v>2220</v>
      </c>
      <c r="I620" s="5" t="n">
        <v>23.49</v>
      </c>
      <c r="J620" s="7" t="n">
        <v>0</v>
      </c>
      <c r="K620" s="5" t="n">
        <v>0</v>
      </c>
      <c r="L620" s="8" t="n">
        <v>0</v>
      </c>
      <c r="M620" s="9" t="n">
        <v>0</v>
      </c>
      <c r="N620" s="10" t="n">
        <v>0.02811245</v>
      </c>
      <c r="O620" s="5" t="n">
        <v>94.34</v>
      </c>
      <c r="P620" s="11" t="n">
        <v>1.050633</v>
      </c>
      <c r="Q620" s="7" t="n">
        <v>249</v>
      </c>
      <c r="R620" s="7" t="n">
        <v>7</v>
      </c>
      <c r="S620" s="7" t="n">
        <v>2</v>
      </c>
      <c r="T620" s="7" t="n">
        <v>0</v>
      </c>
      <c r="U620" s="7" t="n">
        <v>216</v>
      </c>
      <c r="V620" s="7" t="n">
        <v>42</v>
      </c>
    </row>
    <row r="621" customFormat="false" ht="15" hidden="false" customHeight="false" outlineLevel="0" collapsed="false">
      <c r="A621" s="4" t="s">
        <v>2221</v>
      </c>
      <c r="B621" s="4" t="str">
        <f aca="false">IF(AND(I621&gt;='Read Me &amp; Markers'!$B$18,J621&gt;='Read Me &amp; Markers'!$B$19,L621&gt;='Read Me &amp; Markers'!$B$20),"A. Proven winner",IF(AND(I621&gt;='Read Me &amp; Markers'!$B$18,J621&gt;='Read Me &amp; Markers'!$B$19,L621&gt;='Read Me &amp; Markers'!$B$21),"B. Strong performer",IF(AND(I621&gt;='Read Me &amp; Markers'!$B$22,L621&gt;='Read Me &amp; Markers'!$B$23),"C. Scale workhorse",IF(AND(I621&gt;='Read Me &amp; Markers'!$B$24,I621&lt;'Read Me &amp; Markers'!$B$18,J621&gt;='Read Me &amp; Markers'!$B$25,L621&gt;='Read Me &amp; Markers'!$B$26),"D. Promising (needs more spend)",""))))</f>
        <v/>
      </c>
      <c r="C621" s="4" t="s">
        <v>121</v>
      </c>
      <c r="D621" s="4" t="s">
        <v>154</v>
      </c>
      <c r="E621" s="4" t="s">
        <v>2222</v>
      </c>
      <c r="F621" s="4" t="s">
        <v>253</v>
      </c>
      <c r="G621" s="4" t="s">
        <v>1085</v>
      </c>
      <c r="H621" s="4" t="s">
        <v>2223</v>
      </c>
      <c r="I621" s="5" t="n">
        <v>23.39</v>
      </c>
      <c r="J621" s="7" t="n">
        <v>0</v>
      </c>
      <c r="K621" s="5" t="n">
        <v>0</v>
      </c>
      <c r="L621" s="8" t="n">
        <v>0</v>
      </c>
      <c r="M621" s="9" t="n">
        <v>0</v>
      </c>
      <c r="N621" s="10" t="n">
        <v>0.04</v>
      </c>
      <c r="O621" s="5" t="n">
        <v>85.05</v>
      </c>
      <c r="P621" s="11" t="n">
        <v>1.065891</v>
      </c>
      <c r="Q621" s="7" t="n">
        <v>275</v>
      </c>
      <c r="R621" s="7" t="n">
        <v>11</v>
      </c>
      <c r="S621" s="7" t="n">
        <v>0</v>
      </c>
      <c r="T621" s="7" t="n">
        <v>0</v>
      </c>
      <c r="U621" s="7" t="n">
        <v>245</v>
      </c>
      <c r="V621" s="7" t="n">
        <v>19</v>
      </c>
    </row>
    <row r="622" customFormat="false" ht="15" hidden="false" customHeight="false" outlineLevel="0" collapsed="false">
      <c r="A622" s="4" t="s">
        <v>2224</v>
      </c>
      <c r="B622" s="4" t="str">
        <f aca="false">IF(AND(I622&gt;='Read Me &amp; Markers'!$B$18,J622&gt;='Read Me &amp; Markers'!$B$19,L622&gt;='Read Me &amp; Markers'!$B$20),"A. Proven winner",IF(AND(I622&gt;='Read Me &amp; Markers'!$B$18,J622&gt;='Read Me &amp; Markers'!$B$19,L622&gt;='Read Me &amp; Markers'!$B$21),"B. Strong performer",IF(AND(I622&gt;='Read Me &amp; Markers'!$B$22,L622&gt;='Read Me &amp; Markers'!$B$23),"C. Scale workhorse",IF(AND(I622&gt;='Read Me &amp; Markers'!$B$24,I622&lt;'Read Me &amp; Markers'!$B$18,J622&gt;='Read Me &amp; Markers'!$B$25,L622&gt;='Read Me &amp; Markers'!$B$26),"D. Promising (needs more spend)",""))))</f>
        <v/>
      </c>
      <c r="C622" s="4" t="s">
        <v>2225</v>
      </c>
      <c r="D622" s="4" t="s">
        <v>109</v>
      </c>
      <c r="E622" s="4" t="s">
        <v>429</v>
      </c>
      <c r="F622" s="4" t="s">
        <v>111</v>
      </c>
      <c r="G622" s="4" t="s">
        <v>431</v>
      </c>
      <c r="H622" s="4" t="s">
        <v>2226</v>
      </c>
      <c r="I622" s="5" t="n">
        <v>23.36</v>
      </c>
      <c r="J622" s="7" t="n">
        <v>0</v>
      </c>
      <c r="K622" s="5" t="n">
        <v>0</v>
      </c>
      <c r="L622" s="8" t="n">
        <v>0</v>
      </c>
      <c r="M622" s="9" t="n">
        <v>0</v>
      </c>
      <c r="N622" s="10" t="n">
        <v>0.02973978</v>
      </c>
      <c r="O622" s="5" t="n">
        <v>86.84</v>
      </c>
      <c r="P622" s="11" t="n">
        <v>1.154506</v>
      </c>
      <c r="Q622" s="7" t="n">
        <v>269</v>
      </c>
      <c r="R622" s="7" t="n">
        <v>8</v>
      </c>
      <c r="S622" s="7" t="n">
        <v>4</v>
      </c>
      <c r="T622" s="7" t="n">
        <v>2</v>
      </c>
      <c r="U622" s="7" t="n">
        <v>242</v>
      </c>
      <c r="V622" s="7" t="n">
        <v>18</v>
      </c>
    </row>
    <row r="623" customFormat="false" ht="15" hidden="false" customHeight="false" outlineLevel="0" collapsed="false">
      <c r="A623" s="4" t="s">
        <v>2227</v>
      </c>
      <c r="B623" s="4" t="str">
        <f aca="false">IF(AND(I623&gt;='Read Me &amp; Markers'!$B$18,J623&gt;='Read Me &amp; Markers'!$B$19,L623&gt;='Read Me &amp; Markers'!$B$20),"A. Proven winner",IF(AND(I623&gt;='Read Me &amp; Markers'!$B$18,J623&gt;='Read Me &amp; Markers'!$B$19,L623&gt;='Read Me &amp; Markers'!$B$21),"B. Strong performer",IF(AND(I623&gt;='Read Me &amp; Markers'!$B$22,L623&gt;='Read Me &amp; Markers'!$B$23),"C. Scale workhorse",IF(AND(I623&gt;='Read Me &amp; Markers'!$B$24,I623&lt;'Read Me &amp; Markers'!$B$18,J623&gt;='Read Me &amp; Markers'!$B$25,L623&gt;='Read Me &amp; Markers'!$B$26),"D. Promising (needs more spend)",""))))</f>
        <v/>
      </c>
      <c r="C623" s="4" t="s">
        <v>169</v>
      </c>
      <c r="D623" s="4" t="s">
        <v>206</v>
      </c>
      <c r="E623" s="4" t="s">
        <v>2228</v>
      </c>
      <c r="F623" s="4" t="s">
        <v>87</v>
      </c>
      <c r="G623" s="4" t="s">
        <v>208</v>
      </c>
      <c r="H623" s="4" t="s">
        <v>2229</v>
      </c>
      <c r="I623" s="5" t="n">
        <v>23.32</v>
      </c>
      <c r="J623" s="7" t="n">
        <v>0</v>
      </c>
      <c r="K623" s="5" t="n">
        <v>0</v>
      </c>
      <c r="L623" s="8" t="n">
        <v>0</v>
      </c>
      <c r="M623" s="9" t="n">
        <v>0</v>
      </c>
      <c r="N623" s="10" t="n">
        <v>0.03603604</v>
      </c>
      <c r="O623" s="5" t="n">
        <v>105.05</v>
      </c>
      <c r="P623" s="11" t="n">
        <v>1.174603</v>
      </c>
      <c r="Q623" s="7" t="n">
        <v>222</v>
      </c>
      <c r="R623" s="7" t="n">
        <v>8</v>
      </c>
      <c r="S623" s="7" t="n">
        <v>0</v>
      </c>
      <c r="T623" s="7" t="n">
        <v>0</v>
      </c>
      <c r="U623" s="7" t="n">
        <v>183</v>
      </c>
      <c r="V623" s="7" t="n">
        <v>21</v>
      </c>
    </row>
    <row r="624" customFormat="false" ht="15" hidden="false" customHeight="false" outlineLevel="0" collapsed="false">
      <c r="A624" s="4" t="s">
        <v>2230</v>
      </c>
      <c r="B624" s="4" t="str">
        <f aca="false">IF(AND(I624&gt;='Read Me &amp; Markers'!$B$18,J624&gt;='Read Me &amp; Markers'!$B$19,L624&gt;='Read Me &amp; Markers'!$B$20),"A. Proven winner",IF(AND(I624&gt;='Read Me &amp; Markers'!$B$18,J624&gt;='Read Me &amp; Markers'!$B$19,L624&gt;='Read Me &amp; Markers'!$B$21),"B. Strong performer",IF(AND(I624&gt;='Read Me &amp; Markers'!$B$22,L624&gt;='Read Me &amp; Markers'!$B$23),"C. Scale workhorse",IF(AND(I624&gt;='Read Me &amp; Markers'!$B$24,I624&lt;'Read Me &amp; Markers'!$B$18,J624&gt;='Read Me &amp; Markers'!$B$25,L624&gt;='Read Me &amp; Markers'!$B$26),"D. Promising (needs more spend)",""))))</f>
        <v/>
      </c>
      <c r="C624" s="4" t="s">
        <v>169</v>
      </c>
      <c r="D624" s="4" t="s">
        <v>154</v>
      </c>
      <c r="E624" s="4" t="s">
        <v>2231</v>
      </c>
      <c r="F624" s="4" t="s">
        <v>87</v>
      </c>
      <c r="G624" s="4" t="s">
        <v>88</v>
      </c>
      <c r="H624" s="4" t="s">
        <v>2232</v>
      </c>
      <c r="I624" s="5" t="n">
        <v>23.24</v>
      </c>
      <c r="J624" s="7" t="n">
        <v>0</v>
      </c>
      <c r="K624" s="5" t="n">
        <v>0</v>
      </c>
      <c r="L624" s="8" t="n">
        <v>0</v>
      </c>
      <c r="M624" s="9" t="n">
        <v>0</v>
      </c>
      <c r="N624" s="10" t="n">
        <v>0.04081633</v>
      </c>
      <c r="O624" s="5" t="n">
        <v>67.76</v>
      </c>
      <c r="P624" s="11" t="n">
        <v>1.071875</v>
      </c>
      <c r="Q624" s="7" t="n">
        <v>343</v>
      </c>
      <c r="R624" s="7" t="n">
        <v>14</v>
      </c>
      <c r="S624" s="7" t="n">
        <v>1</v>
      </c>
      <c r="T624" s="7" t="n">
        <v>1</v>
      </c>
      <c r="U624" s="7" t="n">
        <v>297</v>
      </c>
      <c r="V624" s="7" t="n">
        <v>23</v>
      </c>
    </row>
    <row r="625" customFormat="false" ht="15" hidden="false" customHeight="false" outlineLevel="0" collapsed="false">
      <c r="A625" s="4" t="s">
        <v>2233</v>
      </c>
      <c r="B625" s="4" t="str">
        <f aca="false">IF(AND(I625&gt;='Read Me &amp; Markers'!$B$18,J625&gt;='Read Me &amp; Markers'!$B$19,L625&gt;='Read Me &amp; Markers'!$B$20),"A. Proven winner",IF(AND(I625&gt;='Read Me &amp; Markers'!$B$18,J625&gt;='Read Me &amp; Markers'!$B$19,L625&gt;='Read Me &amp; Markers'!$B$21),"B. Strong performer",IF(AND(I625&gt;='Read Me &amp; Markers'!$B$22,L625&gt;='Read Me &amp; Markers'!$B$23),"C. Scale workhorse",IF(AND(I625&gt;='Read Me &amp; Markers'!$B$24,I625&lt;'Read Me &amp; Markers'!$B$18,J625&gt;='Read Me &amp; Markers'!$B$25,L625&gt;='Read Me &amp; Markers'!$B$26),"D. Promising (needs more spend)",""))))</f>
        <v/>
      </c>
      <c r="C625" s="4" t="s">
        <v>2234</v>
      </c>
      <c r="D625" s="4" t="s">
        <v>109</v>
      </c>
      <c r="E625" s="4" t="s">
        <v>512</v>
      </c>
      <c r="F625" s="4" t="s">
        <v>111</v>
      </c>
      <c r="G625" s="4" t="s">
        <v>490</v>
      </c>
      <c r="H625" s="4" t="s">
        <v>2235</v>
      </c>
      <c r="I625" s="5" t="n">
        <v>23.02</v>
      </c>
      <c r="J625" s="7" t="n">
        <v>0</v>
      </c>
      <c r="K625" s="5" t="n">
        <v>0</v>
      </c>
      <c r="L625" s="8" t="n">
        <v>0</v>
      </c>
      <c r="M625" s="9" t="n">
        <v>0</v>
      </c>
      <c r="N625" s="10" t="n">
        <v>0.01075269</v>
      </c>
      <c r="O625" s="5" t="n">
        <v>41.25</v>
      </c>
      <c r="P625" s="11" t="n">
        <v>1.696049</v>
      </c>
      <c r="Q625" s="7" t="n">
        <v>558</v>
      </c>
      <c r="R625" s="7" t="n">
        <v>6</v>
      </c>
      <c r="S625" s="7" t="n">
        <v>2</v>
      </c>
      <c r="T625" s="7" t="n">
        <v>2</v>
      </c>
      <c r="U625" s="7" t="n">
        <v>9</v>
      </c>
      <c r="V625" s="7" t="n">
        <v>0</v>
      </c>
    </row>
    <row r="626" customFormat="false" ht="15" hidden="false" customHeight="false" outlineLevel="0" collapsed="false">
      <c r="A626" s="4" t="s">
        <v>2236</v>
      </c>
      <c r="B626" s="4" t="str">
        <f aca="false">IF(AND(I626&gt;='Read Me &amp; Markers'!$B$18,J626&gt;='Read Me &amp; Markers'!$B$19,L626&gt;='Read Me &amp; Markers'!$B$20),"A. Proven winner",IF(AND(I626&gt;='Read Me &amp; Markers'!$B$18,J626&gt;='Read Me &amp; Markers'!$B$19,L626&gt;='Read Me &amp; Markers'!$B$21),"B. Strong performer",IF(AND(I626&gt;='Read Me &amp; Markers'!$B$22,L626&gt;='Read Me &amp; Markers'!$B$23),"C. Scale workhorse",IF(AND(I626&gt;='Read Me &amp; Markers'!$B$24,I626&lt;'Read Me &amp; Markers'!$B$18,J626&gt;='Read Me &amp; Markers'!$B$25,L626&gt;='Read Me &amp; Markers'!$B$26),"D. Promising (needs more spend)",""))))</f>
        <v/>
      </c>
      <c r="C626" s="4" t="s">
        <v>121</v>
      </c>
      <c r="D626" s="4" t="s">
        <v>154</v>
      </c>
      <c r="E626" s="4" t="s">
        <v>2237</v>
      </c>
      <c r="F626" s="4" t="s">
        <v>87</v>
      </c>
      <c r="G626" s="4" t="s">
        <v>124</v>
      </c>
      <c r="H626" s="4" t="s">
        <v>2238</v>
      </c>
      <c r="I626" s="5" t="n">
        <v>22.94</v>
      </c>
      <c r="J626" s="7" t="n">
        <v>0</v>
      </c>
      <c r="K626" s="5" t="n">
        <v>0</v>
      </c>
      <c r="L626" s="8" t="n">
        <v>0</v>
      </c>
      <c r="M626" s="9" t="n">
        <v>0</v>
      </c>
      <c r="N626" s="10" t="n">
        <v>0.04559271</v>
      </c>
      <c r="O626" s="5" t="n">
        <v>69.73</v>
      </c>
      <c r="P626" s="11" t="n">
        <v>1.054487</v>
      </c>
      <c r="Q626" s="7" t="n">
        <v>329</v>
      </c>
      <c r="R626" s="7" t="n">
        <v>15</v>
      </c>
      <c r="S626" s="7" t="n">
        <v>0</v>
      </c>
      <c r="T626" s="7" t="n">
        <v>0</v>
      </c>
      <c r="U626" s="7" t="n">
        <v>274</v>
      </c>
      <c r="V626" s="7" t="n">
        <v>25</v>
      </c>
    </row>
    <row r="627" customFormat="false" ht="15" hidden="false" customHeight="false" outlineLevel="0" collapsed="false">
      <c r="A627" s="4" t="s">
        <v>2239</v>
      </c>
      <c r="B627" s="4" t="str">
        <f aca="false">IF(AND(I627&gt;='Read Me &amp; Markers'!$B$18,J627&gt;='Read Me &amp; Markers'!$B$19,L627&gt;='Read Me &amp; Markers'!$B$20),"A. Proven winner",IF(AND(I627&gt;='Read Me &amp; Markers'!$B$18,J627&gt;='Read Me &amp; Markers'!$B$19,L627&gt;='Read Me &amp; Markers'!$B$21),"B. Strong performer",IF(AND(I627&gt;='Read Me &amp; Markers'!$B$22,L627&gt;='Read Me &amp; Markers'!$B$23),"C. Scale workhorse",IF(AND(I627&gt;='Read Me &amp; Markers'!$B$24,I627&lt;'Read Me &amp; Markers'!$B$18,J627&gt;='Read Me &amp; Markers'!$B$25,L627&gt;='Read Me &amp; Markers'!$B$26),"D. Promising (needs more spend)",""))))</f>
        <v/>
      </c>
      <c r="C627" s="4" t="s">
        <v>2240</v>
      </c>
      <c r="D627" s="4" t="s">
        <v>109</v>
      </c>
      <c r="E627" s="4" t="s">
        <v>429</v>
      </c>
      <c r="F627" s="4" t="s">
        <v>111</v>
      </c>
      <c r="G627" s="4" t="s">
        <v>431</v>
      </c>
      <c r="H627" s="4" t="s">
        <v>2241</v>
      </c>
      <c r="I627" s="5" t="n">
        <v>22.73</v>
      </c>
      <c r="J627" s="7" t="n">
        <v>0</v>
      </c>
      <c r="K627" s="5" t="n">
        <v>0</v>
      </c>
      <c r="L627" s="8" t="n">
        <v>0</v>
      </c>
      <c r="M627" s="9" t="n">
        <v>0</v>
      </c>
      <c r="N627" s="10" t="n">
        <v>0.00856531</v>
      </c>
      <c r="O627" s="5" t="n">
        <v>48.67</v>
      </c>
      <c r="P627" s="11" t="n">
        <v>1.357558</v>
      </c>
      <c r="Q627" s="7" t="n">
        <v>467</v>
      </c>
      <c r="R627" s="7" t="n">
        <v>4</v>
      </c>
      <c r="S627" s="7" t="n">
        <v>1</v>
      </c>
      <c r="T627" s="7" t="n">
        <v>1</v>
      </c>
      <c r="U627" s="7" t="n">
        <v>9</v>
      </c>
      <c r="V627" s="7" t="n">
        <v>1</v>
      </c>
    </row>
    <row r="628" customFormat="false" ht="15" hidden="false" customHeight="false" outlineLevel="0" collapsed="false">
      <c r="A628" s="4" t="s">
        <v>2242</v>
      </c>
      <c r="B628" s="4" t="str">
        <f aca="false">IF(AND(I628&gt;='Read Me &amp; Markers'!$B$18,J628&gt;='Read Me &amp; Markers'!$B$19,L628&gt;='Read Me &amp; Markers'!$B$20),"A. Proven winner",IF(AND(I628&gt;='Read Me &amp; Markers'!$B$18,J628&gt;='Read Me &amp; Markers'!$B$19,L628&gt;='Read Me &amp; Markers'!$B$21),"B. Strong performer",IF(AND(I628&gt;='Read Me &amp; Markers'!$B$22,L628&gt;='Read Me &amp; Markers'!$B$23),"C. Scale workhorse",IF(AND(I628&gt;='Read Me &amp; Markers'!$B$24,I628&lt;'Read Me &amp; Markers'!$B$18,J628&gt;='Read Me &amp; Markers'!$B$25,L628&gt;='Read Me &amp; Markers'!$B$26),"D. Promising (needs more spend)",""))))</f>
        <v/>
      </c>
      <c r="C628" s="4" t="s">
        <v>978</v>
      </c>
      <c r="D628" s="4" t="s">
        <v>109</v>
      </c>
      <c r="E628" s="4" t="s">
        <v>507</v>
      </c>
      <c r="F628" s="4" t="s">
        <v>172</v>
      </c>
      <c r="G628" s="4" t="s">
        <v>508</v>
      </c>
      <c r="H628" s="4" t="s">
        <v>2243</v>
      </c>
      <c r="I628" s="5" t="n">
        <v>22.73</v>
      </c>
      <c r="J628" s="7" t="n">
        <v>0</v>
      </c>
      <c r="K628" s="5" t="n">
        <v>0</v>
      </c>
      <c r="L628" s="8" t="n">
        <v>0</v>
      </c>
      <c r="M628" s="9" t="n">
        <v>0</v>
      </c>
      <c r="N628" s="10" t="n">
        <v>0.07964602</v>
      </c>
      <c r="O628" s="5" t="n">
        <v>201.15</v>
      </c>
      <c r="P628" s="11" t="n">
        <v>1.056075</v>
      </c>
      <c r="Q628" s="7" t="n">
        <v>113</v>
      </c>
      <c r="R628" s="7" t="n">
        <v>9</v>
      </c>
      <c r="S628" s="7" t="n">
        <v>0</v>
      </c>
      <c r="T628" s="7" t="n">
        <v>0</v>
      </c>
      <c r="U628" s="7" t="n">
        <v>102</v>
      </c>
      <c r="V628" s="7" t="n">
        <v>22</v>
      </c>
    </row>
    <row r="629" customFormat="false" ht="15" hidden="false" customHeight="false" outlineLevel="0" collapsed="false">
      <c r="A629" s="4" t="s">
        <v>2244</v>
      </c>
      <c r="B629" s="4" t="str">
        <f aca="false">IF(AND(I629&gt;='Read Me &amp; Markers'!$B$18,J629&gt;='Read Me &amp; Markers'!$B$19,L629&gt;='Read Me &amp; Markers'!$B$20),"A. Proven winner",IF(AND(I629&gt;='Read Me &amp; Markers'!$B$18,J629&gt;='Read Me &amp; Markers'!$B$19,L629&gt;='Read Me &amp; Markers'!$B$21),"B. Strong performer",IF(AND(I629&gt;='Read Me &amp; Markers'!$B$22,L629&gt;='Read Me &amp; Markers'!$B$23),"C. Scale workhorse",IF(AND(I629&gt;='Read Me &amp; Markers'!$B$24,I629&lt;'Read Me &amp; Markers'!$B$18,J629&gt;='Read Me &amp; Markers'!$B$25,L629&gt;='Read Me &amp; Markers'!$B$26),"D. Promising (needs more spend)",""))))</f>
        <v/>
      </c>
      <c r="C629" s="4" t="s">
        <v>1255</v>
      </c>
      <c r="D629" s="4" t="s">
        <v>109</v>
      </c>
      <c r="E629" s="4" t="s">
        <v>2245</v>
      </c>
      <c r="F629" s="4" t="s">
        <v>172</v>
      </c>
      <c r="G629" s="4" t="s">
        <v>588</v>
      </c>
      <c r="H629" s="4" t="s">
        <v>2246</v>
      </c>
      <c r="I629" s="5" t="n">
        <v>22.46</v>
      </c>
      <c r="J629" s="7" t="n">
        <v>1</v>
      </c>
      <c r="K629" s="5" t="n">
        <v>45.95</v>
      </c>
      <c r="L629" s="8" t="n">
        <v>2.045859</v>
      </c>
      <c r="M629" s="9" t="n">
        <v>22.46</v>
      </c>
      <c r="N629" s="10" t="n">
        <v>0.06470588</v>
      </c>
      <c r="O629" s="5" t="n">
        <v>132.12</v>
      </c>
      <c r="P629" s="11" t="n">
        <v>1.148649</v>
      </c>
      <c r="Q629" s="7" t="n">
        <v>170</v>
      </c>
      <c r="R629" s="7" t="n">
        <v>11</v>
      </c>
      <c r="S629" s="7" t="n">
        <v>0</v>
      </c>
      <c r="T629" s="7" t="n">
        <v>1</v>
      </c>
      <c r="U629" s="7" t="n">
        <v>144</v>
      </c>
      <c r="V629" s="7" t="n">
        <v>35</v>
      </c>
    </row>
    <row r="630" customFormat="false" ht="15" hidden="false" customHeight="false" outlineLevel="0" collapsed="false">
      <c r="A630" s="4" t="s">
        <v>2247</v>
      </c>
      <c r="B630" s="4" t="str">
        <f aca="false">IF(AND(I630&gt;='Read Me &amp; Markers'!$B$18,J630&gt;='Read Me &amp; Markers'!$B$19,L630&gt;='Read Me &amp; Markers'!$B$20),"A. Proven winner",IF(AND(I630&gt;='Read Me &amp; Markers'!$B$18,J630&gt;='Read Me &amp; Markers'!$B$19,L630&gt;='Read Me &amp; Markers'!$B$21),"B. Strong performer",IF(AND(I630&gt;='Read Me &amp; Markers'!$B$22,L630&gt;='Read Me &amp; Markers'!$B$23),"C. Scale workhorse",IF(AND(I630&gt;='Read Me &amp; Markers'!$B$24,I630&lt;'Read Me &amp; Markers'!$B$18,J630&gt;='Read Me &amp; Markers'!$B$25,L630&gt;='Read Me &amp; Markers'!$B$26),"D. Promising (needs more spend)",""))))</f>
        <v/>
      </c>
      <c r="C630" s="4" t="s">
        <v>2248</v>
      </c>
      <c r="D630" s="4" t="s">
        <v>109</v>
      </c>
      <c r="E630" s="4" t="s">
        <v>482</v>
      </c>
      <c r="F630" s="4" t="s">
        <v>111</v>
      </c>
      <c r="G630" s="4" t="s">
        <v>483</v>
      </c>
      <c r="H630" s="4" t="s">
        <v>2249</v>
      </c>
      <c r="I630" s="5" t="n">
        <v>22.4</v>
      </c>
      <c r="J630" s="7" t="n">
        <v>0</v>
      </c>
      <c r="K630" s="5" t="n">
        <v>0</v>
      </c>
      <c r="L630" s="8" t="n">
        <v>0</v>
      </c>
      <c r="M630" s="9" t="n">
        <v>0</v>
      </c>
      <c r="N630" s="10" t="n">
        <v>0.03977273</v>
      </c>
      <c r="O630" s="5" t="n">
        <v>127.27</v>
      </c>
      <c r="P630" s="11" t="n">
        <v>1.1</v>
      </c>
      <c r="Q630" s="7" t="n">
        <v>176</v>
      </c>
      <c r="R630" s="7" t="n">
        <v>7</v>
      </c>
      <c r="S630" s="7" t="n">
        <v>3</v>
      </c>
      <c r="T630" s="7" t="n">
        <v>3</v>
      </c>
      <c r="U630" s="7" t="n">
        <v>160</v>
      </c>
      <c r="V630" s="7" t="n">
        <v>39</v>
      </c>
    </row>
    <row r="631" customFormat="false" ht="15" hidden="false" customHeight="false" outlineLevel="0" collapsed="false">
      <c r="A631" s="4" t="s">
        <v>2250</v>
      </c>
      <c r="B631" s="4" t="str">
        <f aca="false">IF(AND(I631&gt;='Read Me &amp; Markers'!$B$18,J631&gt;='Read Me &amp; Markers'!$B$19,L631&gt;='Read Me &amp; Markers'!$B$20),"A. Proven winner",IF(AND(I631&gt;='Read Me &amp; Markers'!$B$18,J631&gt;='Read Me &amp; Markers'!$B$19,L631&gt;='Read Me &amp; Markers'!$B$21),"B. Strong performer",IF(AND(I631&gt;='Read Me &amp; Markers'!$B$22,L631&gt;='Read Me &amp; Markers'!$B$23),"C. Scale workhorse",IF(AND(I631&gt;='Read Me &amp; Markers'!$B$24,I631&lt;'Read Me &amp; Markers'!$B$18,J631&gt;='Read Me &amp; Markers'!$B$25,L631&gt;='Read Me &amp; Markers'!$B$26),"D. Promising (needs more spend)",""))))</f>
        <v/>
      </c>
      <c r="C631" s="4" t="s">
        <v>83</v>
      </c>
      <c r="D631" s="4" t="s">
        <v>85</v>
      </c>
      <c r="E631" s="4" t="s">
        <v>2251</v>
      </c>
      <c r="F631" s="4" t="s">
        <v>87</v>
      </c>
      <c r="G631" s="4" t="s">
        <v>2252</v>
      </c>
      <c r="H631" s="4" t="s">
        <v>2253</v>
      </c>
      <c r="I631" s="5" t="n">
        <v>21.94</v>
      </c>
      <c r="J631" s="7" t="n">
        <v>0</v>
      </c>
      <c r="K631" s="5" t="n">
        <v>0</v>
      </c>
      <c r="L631" s="8" t="n">
        <v>0</v>
      </c>
      <c r="M631" s="9" t="n">
        <v>0</v>
      </c>
      <c r="N631" s="10" t="n">
        <v>0.05208333</v>
      </c>
      <c r="O631" s="5" t="n">
        <v>114.27</v>
      </c>
      <c r="P631" s="11" t="n">
        <v>1.072626</v>
      </c>
      <c r="Q631" s="7" t="n">
        <v>192</v>
      </c>
      <c r="R631" s="7" t="n">
        <v>10</v>
      </c>
      <c r="S631" s="7" t="n">
        <v>1</v>
      </c>
      <c r="T631" s="7" t="n">
        <v>0</v>
      </c>
      <c r="U631" s="7" t="n">
        <v>181</v>
      </c>
      <c r="V631" s="7" t="n">
        <v>16</v>
      </c>
    </row>
    <row r="632" customFormat="false" ht="15" hidden="false" customHeight="false" outlineLevel="0" collapsed="false">
      <c r="A632" s="4" t="s">
        <v>2254</v>
      </c>
      <c r="B632" s="4" t="str">
        <f aca="false">IF(AND(I632&gt;='Read Me &amp; Markers'!$B$18,J632&gt;='Read Me &amp; Markers'!$B$19,L632&gt;='Read Me &amp; Markers'!$B$20),"A. Proven winner",IF(AND(I632&gt;='Read Me &amp; Markers'!$B$18,J632&gt;='Read Me &amp; Markers'!$B$19,L632&gt;='Read Me &amp; Markers'!$B$21),"B. Strong performer",IF(AND(I632&gt;='Read Me &amp; Markers'!$B$22,L632&gt;='Read Me &amp; Markers'!$B$23),"C. Scale workhorse",IF(AND(I632&gt;='Read Me &amp; Markers'!$B$24,I632&lt;'Read Me &amp; Markers'!$B$18,J632&gt;='Read Me &amp; Markers'!$B$25,L632&gt;='Read Me &amp; Markers'!$B$26),"D. Promising (needs more spend)",""))))</f>
        <v/>
      </c>
      <c r="C632" s="4" t="s">
        <v>2255</v>
      </c>
      <c r="D632" s="4" t="s">
        <v>109</v>
      </c>
      <c r="E632" s="4" t="s">
        <v>1701</v>
      </c>
      <c r="F632" s="4" t="s">
        <v>111</v>
      </c>
      <c r="G632" s="4" t="s">
        <v>1702</v>
      </c>
      <c r="H632" s="4" t="s">
        <v>2256</v>
      </c>
      <c r="I632" s="5" t="n">
        <v>21.79</v>
      </c>
      <c r="J632" s="7" t="n">
        <v>0</v>
      </c>
      <c r="K632" s="5" t="n">
        <v>0</v>
      </c>
      <c r="L632" s="8" t="n">
        <v>0</v>
      </c>
      <c r="M632" s="9" t="n">
        <v>0</v>
      </c>
      <c r="N632" s="10" t="n">
        <v>0.03947368</v>
      </c>
      <c r="O632" s="5" t="n">
        <v>143.36</v>
      </c>
      <c r="P632" s="11" t="n">
        <v>1.134328</v>
      </c>
      <c r="Q632" s="7" t="n">
        <v>152</v>
      </c>
      <c r="R632" s="7" t="n">
        <v>6</v>
      </c>
      <c r="S632" s="7" t="n">
        <v>1</v>
      </c>
      <c r="T632" s="7" t="n">
        <v>1</v>
      </c>
      <c r="U632" s="7" t="n">
        <v>144</v>
      </c>
      <c r="V632" s="7" t="n">
        <v>12</v>
      </c>
    </row>
    <row r="633" customFormat="false" ht="15" hidden="false" customHeight="false" outlineLevel="0" collapsed="false">
      <c r="A633" s="4" t="s">
        <v>2257</v>
      </c>
      <c r="B633" s="4" t="str">
        <f aca="false">IF(AND(I633&gt;='Read Me &amp; Markers'!$B$18,J633&gt;='Read Me &amp; Markers'!$B$19,L633&gt;='Read Me &amp; Markers'!$B$20),"A. Proven winner",IF(AND(I633&gt;='Read Me &amp; Markers'!$B$18,J633&gt;='Read Me &amp; Markers'!$B$19,L633&gt;='Read Me &amp; Markers'!$B$21),"B. Strong performer",IF(AND(I633&gt;='Read Me &amp; Markers'!$B$22,L633&gt;='Read Me &amp; Markers'!$B$23),"C. Scale workhorse",IF(AND(I633&gt;='Read Me &amp; Markers'!$B$24,I633&lt;'Read Me &amp; Markers'!$B$18,J633&gt;='Read Me &amp; Markers'!$B$25,L633&gt;='Read Me &amp; Markers'!$B$26),"D. Promising (needs more spend)",""))))</f>
        <v/>
      </c>
      <c r="C633" s="4" t="s">
        <v>506</v>
      </c>
      <c r="D633" s="4" t="s">
        <v>109</v>
      </c>
      <c r="E633" s="4" t="s">
        <v>979</v>
      </c>
      <c r="F633" s="4" t="s">
        <v>172</v>
      </c>
      <c r="G633" s="4" t="s">
        <v>659</v>
      </c>
      <c r="H633" s="4" t="s">
        <v>980</v>
      </c>
      <c r="I633" s="5" t="n">
        <v>21.71</v>
      </c>
      <c r="J633" s="7" t="n">
        <v>0</v>
      </c>
      <c r="K633" s="5" t="n">
        <v>0</v>
      </c>
      <c r="L633" s="8" t="n">
        <v>0</v>
      </c>
      <c r="M633" s="9" t="n">
        <v>0</v>
      </c>
      <c r="N633" s="10" t="n">
        <v>0.0147929</v>
      </c>
      <c r="O633" s="5" t="n">
        <v>64.23</v>
      </c>
      <c r="P633" s="11" t="n">
        <v>1.145763</v>
      </c>
      <c r="Q633" s="7" t="n">
        <v>338</v>
      </c>
      <c r="R633" s="7" t="n">
        <v>5</v>
      </c>
      <c r="S633" s="7" t="n">
        <v>0</v>
      </c>
      <c r="T633" s="7" t="n">
        <v>0</v>
      </c>
      <c r="U633" s="7" t="n">
        <v>0</v>
      </c>
      <c r="V633" s="7" t="n">
        <v>0</v>
      </c>
    </row>
    <row r="634" customFormat="false" ht="15" hidden="false" customHeight="false" outlineLevel="0" collapsed="false">
      <c r="A634" s="4" t="s">
        <v>2258</v>
      </c>
      <c r="B634" s="4" t="str">
        <f aca="false">IF(AND(I634&gt;='Read Me &amp; Markers'!$B$18,J634&gt;='Read Me &amp; Markers'!$B$19,L634&gt;='Read Me &amp; Markers'!$B$20),"A. Proven winner",IF(AND(I634&gt;='Read Me &amp; Markers'!$B$18,J634&gt;='Read Me &amp; Markers'!$B$19,L634&gt;='Read Me &amp; Markers'!$B$21),"B. Strong performer",IF(AND(I634&gt;='Read Me &amp; Markers'!$B$22,L634&gt;='Read Me &amp; Markers'!$B$23),"C. Scale workhorse",IF(AND(I634&gt;='Read Me &amp; Markers'!$B$24,I634&lt;'Read Me &amp; Markers'!$B$18,J634&gt;='Read Me &amp; Markers'!$B$25,L634&gt;='Read Me &amp; Markers'!$B$26),"D. Promising (needs more spend)",""))))</f>
        <v/>
      </c>
      <c r="C634" s="4" t="s">
        <v>2259</v>
      </c>
      <c r="D634" s="4" t="s">
        <v>109</v>
      </c>
      <c r="E634" s="4" t="s">
        <v>2260</v>
      </c>
      <c r="F634" s="4" t="s">
        <v>111</v>
      </c>
      <c r="G634" s="4" t="s">
        <v>286</v>
      </c>
      <c r="H634" s="4" t="s">
        <v>2261</v>
      </c>
      <c r="I634" s="5" t="n">
        <v>21.52</v>
      </c>
      <c r="J634" s="7" t="n">
        <v>0</v>
      </c>
      <c r="K634" s="5" t="n">
        <v>0</v>
      </c>
      <c r="L634" s="8" t="n">
        <v>0</v>
      </c>
      <c r="M634" s="9" t="n">
        <v>0</v>
      </c>
      <c r="N634" s="10" t="n">
        <v>0.0077821</v>
      </c>
      <c r="O634" s="5" t="n">
        <v>83.74</v>
      </c>
      <c r="P634" s="11" t="n">
        <v>2.424528</v>
      </c>
      <c r="Q634" s="7" t="n">
        <v>257</v>
      </c>
      <c r="R634" s="7" t="n">
        <v>2</v>
      </c>
      <c r="S634" s="7" t="n">
        <v>0</v>
      </c>
      <c r="T634" s="7" t="n">
        <v>2</v>
      </c>
      <c r="U634" s="7" t="n">
        <v>0</v>
      </c>
      <c r="V634" s="7" t="n">
        <v>0</v>
      </c>
    </row>
    <row r="635" customFormat="false" ht="15" hidden="false" customHeight="false" outlineLevel="0" collapsed="false">
      <c r="A635" s="4" t="s">
        <v>2262</v>
      </c>
      <c r="B635" s="4" t="str">
        <f aca="false">IF(AND(I635&gt;='Read Me &amp; Markers'!$B$18,J635&gt;='Read Me &amp; Markers'!$B$19,L635&gt;='Read Me &amp; Markers'!$B$20),"A. Proven winner",IF(AND(I635&gt;='Read Me &amp; Markers'!$B$18,J635&gt;='Read Me &amp; Markers'!$B$19,L635&gt;='Read Me &amp; Markers'!$B$21),"B. Strong performer",IF(AND(I635&gt;='Read Me &amp; Markers'!$B$22,L635&gt;='Read Me &amp; Markers'!$B$23),"C. Scale workhorse",IF(AND(I635&gt;='Read Me &amp; Markers'!$B$24,I635&lt;'Read Me &amp; Markers'!$B$18,J635&gt;='Read Me &amp; Markers'!$B$25,L635&gt;='Read Me &amp; Markers'!$B$26),"D. Promising (needs more spend)",""))))</f>
        <v/>
      </c>
      <c r="C635" s="4" t="s">
        <v>121</v>
      </c>
      <c r="D635" s="4" t="s">
        <v>100</v>
      </c>
      <c r="E635" s="4" t="s">
        <v>1644</v>
      </c>
      <c r="F635" s="4" t="s">
        <v>87</v>
      </c>
      <c r="G635" s="4" t="s">
        <v>294</v>
      </c>
      <c r="H635" s="4" t="s">
        <v>2263</v>
      </c>
      <c r="I635" s="5" t="n">
        <v>21.35</v>
      </c>
      <c r="J635" s="7" t="n">
        <v>1</v>
      </c>
      <c r="K635" s="5" t="n">
        <v>48.34</v>
      </c>
      <c r="L635" s="8" t="n">
        <v>2.264169</v>
      </c>
      <c r="M635" s="9" t="n">
        <v>21.35</v>
      </c>
      <c r="N635" s="10" t="n">
        <v>0.01886792</v>
      </c>
      <c r="O635" s="5" t="n">
        <v>50.35</v>
      </c>
      <c r="P635" s="11" t="n">
        <v>1.124668</v>
      </c>
      <c r="Q635" s="7" t="n">
        <v>424</v>
      </c>
      <c r="R635" s="7" t="n">
        <v>8</v>
      </c>
      <c r="S635" s="7" t="n">
        <v>2</v>
      </c>
      <c r="T635" s="7" t="n">
        <v>2</v>
      </c>
      <c r="U635" s="7" t="n">
        <v>320</v>
      </c>
      <c r="V635" s="7" t="n">
        <v>14</v>
      </c>
    </row>
    <row r="636" customFormat="false" ht="15" hidden="false" customHeight="false" outlineLevel="0" collapsed="false">
      <c r="A636" s="4" t="s">
        <v>2264</v>
      </c>
      <c r="B636" s="4" t="str">
        <f aca="false">IF(AND(I636&gt;='Read Me &amp; Markers'!$B$18,J636&gt;='Read Me &amp; Markers'!$B$19,L636&gt;='Read Me &amp; Markers'!$B$20),"A. Proven winner",IF(AND(I636&gt;='Read Me &amp; Markers'!$B$18,J636&gt;='Read Me &amp; Markers'!$B$19,L636&gt;='Read Me &amp; Markers'!$B$21),"B. Strong performer",IF(AND(I636&gt;='Read Me &amp; Markers'!$B$22,L636&gt;='Read Me &amp; Markers'!$B$23),"C. Scale workhorse",IF(AND(I636&gt;='Read Me &amp; Markers'!$B$24,I636&lt;'Read Me &amp; Markers'!$B$18,J636&gt;='Read Me &amp; Markers'!$B$25,L636&gt;='Read Me &amp; Markers'!$B$26),"D. Promising (needs more spend)",""))))</f>
        <v/>
      </c>
      <c r="C636" s="4" t="s">
        <v>98</v>
      </c>
      <c r="D636" s="4" t="s">
        <v>100</v>
      </c>
      <c r="E636" s="4" t="s">
        <v>1886</v>
      </c>
      <c r="F636" s="4" t="s">
        <v>87</v>
      </c>
      <c r="G636" s="4" t="s">
        <v>1200</v>
      </c>
      <c r="H636" s="4" t="s">
        <v>2265</v>
      </c>
      <c r="I636" s="5" t="n">
        <v>21.21</v>
      </c>
      <c r="J636" s="7" t="n">
        <v>0</v>
      </c>
      <c r="K636" s="5" t="n">
        <v>0</v>
      </c>
      <c r="L636" s="8" t="n">
        <v>0</v>
      </c>
      <c r="M636" s="9" t="n">
        <v>0</v>
      </c>
      <c r="N636" s="10" t="n">
        <v>0.02197802</v>
      </c>
      <c r="O636" s="5" t="n">
        <v>77.69</v>
      </c>
      <c r="P636" s="11" t="n">
        <v>1.213333</v>
      </c>
      <c r="Q636" s="7" t="n">
        <v>273</v>
      </c>
      <c r="R636" s="7" t="n">
        <v>6</v>
      </c>
      <c r="S636" s="7" t="n">
        <v>0</v>
      </c>
      <c r="T636" s="7" t="n">
        <v>0</v>
      </c>
      <c r="U636" s="7" t="n">
        <v>200</v>
      </c>
      <c r="V636" s="7" t="n">
        <v>7</v>
      </c>
    </row>
    <row r="637" customFormat="false" ht="15" hidden="false" customHeight="false" outlineLevel="0" collapsed="false">
      <c r="A637" s="4" t="s">
        <v>2266</v>
      </c>
      <c r="B637" s="4" t="str">
        <f aca="false">IF(AND(I637&gt;='Read Me &amp; Markers'!$B$18,J637&gt;='Read Me &amp; Markers'!$B$19,L637&gt;='Read Me &amp; Markers'!$B$20),"A. Proven winner",IF(AND(I637&gt;='Read Me &amp; Markers'!$B$18,J637&gt;='Read Me &amp; Markers'!$B$19,L637&gt;='Read Me &amp; Markers'!$B$21),"B. Strong performer",IF(AND(I637&gt;='Read Me &amp; Markers'!$B$22,L637&gt;='Read Me &amp; Markers'!$B$23),"C. Scale workhorse",IF(AND(I637&gt;='Read Me &amp; Markers'!$B$24,I637&lt;'Read Me &amp; Markers'!$B$18,J637&gt;='Read Me &amp; Markers'!$B$25,L637&gt;='Read Me &amp; Markers'!$B$26),"D. Promising (needs more spend)",""))))</f>
        <v/>
      </c>
      <c r="C637" s="4" t="s">
        <v>169</v>
      </c>
      <c r="D637" s="4" t="s">
        <v>100</v>
      </c>
      <c r="E637" s="4" t="s">
        <v>2267</v>
      </c>
      <c r="F637" s="4" t="s">
        <v>87</v>
      </c>
      <c r="G637" s="4" t="s">
        <v>623</v>
      </c>
      <c r="H637" s="4" t="s">
        <v>2268</v>
      </c>
      <c r="I637" s="5" t="n">
        <v>21.18</v>
      </c>
      <c r="J637" s="7" t="n">
        <v>0</v>
      </c>
      <c r="K637" s="5" t="n">
        <v>0</v>
      </c>
      <c r="L637" s="8" t="n">
        <v>0</v>
      </c>
      <c r="M637" s="9" t="n">
        <v>0</v>
      </c>
      <c r="N637" s="10" t="n">
        <v>0.02380952</v>
      </c>
      <c r="O637" s="5" t="n">
        <v>100.86</v>
      </c>
      <c r="P637" s="11" t="n">
        <v>1.05</v>
      </c>
      <c r="Q637" s="7" t="n">
        <v>210</v>
      </c>
      <c r="R637" s="7" t="n">
        <v>5</v>
      </c>
      <c r="S637" s="7" t="n">
        <v>0</v>
      </c>
      <c r="T637" s="7" t="n">
        <v>0</v>
      </c>
      <c r="U637" s="7" t="n">
        <v>182</v>
      </c>
      <c r="V637" s="7" t="n">
        <v>24</v>
      </c>
    </row>
    <row r="638" customFormat="false" ht="15" hidden="false" customHeight="false" outlineLevel="0" collapsed="false">
      <c r="A638" s="4" t="s">
        <v>2269</v>
      </c>
      <c r="B638" s="4" t="str">
        <f aca="false">IF(AND(I638&gt;='Read Me &amp; Markers'!$B$18,J638&gt;='Read Me &amp; Markers'!$B$19,L638&gt;='Read Me &amp; Markers'!$B$20),"A. Proven winner",IF(AND(I638&gt;='Read Me &amp; Markers'!$B$18,J638&gt;='Read Me &amp; Markers'!$B$19,L638&gt;='Read Me &amp; Markers'!$B$21),"B. Strong performer",IF(AND(I638&gt;='Read Me &amp; Markers'!$B$22,L638&gt;='Read Me &amp; Markers'!$B$23),"C. Scale workhorse",IF(AND(I638&gt;='Read Me &amp; Markers'!$B$24,I638&lt;'Read Me &amp; Markers'!$B$18,J638&gt;='Read Me &amp; Markers'!$B$25,L638&gt;='Read Me &amp; Markers'!$B$26),"D. Promising (needs more spend)",""))))</f>
        <v/>
      </c>
      <c r="C638" s="4" t="s">
        <v>2270</v>
      </c>
      <c r="D638" s="4" t="s">
        <v>100</v>
      </c>
      <c r="E638" s="4" t="s">
        <v>2271</v>
      </c>
      <c r="F638" s="4" t="s">
        <v>87</v>
      </c>
      <c r="G638" s="4" t="s">
        <v>310</v>
      </c>
      <c r="H638" s="4" t="s">
        <v>2272</v>
      </c>
      <c r="I638" s="5" t="n">
        <v>20.91</v>
      </c>
      <c r="J638" s="7" t="n">
        <v>0</v>
      </c>
      <c r="K638" s="5" t="n">
        <v>0</v>
      </c>
      <c r="L638" s="8" t="n">
        <v>0</v>
      </c>
      <c r="M638" s="9" t="n">
        <v>0</v>
      </c>
      <c r="N638" s="10" t="n">
        <v>0.05396825</v>
      </c>
      <c r="O638" s="5" t="n">
        <v>66.38</v>
      </c>
      <c r="P638" s="11" t="n">
        <v>1.290984</v>
      </c>
      <c r="Q638" s="7" t="n">
        <v>315</v>
      </c>
      <c r="R638" s="7" t="n">
        <v>17</v>
      </c>
      <c r="S638" s="7" t="n">
        <v>0</v>
      </c>
      <c r="T638" s="7" t="n">
        <v>0</v>
      </c>
      <c r="U638" s="7" t="n">
        <v>223</v>
      </c>
      <c r="V638" s="7" t="n">
        <v>33</v>
      </c>
    </row>
    <row r="639" customFormat="false" ht="15" hidden="false" customHeight="false" outlineLevel="0" collapsed="false">
      <c r="A639" s="4" t="s">
        <v>2273</v>
      </c>
      <c r="B639" s="4" t="str">
        <f aca="false">IF(AND(I639&gt;='Read Me &amp; Markers'!$B$18,J639&gt;='Read Me &amp; Markers'!$B$19,L639&gt;='Read Me &amp; Markers'!$B$20),"A. Proven winner",IF(AND(I639&gt;='Read Me &amp; Markers'!$B$18,J639&gt;='Read Me &amp; Markers'!$B$19,L639&gt;='Read Me &amp; Markers'!$B$21),"B. Strong performer",IF(AND(I639&gt;='Read Me &amp; Markers'!$B$22,L639&gt;='Read Me &amp; Markers'!$B$23),"C. Scale workhorse",IF(AND(I639&gt;='Read Me &amp; Markers'!$B$24,I639&lt;'Read Me &amp; Markers'!$B$18,J639&gt;='Read Me &amp; Markers'!$B$25,L639&gt;='Read Me &amp; Markers'!$B$26),"D. Promising (needs more spend)",""))))</f>
        <v/>
      </c>
      <c r="C639" s="4" t="s">
        <v>2274</v>
      </c>
      <c r="D639" s="4" t="s">
        <v>109</v>
      </c>
      <c r="E639" s="4" t="s">
        <v>1701</v>
      </c>
      <c r="F639" s="4" t="s">
        <v>111</v>
      </c>
      <c r="G639" s="4" t="s">
        <v>1702</v>
      </c>
      <c r="H639" s="4" t="s">
        <v>2275</v>
      </c>
      <c r="I639" s="5" t="n">
        <v>20.9</v>
      </c>
      <c r="J639" s="7" t="n">
        <v>0</v>
      </c>
      <c r="K639" s="5" t="n">
        <v>0</v>
      </c>
      <c r="L639" s="8" t="n">
        <v>0</v>
      </c>
      <c r="M639" s="9" t="n">
        <v>0</v>
      </c>
      <c r="N639" s="10" t="n">
        <v>0.01639344</v>
      </c>
      <c r="O639" s="5" t="n">
        <v>48.95</v>
      </c>
      <c r="P639" s="11" t="n">
        <v>1.428094</v>
      </c>
      <c r="Q639" s="7" t="n">
        <v>427</v>
      </c>
      <c r="R639" s="7" t="n">
        <v>7</v>
      </c>
      <c r="S639" s="7" t="n">
        <v>0</v>
      </c>
      <c r="T639" s="7" t="n">
        <v>0</v>
      </c>
      <c r="U639" s="7" t="n">
        <v>3</v>
      </c>
      <c r="V639" s="7" t="n">
        <v>0</v>
      </c>
    </row>
    <row r="640" customFormat="false" ht="15" hidden="false" customHeight="false" outlineLevel="0" collapsed="false">
      <c r="A640" s="4" t="s">
        <v>2276</v>
      </c>
      <c r="B640" s="4" t="str">
        <f aca="false">IF(AND(I640&gt;='Read Me &amp; Markers'!$B$18,J640&gt;='Read Me &amp; Markers'!$B$19,L640&gt;='Read Me &amp; Markers'!$B$20),"A. Proven winner",IF(AND(I640&gt;='Read Me &amp; Markers'!$B$18,J640&gt;='Read Me &amp; Markers'!$B$19,L640&gt;='Read Me &amp; Markers'!$B$21),"B. Strong performer",IF(AND(I640&gt;='Read Me &amp; Markers'!$B$22,L640&gt;='Read Me &amp; Markers'!$B$23),"C. Scale workhorse",IF(AND(I640&gt;='Read Me &amp; Markers'!$B$24,I640&lt;'Read Me &amp; Markers'!$B$18,J640&gt;='Read Me &amp; Markers'!$B$25,L640&gt;='Read Me &amp; Markers'!$B$26),"D. Promising (needs more spend)",""))))</f>
        <v/>
      </c>
      <c r="C640" s="4" t="s">
        <v>129</v>
      </c>
      <c r="D640" s="4" t="s">
        <v>100</v>
      </c>
      <c r="E640" s="4" t="s">
        <v>293</v>
      </c>
      <c r="F640" s="4" t="s">
        <v>87</v>
      </c>
      <c r="G640" s="4" t="s">
        <v>294</v>
      </c>
      <c r="H640" s="4" t="s">
        <v>2277</v>
      </c>
      <c r="I640" s="5" t="n">
        <v>20.9</v>
      </c>
      <c r="J640" s="7" t="n">
        <v>0</v>
      </c>
      <c r="K640" s="5" t="n">
        <v>0</v>
      </c>
      <c r="L640" s="8" t="n">
        <v>0</v>
      </c>
      <c r="M640" s="9" t="n">
        <v>0</v>
      </c>
      <c r="N640" s="10" t="n">
        <v>0.06101695</v>
      </c>
      <c r="O640" s="5" t="n">
        <v>70.85</v>
      </c>
      <c r="P640" s="11" t="n">
        <v>1.096654</v>
      </c>
      <c r="Q640" s="7" t="n">
        <v>295</v>
      </c>
      <c r="R640" s="7" t="n">
        <v>18</v>
      </c>
      <c r="S640" s="7" t="n">
        <v>0</v>
      </c>
      <c r="T640" s="7" t="n">
        <v>0</v>
      </c>
      <c r="U640" s="7" t="n">
        <v>262</v>
      </c>
      <c r="V640" s="7" t="n">
        <v>54</v>
      </c>
    </row>
    <row r="641" customFormat="false" ht="15" hidden="false" customHeight="false" outlineLevel="0" collapsed="false">
      <c r="A641" s="4" t="s">
        <v>2278</v>
      </c>
      <c r="B641" s="4" t="str">
        <f aca="false">IF(AND(I641&gt;='Read Me &amp; Markers'!$B$18,J641&gt;='Read Me &amp; Markers'!$B$19,L641&gt;='Read Me &amp; Markers'!$B$20),"A. Proven winner",IF(AND(I641&gt;='Read Me &amp; Markers'!$B$18,J641&gt;='Read Me &amp; Markers'!$B$19,L641&gt;='Read Me &amp; Markers'!$B$21),"B. Strong performer",IF(AND(I641&gt;='Read Me &amp; Markers'!$B$22,L641&gt;='Read Me &amp; Markers'!$B$23),"C. Scale workhorse",IF(AND(I641&gt;='Read Me &amp; Markers'!$B$24,I641&lt;'Read Me &amp; Markers'!$B$18,J641&gt;='Read Me &amp; Markers'!$B$25,L641&gt;='Read Me &amp; Markers'!$B$26),"D. Promising (needs more spend)",""))))</f>
        <v/>
      </c>
      <c r="C641" s="4" t="s">
        <v>1223</v>
      </c>
      <c r="D641" s="4" t="s">
        <v>109</v>
      </c>
      <c r="E641" s="4" t="s">
        <v>469</v>
      </c>
      <c r="F641" s="4" t="s">
        <v>172</v>
      </c>
      <c r="G641" s="4" t="s">
        <v>470</v>
      </c>
      <c r="H641" s="4" t="s">
        <v>2279</v>
      </c>
      <c r="I641" s="5" t="n">
        <v>20.75</v>
      </c>
      <c r="J641" s="7" t="n">
        <v>1</v>
      </c>
      <c r="K641" s="5" t="n">
        <v>79.97</v>
      </c>
      <c r="L641" s="8" t="n">
        <v>3.853976</v>
      </c>
      <c r="M641" s="9" t="n">
        <v>20.75</v>
      </c>
      <c r="N641" s="10" t="n">
        <v>0.04371585</v>
      </c>
      <c r="O641" s="5" t="n">
        <v>113.39</v>
      </c>
      <c r="P641" s="11" t="n">
        <v>1.051724</v>
      </c>
      <c r="Q641" s="7" t="n">
        <v>183</v>
      </c>
      <c r="R641" s="7" t="n">
        <v>8</v>
      </c>
      <c r="S641" s="7" t="n">
        <v>0</v>
      </c>
      <c r="T641" s="7" t="n">
        <v>2</v>
      </c>
      <c r="U641" s="7" t="n">
        <v>144</v>
      </c>
      <c r="V641" s="7" t="n">
        <v>25</v>
      </c>
    </row>
    <row r="642" customFormat="false" ht="15" hidden="false" customHeight="false" outlineLevel="0" collapsed="false">
      <c r="A642" s="4" t="s">
        <v>2280</v>
      </c>
      <c r="B642" s="4" t="str">
        <f aca="false">IF(AND(I642&gt;='Read Me &amp; Markers'!$B$18,J642&gt;='Read Me &amp; Markers'!$B$19,L642&gt;='Read Me &amp; Markers'!$B$20),"A. Proven winner",IF(AND(I642&gt;='Read Me &amp; Markers'!$B$18,J642&gt;='Read Me &amp; Markers'!$B$19,L642&gt;='Read Me &amp; Markers'!$B$21),"B. Strong performer",IF(AND(I642&gt;='Read Me &amp; Markers'!$B$22,L642&gt;='Read Me &amp; Markers'!$B$23),"C. Scale workhorse",IF(AND(I642&gt;='Read Me &amp; Markers'!$B$24,I642&lt;'Read Me &amp; Markers'!$B$18,J642&gt;='Read Me &amp; Markers'!$B$25,L642&gt;='Read Me &amp; Markers'!$B$26),"D. Promising (needs more spend)",""))))</f>
        <v/>
      </c>
      <c r="C642" s="4" t="s">
        <v>129</v>
      </c>
      <c r="D642" s="4" t="s">
        <v>100</v>
      </c>
      <c r="E642" s="4" t="s">
        <v>1029</v>
      </c>
      <c r="F642" s="4" t="s">
        <v>87</v>
      </c>
      <c r="G642" s="4" t="s">
        <v>623</v>
      </c>
      <c r="H642" s="4" t="s">
        <v>2281</v>
      </c>
      <c r="I642" s="5" t="n">
        <v>20.58</v>
      </c>
      <c r="J642" s="7" t="n">
        <v>0</v>
      </c>
      <c r="K642" s="5" t="n">
        <v>0</v>
      </c>
      <c r="L642" s="8" t="n">
        <v>0</v>
      </c>
      <c r="M642" s="9" t="n">
        <v>0</v>
      </c>
      <c r="N642" s="10" t="n">
        <v>0.03763441</v>
      </c>
      <c r="O642" s="5" t="n">
        <v>110.65</v>
      </c>
      <c r="P642" s="11" t="n">
        <v>1.044944</v>
      </c>
      <c r="Q642" s="7" t="n">
        <v>186</v>
      </c>
      <c r="R642" s="7" t="n">
        <v>7</v>
      </c>
      <c r="S642" s="7" t="n">
        <v>3</v>
      </c>
      <c r="T642" s="7" t="n">
        <v>4</v>
      </c>
      <c r="U642" s="7" t="n">
        <v>177</v>
      </c>
      <c r="V642" s="7" t="n">
        <v>40</v>
      </c>
    </row>
    <row r="643" customFormat="false" ht="15" hidden="false" customHeight="false" outlineLevel="0" collapsed="false">
      <c r="A643" s="4" t="s">
        <v>2282</v>
      </c>
      <c r="B643" s="4" t="str">
        <f aca="false">IF(AND(I643&gt;='Read Me &amp; Markers'!$B$18,J643&gt;='Read Me &amp; Markers'!$B$19,L643&gt;='Read Me &amp; Markers'!$B$20),"A. Proven winner",IF(AND(I643&gt;='Read Me &amp; Markers'!$B$18,J643&gt;='Read Me &amp; Markers'!$B$19,L643&gt;='Read Me &amp; Markers'!$B$21),"B. Strong performer",IF(AND(I643&gt;='Read Me &amp; Markers'!$B$22,L643&gt;='Read Me &amp; Markers'!$B$23),"C. Scale workhorse",IF(AND(I643&gt;='Read Me &amp; Markers'!$B$24,I643&lt;'Read Me &amp; Markers'!$B$18,J643&gt;='Read Me &amp; Markers'!$B$25,L643&gt;='Read Me &amp; Markers'!$B$26),"D. Promising (needs more spend)",""))))</f>
        <v/>
      </c>
      <c r="C643" s="4" t="s">
        <v>2283</v>
      </c>
      <c r="D643" s="4" t="s">
        <v>109</v>
      </c>
      <c r="E643" s="4" t="s">
        <v>469</v>
      </c>
      <c r="F643" s="4" t="s">
        <v>111</v>
      </c>
      <c r="G643" s="4" t="s">
        <v>470</v>
      </c>
      <c r="H643" s="4" t="s">
        <v>2284</v>
      </c>
      <c r="I643" s="5" t="n">
        <v>20.53</v>
      </c>
      <c r="J643" s="7" t="n">
        <v>0</v>
      </c>
      <c r="K643" s="5" t="n">
        <v>0</v>
      </c>
      <c r="L643" s="8" t="n">
        <v>0</v>
      </c>
      <c r="M643" s="9" t="n">
        <v>0</v>
      </c>
      <c r="N643" s="10" t="n">
        <v>0.04522613</v>
      </c>
      <c r="O643" s="5" t="n">
        <v>103.17</v>
      </c>
      <c r="P643" s="11" t="n">
        <v>1.124294</v>
      </c>
      <c r="Q643" s="7" t="n">
        <v>199</v>
      </c>
      <c r="R643" s="7" t="n">
        <v>9</v>
      </c>
      <c r="S643" s="7" t="n">
        <v>0</v>
      </c>
      <c r="T643" s="7" t="n">
        <v>0</v>
      </c>
      <c r="U643" s="7" t="n">
        <v>158</v>
      </c>
      <c r="V643" s="7" t="n">
        <v>16</v>
      </c>
    </row>
    <row r="644" customFormat="false" ht="15" hidden="false" customHeight="false" outlineLevel="0" collapsed="false">
      <c r="A644" s="4" t="s">
        <v>2285</v>
      </c>
      <c r="B644" s="4" t="str">
        <f aca="false">IF(AND(I644&gt;='Read Me &amp; Markers'!$B$18,J644&gt;='Read Me &amp; Markers'!$B$19,L644&gt;='Read Me &amp; Markers'!$B$20),"A. Proven winner",IF(AND(I644&gt;='Read Me &amp; Markers'!$B$18,J644&gt;='Read Me &amp; Markers'!$B$19,L644&gt;='Read Me &amp; Markers'!$B$21),"B. Strong performer",IF(AND(I644&gt;='Read Me &amp; Markers'!$B$22,L644&gt;='Read Me &amp; Markers'!$B$23),"C. Scale workhorse",IF(AND(I644&gt;='Read Me &amp; Markers'!$B$24,I644&lt;'Read Me &amp; Markers'!$B$18,J644&gt;='Read Me &amp; Markers'!$B$25,L644&gt;='Read Me &amp; Markers'!$B$26),"D. Promising (needs more spend)",""))))</f>
        <v/>
      </c>
      <c r="C644" s="4" t="s">
        <v>129</v>
      </c>
      <c r="D644" s="4" t="s">
        <v>154</v>
      </c>
      <c r="E644" s="4" t="s">
        <v>2286</v>
      </c>
      <c r="F644" s="4" t="s">
        <v>253</v>
      </c>
      <c r="G644" s="4" t="s">
        <v>124</v>
      </c>
      <c r="H644" s="4" t="s">
        <v>2287</v>
      </c>
      <c r="I644" s="5" t="n">
        <v>20.5</v>
      </c>
      <c r="J644" s="7" t="n">
        <v>0</v>
      </c>
      <c r="K644" s="5" t="n">
        <v>0</v>
      </c>
      <c r="L644" s="8" t="n">
        <v>0</v>
      </c>
      <c r="M644" s="9" t="n">
        <v>0</v>
      </c>
      <c r="N644" s="10" t="n">
        <v>0.04304636</v>
      </c>
      <c r="O644" s="5" t="n">
        <v>67.88</v>
      </c>
      <c r="P644" s="11" t="n">
        <v>1.126866</v>
      </c>
      <c r="Q644" s="7" t="n">
        <v>302</v>
      </c>
      <c r="R644" s="7" t="n">
        <v>13</v>
      </c>
      <c r="S644" s="7" t="n">
        <v>2</v>
      </c>
      <c r="T644" s="7" t="n">
        <v>1</v>
      </c>
      <c r="U644" s="7" t="n">
        <v>258</v>
      </c>
      <c r="V644" s="7" t="n">
        <v>18</v>
      </c>
    </row>
    <row r="645" customFormat="false" ht="15" hidden="false" customHeight="false" outlineLevel="0" collapsed="false">
      <c r="A645" s="4" t="s">
        <v>2288</v>
      </c>
      <c r="B645" s="4" t="str">
        <f aca="false">IF(AND(I645&gt;='Read Me &amp; Markers'!$B$18,J645&gt;='Read Me &amp; Markers'!$B$19,L645&gt;='Read Me &amp; Markers'!$B$20),"A. Proven winner",IF(AND(I645&gt;='Read Me &amp; Markers'!$B$18,J645&gt;='Read Me &amp; Markers'!$B$19,L645&gt;='Read Me &amp; Markers'!$B$21),"B. Strong performer",IF(AND(I645&gt;='Read Me &amp; Markers'!$B$22,L645&gt;='Read Me &amp; Markers'!$B$23),"C. Scale workhorse",IF(AND(I645&gt;='Read Me &amp; Markers'!$B$24,I645&lt;'Read Me &amp; Markers'!$B$18,J645&gt;='Read Me &amp; Markers'!$B$25,L645&gt;='Read Me &amp; Markers'!$B$26),"D. Promising (needs more spend)",""))))</f>
        <v/>
      </c>
      <c r="C645" s="4" t="s">
        <v>2289</v>
      </c>
      <c r="D645" s="4" t="s">
        <v>100</v>
      </c>
      <c r="E645" s="4" t="s">
        <v>1519</v>
      </c>
      <c r="F645" s="4" t="s">
        <v>172</v>
      </c>
      <c r="G645" s="4" t="s">
        <v>348</v>
      </c>
      <c r="H645" s="4" t="s">
        <v>2290</v>
      </c>
      <c r="I645" s="5" t="n">
        <v>20.42</v>
      </c>
      <c r="J645" s="7" t="n">
        <v>0</v>
      </c>
      <c r="K645" s="5" t="n">
        <v>0</v>
      </c>
      <c r="L645" s="8" t="n">
        <v>0</v>
      </c>
      <c r="M645" s="9" t="n">
        <v>0</v>
      </c>
      <c r="N645" s="10" t="n">
        <v>0.03809524</v>
      </c>
      <c r="O645" s="5" t="n">
        <v>97.24</v>
      </c>
      <c r="P645" s="11" t="n">
        <v>1.076923</v>
      </c>
      <c r="Q645" s="7" t="n">
        <v>210</v>
      </c>
      <c r="R645" s="7" t="n">
        <v>8</v>
      </c>
      <c r="S645" s="7" t="n">
        <v>0</v>
      </c>
      <c r="T645" s="7" t="n">
        <v>0</v>
      </c>
      <c r="U645" s="7" t="n">
        <v>188</v>
      </c>
      <c r="V645" s="7" t="n">
        <v>22</v>
      </c>
    </row>
    <row r="646" customFormat="false" ht="15" hidden="false" customHeight="false" outlineLevel="0" collapsed="false">
      <c r="A646" s="4" t="s">
        <v>2291</v>
      </c>
      <c r="B646" s="4" t="str">
        <f aca="false">IF(AND(I646&gt;='Read Me &amp; Markers'!$B$18,J646&gt;='Read Me &amp; Markers'!$B$19,L646&gt;='Read Me &amp; Markers'!$B$20),"A. Proven winner",IF(AND(I646&gt;='Read Me &amp; Markers'!$B$18,J646&gt;='Read Me &amp; Markers'!$B$19,L646&gt;='Read Me &amp; Markers'!$B$21),"B. Strong performer",IF(AND(I646&gt;='Read Me &amp; Markers'!$B$22,L646&gt;='Read Me &amp; Markers'!$B$23),"C. Scale workhorse",IF(AND(I646&gt;='Read Me &amp; Markers'!$B$24,I646&lt;'Read Me &amp; Markers'!$B$18,J646&gt;='Read Me &amp; Markers'!$B$25,L646&gt;='Read Me &amp; Markers'!$B$26),"D. Promising (needs more spend)",""))))</f>
        <v/>
      </c>
      <c r="C646" s="4" t="s">
        <v>2292</v>
      </c>
      <c r="D646" s="4" t="s">
        <v>109</v>
      </c>
      <c r="E646" s="4" t="s">
        <v>489</v>
      </c>
      <c r="F646" s="4" t="s">
        <v>111</v>
      </c>
      <c r="G646" s="4" t="s">
        <v>490</v>
      </c>
      <c r="H646" s="4" t="s">
        <v>2293</v>
      </c>
      <c r="I646" s="5" t="n">
        <v>20.14</v>
      </c>
      <c r="J646" s="7" t="n">
        <v>0</v>
      </c>
      <c r="K646" s="5" t="n">
        <v>0</v>
      </c>
      <c r="L646" s="8" t="n">
        <v>0</v>
      </c>
      <c r="M646" s="9" t="n">
        <v>0</v>
      </c>
      <c r="N646" s="10" t="n">
        <v>0.02155172</v>
      </c>
      <c r="O646" s="5" t="n">
        <v>86.81</v>
      </c>
      <c r="P646" s="11" t="n">
        <v>1.104762</v>
      </c>
      <c r="Q646" s="7" t="n">
        <v>232</v>
      </c>
      <c r="R646" s="7" t="n">
        <v>5</v>
      </c>
      <c r="S646" s="7" t="n">
        <v>0</v>
      </c>
      <c r="T646" s="7" t="n">
        <v>2</v>
      </c>
      <c r="U646" s="7" t="n">
        <v>223</v>
      </c>
      <c r="V646" s="7" t="n">
        <v>19</v>
      </c>
    </row>
    <row r="647" customFormat="false" ht="15" hidden="false" customHeight="false" outlineLevel="0" collapsed="false">
      <c r="A647" s="4" t="s">
        <v>2294</v>
      </c>
      <c r="B647" s="4" t="str">
        <f aca="false">IF(AND(I647&gt;='Read Me &amp; Markers'!$B$18,J647&gt;='Read Me &amp; Markers'!$B$19,L647&gt;='Read Me &amp; Markers'!$B$20),"A. Proven winner",IF(AND(I647&gt;='Read Me &amp; Markers'!$B$18,J647&gt;='Read Me &amp; Markers'!$B$19,L647&gt;='Read Me &amp; Markers'!$B$21),"B. Strong performer",IF(AND(I647&gt;='Read Me &amp; Markers'!$B$22,L647&gt;='Read Me &amp; Markers'!$B$23),"C. Scale workhorse",IF(AND(I647&gt;='Read Me &amp; Markers'!$B$24,I647&lt;'Read Me &amp; Markers'!$B$18,J647&gt;='Read Me &amp; Markers'!$B$25,L647&gt;='Read Me &amp; Markers'!$B$26),"D. Promising (needs more spend)",""))))</f>
        <v/>
      </c>
      <c r="C647" s="4" t="s">
        <v>2295</v>
      </c>
      <c r="D647" s="4" t="s">
        <v>109</v>
      </c>
      <c r="E647" s="4" t="s">
        <v>110</v>
      </c>
      <c r="F647" s="4" t="s">
        <v>111</v>
      </c>
      <c r="G647" s="4" t="s">
        <v>112</v>
      </c>
      <c r="H647" s="4" t="s">
        <v>2296</v>
      </c>
      <c r="I647" s="5" t="n">
        <v>19.71</v>
      </c>
      <c r="J647" s="7" t="n">
        <v>0</v>
      </c>
      <c r="K647" s="5" t="n">
        <v>0</v>
      </c>
      <c r="L647" s="8" t="n">
        <v>0</v>
      </c>
      <c r="M647" s="9" t="n">
        <v>0</v>
      </c>
      <c r="N647" s="10" t="n">
        <v>0.01544402</v>
      </c>
      <c r="O647" s="5" t="n">
        <v>76.1</v>
      </c>
      <c r="P647" s="11" t="n">
        <v>1.193548</v>
      </c>
      <c r="Q647" s="7" t="n">
        <v>259</v>
      </c>
      <c r="R647" s="7" t="n">
        <v>4</v>
      </c>
      <c r="S647" s="7" t="n">
        <v>1</v>
      </c>
      <c r="T647" s="7" t="n">
        <v>0</v>
      </c>
      <c r="U647" s="7" t="n">
        <v>0</v>
      </c>
      <c r="V647" s="7" t="n">
        <v>0</v>
      </c>
    </row>
    <row r="648" customFormat="false" ht="15" hidden="false" customHeight="false" outlineLevel="0" collapsed="false">
      <c r="A648" s="4" t="s">
        <v>2297</v>
      </c>
      <c r="B648" s="4" t="str">
        <f aca="false">IF(AND(I648&gt;='Read Me &amp; Markers'!$B$18,J648&gt;='Read Me &amp; Markers'!$B$19,L648&gt;='Read Me &amp; Markers'!$B$20),"A. Proven winner",IF(AND(I648&gt;='Read Me &amp; Markers'!$B$18,J648&gt;='Read Me &amp; Markers'!$B$19,L648&gt;='Read Me &amp; Markers'!$B$21),"B. Strong performer",IF(AND(I648&gt;='Read Me &amp; Markers'!$B$22,L648&gt;='Read Me &amp; Markers'!$B$23),"C. Scale workhorse",IF(AND(I648&gt;='Read Me &amp; Markers'!$B$24,I648&lt;'Read Me &amp; Markers'!$B$18,J648&gt;='Read Me &amp; Markers'!$B$25,L648&gt;='Read Me &amp; Markers'!$B$26),"D. Promising (needs more spend)",""))))</f>
        <v/>
      </c>
      <c r="C648" s="4" t="s">
        <v>121</v>
      </c>
      <c r="D648" s="4" t="s">
        <v>100</v>
      </c>
      <c r="E648" s="4" t="s">
        <v>1454</v>
      </c>
      <c r="F648" s="4" t="s">
        <v>253</v>
      </c>
      <c r="G648" s="4" t="s">
        <v>538</v>
      </c>
      <c r="H648" s="4" t="s">
        <v>2298</v>
      </c>
      <c r="I648" s="5" t="n">
        <v>19.6</v>
      </c>
      <c r="J648" s="7" t="n">
        <v>1</v>
      </c>
      <c r="K648" s="5" t="n">
        <v>127.16</v>
      </c>
      <c r="L648" s="8" t="n">
        <v>6.487755</v>
      </c>
      <c r="M648" s="9" t="n">
        <v>19.6</v>
      </c>
      <c r="N648" s="10" t="n">
        <v>0.05294118</v>
      </c>
      <c r="O648" s="5" t="n">
        <v>115.29</v>
      </c>
      <c r="P648" s="11" t="n">
        <v>1.089744</v>
      </c>
      <c r="Q648" s="7" t="n">
        <v>170</v>
      </c>
      <c r="R648" s="7" t="n">
        <v>9</v>
      </c>
      <c r="S648" s="7" t="n">
        <v>2</v>
      </c>
      <c r="T648" s="7" t="n">
        <v>2</v>
      </c>
      <c r="U648" s="7" t="n">
        <v>146</v>
      </c>
      <c r="V648" s="7" t="n">
        <v>52</v>
      </c>
    </row>
    <row r="649" customFormat="false" ht="15" hidden="false" customHeight="false" outlineLevel="0" collapsed="false">
      <c r="A649" s="4" t="s">
        <v>2299</v>
      </c>
      <c r="B649" s="4" t="str">
        <f aca="false">IF(AND(I649&gt;='Read Me &amp; Markers'!$B$18,J649&gt;='Read Me &amp; Markers'!$B$19,L649&gt;='Read Me &amp; Markers'!$B$20),"A. Proven winner",IF(AND(I649&gt;='Read Me &amp; Markers'!$B$18,J649&gt;='Read Me &amp; Markers'!$B$19,L649&gt;='Read Me &amp; Markers'!$B$21),"B. Strong performer",IF(AND(I649&gt;='Read Me &amp; Markers'!$B$22,L649&gt;='Read Me &amp; Markers'!$B$23),"C. Scale workhorse",IF(AND(I649&gt;='Read Me &amp; Markers'!$B$24,I649&lt;'Read Me &amp; Markers'!$B$18,J649&gt;='Read Me &amp; Markers'!$B$25,L649&gt;='Read Me &amp; Markers'!$B$26),"D. Promising (needs more spend)",""))))</f>
        <v/>
      </c>
      <c r="C649" s="4" t="s">
        <v>121</v>
      </c>
      <c r="D649" s="4" t="s">
        <v>100</v>
      </c>
      <c r="E649" s="4" t="s">
        <v>2300</v>
      </c>
      <c r="F649" s="4" t="s">
        <v>87</v>
      </c>
      <c r="G649" s="4" t="s">
        <v>348</v>
      </c>
      <c r="H649" s="4" t="s">
        <v>2301</v>
      </c>
      <c r="I649" s="5" t="n">
        <v>19.43</v>
      </c>
      <c r="J649" s="7" t="n">
        <v>0</v>
      </c>
      <c r="K649" s="5" t="n">
        <v>0</v>
      </c>
      <c r="L649" s="8" t="n">
        <v>0</v>
      </c>
      <c r="M649" s="9" t="n">
        <v>0</v>
      </c>
      <c r="N649" s="10" t="n">
        <v>0.01724138</v>
      </c>
      <c r="O649" s="5" t="n">
        <v>67</v>
      </c>
      <c r="P649" s="11" t="n">
        <v>1.16</v>
      </c>
      <c r="Q649" s="7" t="n">
        <v>290</v>
      </c>
      <c r="R649" s="7" t="n">
        <v>5</v>
      </c>
      <c r="S649" s="7" t="n">
        <v>0</v>
      </c>
      <c r="T649" s="7" t="n">
        <v>0</v>
      </c>
      <c r="U649" s="7" t="n">
        <v>233</v>
      </c>
      <c r="V649" s="7" t="n">
        <v>10</v>
      </c>
    </row>
    <row r="650" customFormat="false" ht="15" hidden="false" customHeight="false" outlineLevel="0" collapsed="false">
      <c r="A650" s="4" t="s">
        <v>2302</v>
      </c>
      <c r="B650" s="4" t="str">
        <f aca="false">IF(AND(I650&gt;='Read Me &amp; Markers'!$B$18,J650&gt;='Read Me &amp; Markers'!$B$19,L650&gt;='Read Me &amp; Markers'!$B$20),"A. Proven winner",IF(AND(I650&gt;='Read Me &amp; Markers'!$B$18,J650&gt;='Read Me &amp; Markers'!$B$19,L650&gt;='Read Me &amp; Markers'!$B$21),"B. Strong performer",IF(AND(I650&gt;='Read Me &amp; Markers'!$B$22,L650&gt;='Read Me &amp; Markers'!$B$23),"C. Scale workhorse",IF(AND(I650&gt;='Read Me &amp; Markers'!$B$24,I650&lt;'Read Me &amp; Markers'!$B$18,J650&gt;='Read Me &amp; Markers'!$B$25,L650&gt;='Read Me &amp; Markers'!$B$26),"D. Promising (needs more spend)",""))))</f>
        <v/>
      </c>
      <c r="C650" s="4" t="s">
        <v>129</v>
      </c>
      <c r="D650" s="4" t="s">
        <v>154</v>
      </c>
      <c r="E650" s="4" t="s">
        <v>2303</v>
      </c>
      <c r="F650" s="4" t="s">
        <v>253</v>
      </c>
      <c r="G650" s="4" t="s">
        <v>1711</v>
      </c>
      <c r="H650" s="4" t="s">
        <v>2304</v>
      </c>
      <c r="I650" s="5" t="n">
        <v>19.24</v>
      </c>
      <c r="J650" s="7" t="n">
        <v>0</v>
      </c>
      <c r="K650" s="5" t="n">
        <v>0</v>
      </c>
      <c r="L650" s="8" t="n">
        <v>0</v>
      </c>
      <c r="M650" s="9" t="n">
        <v>0</v>
      </c>
      <c r="N650" s="10" t="n">
        <v>0.02116402</v>
      </c>
      <c r="O650" s="5" t="n">
        <v>50.9</v>
      </c>
      <c r="P650" s="11" t="n">
        <v>1.285714</v>
      </c>
      <c r="Q650" s="7" t="n">
        <v>378</v>
      </c>
      <c r="R650" s="7" t="n">
        <v>8</v>
      </c>
      <c r="S650" s="7" t="n">
        <v>0</v>
      </c>
      <c r="T650" s="7" t="n">
        <v>0</v>
      </c>
      <c r="U650" s="7" t="n">
        <v>312</v>
      </c>
      <c r="V650" s="7" t="n">
        <v>62</v>
      </c>
    </row>
    <row r="651" customFormat="false" ht="15" hidden="false" customHeight="false" outlineLevel="0" collapsed="false">
      <c r="A651" s="4" t="s">
        <v>2305</v>
      </c>
      <c r="B651" s="4" t="str">
        <f aca="false">IF(AND(I651&gt;='Read Me &amp; Markers'!$B$18,J651&gt;='Read Me &amp; Markers'!$B$19,L651&gt;='Read Me &amp; Markers'!$B$20),"A. Proven winner",IF(AND(I651&gt;='Read Me &amp; Markers'!$B$18,J651&gt;='Read Me &amp; Markers'!$B$19,L651&gt;='Read Me &amp; Markers'!$B$21),"B. Strong performer",IF(AND(I651&gt;='Read Me &amp; Markers'!$B$22,L651&gt;='Read Me &amp; Markers'!$B$23),"C. Scale workhorse",IF(AND(I651&gt;='Read Me &amp; Markers'!$B$24,I651&lt;'Read Me &amp; Markers'!$B$18,J651&gt;='Read Me &amp; Markers'!$B$25,L651&gt;='Read Me &amp; Markers'!$B$26),"D. Promising (needs more spend)",""))))</f>
        <v/>
      </c>
      <c r="C651" s="4" t="s">
        <v>2306</v>
      </c>
      <c r="D651" s="4" t="s">
        <v>109</v>
      </c>
      <c r="E651" s="4" t="s">
        <v>435</v>
      </c>
      <c r="F651" s="4" t="s">
        <v>111</v>
      </c>
      <c r="G651" s="4" t="s">
        <v>500</v>
      </c>
      <c r="H651" s="4" t="s">
        <v>2307</v>
      </c>
      <c r="I651" s="5" t="n">
        <v>19.15</v>
      </c>
      <c r="J651" s="7" t="n">
        <v>0</v>
      </c>
      <c r="K651" s="5" t="n">
        <v>0</v>
      </c>
      <c r="L651" s="8" t="n">
        <v>0</v>
      </c>
      <c r="M651" s="9" t="n">
        <v>0</v>
      </c>
      <c r="N651" s="10" t="n">
        <v>0.04819277</v>
      </c>
      <c r="O651" s="5" t="n">
        <v>230.72</v>
      </c>
      <c r="P651" s="11" t="n">
        <v>1.202899</v>
      </c>
      <c r="Q651" s="7" t="n">
        <v>83</v>
      </c>
      <c r="R651" s="7" t="n">
        <v>4</v>
      </c>
      <c r="S651" s="7" t="n">
        <v>0</v>
      </c>
      <c r="T651" s="7" t="n">
        <v>0</v>
      </c>
      <c r="U651" s="7" t="n">
        <v>78</v>
      </c>
      <c r="V651" s="7" t="n">
        <v>6</v>
      </c>
    </row>
    <row r="652" customFormat="false" ht="15" hidden="false" customHeight="false" outlineLevel="0" collapsed="false">
      <c r="A652" s="4" t="s">
        <v>2308</v>
      </c>
      <c r="B652" s="4" t="str">
        <f aca="false">IF(AND(I652&gt;='Read Me &amp; Markers'!$B$18,J652&gt;='Read Me &amp; Markers'!$B$19,L652&gt;='Read Me &amp; Markers'!$B$20),"A. Proven winner",IF(AND(I652&gt;='Read Me &amp; Markers'!$B$18,J652&gt;='Read Me &amp; Markers'!$B$19,L652&gt;='Read Me &amp; Markers'!$B$21),"B. Strong performer",IF(AND(I652&gt;='Read Me &amp; Markers'!$B$22,L652&gt;='Read Me &amp; Markers'!$B$23),"C. Scale workhorse",IF(AND(I652&gt;='Read Me &amp; Markers'!$B$24,I652&lt;'Read Me &amp; Markers'!$B$18,J652&gt;='Read Me &amp; Markers'!$B$25,L652&gt;='Read Me &amp; Markers'!$B$26),"D. Promising (needs more spend)",""))))</f>
        <v/>
      </c>
      <c r="C652" s="4" t="s">
        <v>2309</v>
      </c>
      <c r="D652" s="4" t="s">
        <v>109</v>
      </c>
      <c r="E652" s="4" t="s">
        <v>474</v>
      </c>
      <c r="F652" s="4" t="s">
        <v>111</v>
      </c>
      <c r="G652" s="4" t="s">
        <v>475</v>
      </c>
      <c r="H652" s="4" t="s">
        <v>2310</v>
      </c>
      <c r="I652" s="5" t="n">
        <v>19.04</v>
      </c>
      <c r="J652" s="7" t="n">
        <v>0</v>
      </c>
      <c r="K652" s="5" t="n">
        <v>0</v>
      </c>
      <c r="L652" s="8" t="n">
        <v>0</v>
      </c>
      <c r="M652" s="9" t="n">
        <v>0</v>
      </c>
      <c r="N652" s="10" t="n">
        <v>0.01</v>
      </c>
      <c r="O652" s="5" t="n">
        <v>63.47</v>
      </c>
      <c r="P652" s="11" t="n">
        <v>1.181102</v>
      </c>
      <c r="Q652" s="7" t="n">
        <v>300</v>
      </c>
      <c r="R652" s="7" t="n">
        <v>3</v>
      </c>
      <c r="S652" s="7" t="n">
        <v>0</v>
      </c>
      <c r="T652" s="7" t="n">
        <v>0</v>
      </c>
      <c r="U652" s="7" t="n">
        <v>0</v>
      </c>
      <c r="V652" s="7" t="n">
        <v>0</v>
      </c>
    </row>
    <row r="653" customFormat="false" ht="15" hidden="false" customHeight="false" outlineLevel="0" collapsed="false">
      <c r="A653" s="4" t="s">
        <v>2311</v>
      </c>
      <c r="B653" s="4" t="str">
        <f aca="false">IF(AND(I653&gt;='Read Me &amp; Markers'!$B$18,J653&gt;='Read Me &amp; Markers'!$B$19,L653&gt;='Read Me &amp; Markers'!$B$20),"A. Proven winner",IF(AND(I653&gt;='Read Me &amp; Markers'!$B$18,J653&gt;='Read Me &amp; Markers'!$B$19,L653&gt;='Read Me &amp; Markers'!$B$21),"B. Strong performer",IF(AND(I653&gt;='Read Me &amp; Markers'!$B$22,L653&gt;='Read Me &amp; Markers'!$B$23),"C. Scale workhorse",IF(AND(I653&gt;='Read Me &amp; Markers'!$B$24,I653&lt;'Read Me &amp; Markers'!$B$18,J653&gt;='Read Me &amp; Markers'!$B$25,L653&gt;='Read Me &amp; Markers'!$B$26),"D. Promising (needs more spend)",""))))</f>
        <v/>
      </c>
      <c r="C653" s="4" t="s">
        <v>169</v>
      </c>
      <c r="D653" s="4" t="s">
        <v>154</v>
      </c>
      <c r="E653" s="4" t="s">
        <v>2312</v>
      </c>
      <c r="F653" s="4" t="s">
        <v>253</v>
      </c>
      <c r="G653" s="4" t="s">
        <v>1085</v>
      </c>
      <c r="H653" s="4" t="s">
        <v>2313</v>
      </c>
      <c r="I653" s="5" t="n">
        <v>18.78</v>
      </c>
      <c r="J653" s="7" t="n">
        <v>0</v>
      </c>
      <c r="K653" s="5" t="n">
        <v>0</v>
      </c>
      <c r="L653" s="8" t="n">
        <v>0</v>
      </c>
      <c r="M653" s="9" t="n">
        <v>0</v>
      </c>
      <c r="N653" s="10" t="n">
        <v>0.00729927</v>
      </c>
      <c r="O653" s="5" t="n">
        <v>137.08</v>
      </c>
      <c r="P653" s="11" t="n">
        <v>1.07874</v>
      </c>
      <c r="Q653" s="7" t="n">
        <v>137</v>
      </c>
      <c r="R653" s="7" t="n">
        <v>1</v>
      </c>
      <c r="S653" s="7" t="n">
        <v>0</v>
      </c>
      <c r="T653" s="7" t="n">
        <v>0</v>
      </c>
      <c r="U653" s="7" t="n">
        <v>124</v>
      </c>
      <c r="V653" s="7" t="n">
        <v>10</v>
      </c>
    </row>
    <row r="654" customFormat="false" ht="15" hidden="false" customHeight="false" outlineLevel="0" collapsed="false">
      <c r="A654" s="4" t="s">
        <v>2314</v>
      </c>
      <c r="B654" s="4" t="str">
        <f aca="false">IF(AND(I654&gt;='Read Me &amp; Markers'!$B$18,J654&gt;='Read Me &amp; Markers'!$B$19,L654&gt;='Read Me &amp; Markers'!$B$20),"A. Proven winner",IF(AND(I654&gt;='Read Me &amp; Markers'!$B$18,J654&gt;='Read Me &amp; Markers'!$B$19,L654&gt;='Read Me &amp; Markers'!$B$21),"B. Strong performer",IF(AND(I654&gt;='Read Me &amp; Markers'!$B$22,L654&gt;='Read Me &amp; Markers'!$B$23),"C. Scale workhorse",IF(AND(I654&gt;='Read Me &amp; Markers'!$B$24,I654&lt;'Read Me &amp; Markers'!$B$18,J654&gt;='Read Me &amp; Markers'!$B$25,L654&gt;='Read Me &amp; Markers'!$B$26),"D. Promising (needs more spend)",""))))</f>
        <v/>
      </c>
      <c r="C654" s="4" t="s">
        <v>169</v>
      </c>
      <c r="D654" s="4" t="s">
        <v>100</v>
      </c>
      <c r="E654" s="4" t="s">
        <v>2315</v>
      </c>
      <c r="F654" s="4" t="s">
        <v>230</v>
      </c>
      <c r="G654" s="4" t="s">
        <v>1729</v>
      </c>
      <c r="H654" s="4" t="s">
        <v>2316</v>
      </c>
      <c r="I654" s="5" t="n">
        <v>18.63</v>
      </c>
      <c r="J654" s="7" t="n">
        <v>0</v>
      </c>
      <c r="K654" s="5" t="n">
        <v>0</v>
      </c>
      <c r="L654" s="8" t="n">
        <v>0</v>
      </c>
      <c r="M654" s="9" t="n">
        <v>0</v>
      </c>
      <c r="N654" s="10" t="n">
        <v>0.04626335</v>
      </c>
      <c r="O654" s="5" t="n">
        <v>66.3</v>
      </c>
      <c r="P654" s="11" t="n">
        <v>1.300926</v>
      </c>
      <c r="Q654" s="7" t="n">
        <v>281</v>
      </c>
      <c r="R654" s="7" t="n">
        <v>13</v>
      </c>
      <c r="S654" s="7" t="n">
        <v>0</v>
      </c>
      <c r="T654" s="7" t="n">
        <v>0</v>
      </c>
      <c r="U654" s="7" t="n">
        <v>222</v>
      </c>
      <c r="V654" s="7" t="n">
        <v>28</v>
      </c>
    </row>
    <row r="655" customFormat="false" ht="15" hidden="false" customHeight="false" outlineLevel="0" collapsed="false">
      <c r="A655" s="4" t="s">
        <v>2317</v>
      </c>
      <c r="B655" s="4" t="str">
        <f aca="false">IF(AND(I655&gt;='Read Me &amp; Markers'!$B$18,J655&gt;='Read Me &amp; Markers'!$B$19,L655&gt;='Read Me &amp; Markers'!$B$20),"A. Proven winner",IF(AND(I655&gt;='Read Me &amp; Markers'!$B$18,J655&gt;='Read Me &amp; Markers'!$B$19,L655&gt;='Read Me &amp; Markers'!$B$21),"B. Strong performer",IF(AND(I655&gt;='Read Me &amp; Markers'!$B$22,L655&gt;='Read Me &amp; Markers'!$B$23),"C. Scale workhorse",IF(AND(I655&gt;='Read Me &amp; Markers'!$B$24,I655&lt;'Read Me &amp; Markers'!$B$18,J655&gt;='Read Me &amp; Markers'!$B$25,L655&gt;='Read Me &amp; Markers'!$B$26),"D. Promising (needs more spend)",""))))</f>
        <v/>
      </c>
      <c r="C655" s="4" t="s">
        <v>169</v>
      </c>
      <c r="D655" s="4" t="s">
        <v>100</v>
      </c>
      <c r="E655" s="4" t="s">
        <v>1269</v>
      </c>
      <c r="F655" s="4" t="s">
        <v>87</v>
      </c>
      <c r="G655" s="4" t="s">
        <v>623</v>
      </c>
      <c r="H655" s="4" t="s">
        <v>2318</v>
      </c>
      <c r="I655" s="5" t="n">
        <v>18.37</v>
      </c>
      <c r="J655" s="7" t="n">
        <v>0</v>
      </c>
      <c r="K655" s="5" t="n">
        <v>0</v>
      </c>
      <c r="L655" s="8" t="n">
        <v>0</v>
      </c>
      <c r="M655" s="9" t="n">
        <v>0</v>
      </c>
      <c r="N655" s="10" t="n">
        <v>0.0361991</v>
      </c>
      <c r="O655" s="5" t="n">
        <v>83.12</v>
      </c>
      <c r="P655" s="11" t="n">
        <v>1.03271</v>
      </c>
      <c r="Q655" s="7" t="n">
        <v>221</v>
      </c>
      <c r="R655" s="7" t="n">
        <v>8</v>
      </c>
      <c r="S655" s="7" t="n">
        <v>0</v>
      </c>
      <c r="T655" s="7" t="n">
        <v>0</v>
      </c>
      <c r="U655" s="7" t="n">
        <v>202</v>
      </c>
      <c r="V655" s="7" t="n">
        <v>15</v>
      </c>
    </row>
    <row r="656" customFormat="false" ht="15" hidden="false" customHeight="false" outlineLevel="0" collapsed="false">
      <c r="A656" s="4" t="s">
        <v>2319</v>
      </c>
      <c r="B656" s="4" t="str">
        <f aca="false">IF(AND(I656&gt;='Read Me &amp; Markers'!$B$18,J656&gt;='Read Me &amp; Markers'!$B$19,L656&gt;='Read Me &amp; Markers'!$B$20),"A. Proven winner",IF(AND(I656&gt;='Read Me &amp; Markers'!$B$18,J656&gt;='Read Me &amp; Markers'!$B$19,L656&gt;='Read Me &amp; Markers'!$B$21),"B. Strong performer",IF(AND(I656&gt;='Read Me &amp; Markers'!$B$22,L656&gt;='Read Me &amp; Markers'!$B$23),"C. Scale workhorse",IF(AND(I656&gt;='Read Me &amp; Markers'!$B$24,I656&lt;'Read Me &amp; Markers'!$B$18,J656&gt;='Read Me &amp; Markers'!$B$25,L656&gt;='Read Me &amp; Markers'!$B$26),"D. Promising (needs more spend)",""))))</f>
        <v/>
      </c>
      <c r="C656" s="4" t="s">
        <v>2320</v>
      </c>
      <c r="D656" s="4" t="s">
        <v>100</v>
      </c>
      <c r="E656" s="4" t="s">
        <v>2321</v>
      </c>
      <c r="F656" s="4" t="s">
        <v>253</v>
      </c>
      <c r="G656" s="4" t="s">
        <v>984</v>
      </c>
      <c r="H656" s="4" t="s">
        <v>2322</v>
      </c>
      <c r="I656" s="5" t="n">
        <v>18.01</v>
      </c>
      <c r="J656" s="7" t="n">
        <v>0</v>
      </c>
      <c r="K656" s="5" t="n">
        <v>0</v>
      </c>
      <c r="L656" s="8" t="n">
        <v>0</v>
      </c>
      <c r="M656" s="9" t="n">
        <v>0</v>
      </c>
      <c r="N656" s="10" t="n">
        <v>0.02040816</v>
      </c>
      <c r="O656" s="5" t="n">
        <v>61.26</v>
      </c>
      <c r="P656" s="11" t="n">
        <v>1.872611</v>
      </c>
      <c r="Q656" s="7" t="n">
        <v>294</v>
      </c>
      <c r="R656" s="7" t="n">
        <v>6</v>
      </c>
      <c r="S656" s="7" t="n">
        <v>0</v>
      </c>
      <c r="T656" s="7" t="n">
        <v>0</v>
      </c>
      <c r="U656" s="7" t="n">
        <v>0</v>
      </c>
      <c r="V656" s="7" t="n">
        <v>0</v>
      </c>
    </row>
    <row r="657" customFormat="false" ht="15" hidden="false" customHeight="false" outlineLevel="0" collapsed="false">
      <c r="A657" s="4" t="s">
        <v>2323</v>
      </c>
      <c r="B657" s="4" t="str">
        <f aca="false">IF(AND(I657&gt;='Read Me &amp; Markers'!$B$18,J657&gt;='Read Me &amp; Markers'!$B$19,L657&gt;='Read Me &amp; Markers'!$B$20),"A. Proven winner",IF(AND(I657&gt;='Read Me &amp; Markers'!$B$18,J657&gt;='Read Me &amp; Markers'!$B$19,L657&gt;='Read Me &amp; Markers'!$B$21),"B. Strong performer",IF(AND(I657&gt;='Read Me &amp; Markers'!$B$22,L657&gt;='Read Me &amp; Markers'!$B$23),"C. Scale workhorse",IF(AND(I657&gt;='Read Me &amp; Markers'!$B$24,I657&lt;'Read Me &amp; Markers'!$B$18,J657&gt;='Read Me &amp; Markers'!$B$25,L657&gt;='Read Me &amp; Markers'!$B$26),"D. Promising (needs more spend)",""))))</f>
        <v/>
      </c>
      <c r="C657" s="4" t="s">
        <v>121</v>
      </c>
      <c r="D657" s="4" t="s">
        <v>154</v>
      </c>
      <c r="E657" s="4" t="s">
        <v>2324</v>
      </c>
      <c r="F657" s="4" t="s">
        <v>87</v>
      </c>
      <c r="G657" s="4" t="s">
        <v>440</v>
      </c>
      <c r="H657" s="4" t="s">
        <v>2325</v>
      </c>
      <c r="I657" s="5" t="n">
        <v>18</v>
      </c>
      <c r="J657" s="7" t="n">
        <v>0</v>
      </c>
      <c r="K657" s="5" t="n">
        <v>0</v>
      </c>
      <c r="L657" s="8" t="n">
        <v>0</v>
      </c>
      <c r="M657" s="9" t="n">
        <v>0</v>
      </c>
      <c r="N657" s="10" t="n">
        <v>0.0140056</v>
      </c>
      <c r="O657" s="5" t="n">
        <v>50.42</v>
      </c>
      <c r="P657" s="11" t="n">
        <v>1.19</v>
      </c>
      <c r="Q657" s="7" t="n">
        <v>357</v>
      </c>
      <c r="R657" s="7" t="n">
        <v>5</v>
      </c>
      <c r="S657" s="7" t="n">
        <v>0</v>
      </c>
      <c r="T657" s="7" t="n">
        <v>0</v>
      </c>
      <c r="U657" s="7" t="n">
        <v>249</v>
      </c>
      <c r="V657" s="7" t="n">
        <v>10</v>
      </c>
    </row>
    <row r="658" customFormat="false" ht="15" hidden="false" customHeight="false" outlineLevel="0" collapsed="false">
      <c r="A658" s="4" t="s">
        <v>2326</v>
      </c>
      <c r="B658" s="4" t="str">
        <f aca="false">IF(AND(I658&gt;='Read Me &amp; Markers'!$B$18,J658&gt;='Read Me &amp; Markers'!$B$19,L658&gt;='Read Me &amp; Markers'!$B$20),"A. Proven winner",IF(AND(I658&gt;='Read Me &amp; Markers'!$B$18,J658&gt;='Read Me &amp; Markers'!$B$19,L658&gt;='Read Me &amp; Markers'!$B$21),"B. Strong performer",IF(AND(I658&gt;='Read Me &amp; Markers'!$B$22,L658&gt;='Read Me &amp; Markers'!$B$23),"C. Scale workhorse",IF(AND(I658&gt;='Read Me &amp; Markers'!$B$24,I658&lt;'Read Me &amp; Markers'!$B$18,J658&gt;='Read Me &amp; Markers'!$B$25,L658&gt;='Read Me &amp; Markers'!$B$26),"D. Promising (needs more spend)",""))))</f>
        <v/>
      </c>
      <c r="C658" s="4" t="s">
        <v>121</v>
      </c>
      <c r="D658" s="4" t="s">
        <v>100</v>
      </c>
      <c r="E658" s="4" t="s">
        <v>462</v>
      </c>
      <c r="F658" s="4" t="s">
        <v>87</v>
      </c>
      <c r="G658" s="4" t="s">
        <v>208</v>
      </c>
      <c r="H658" s="4" t="s">
        <v>2327</v>
      </c>
      <c r="I658" s="5" t="n">
        <v>17.37</v>
      </c>
      <c r="J658" s="7" t="n">
        <v>1</v>
      </c>
      <c r="K658" s="5" t="n">
        <v>45.95</v>
      </c>
      <c r="L658" s="8" t="n">
        <v>2.645366</v>
      </c>
      <c r="M658" s="9" t="n">
        <v>17.37</v>
      </c>
      <c r="N658" s="10" t="n">
        <v>0.05181347</v>
      </c>
      <c r="O658" s="5" t="n">
        <v>90</v>
      </c>
      <c r="P658" s="11" t="n">
        <v>1.229299</v>
      </c>
      <c r="Q658" s="7" t="n">
        <v>193</v>
      </c>
      <c r="R658" s="7" t="n">
        <v>10</v>
      </c>
      <c r="S658" s="7" t="n">
        <v>1</v>
      </c>
      <c r="T658" s="7" t="n">
        <v>1</v>
      </c>
      <c r="U658" s="7" t="n">
        <v>177</v>
      </c>
      <c r="V658" s="7" t="n">
        <v>22</v>
      </c>
    </row>
    <row r="659" customFormat="false" ht="15" hidden="false" customHeight="false" outlineLevel="0" collapsed="false">
      <c r="A659" s="4" t="s">
        <v>2328</v>
      </c>
      <c r="B659" s="4" t="str">
        <f aca="false">IF(AND(I659&gt;='Read Me &amp; Markers'!$B$18,J659&gt;='Read Me &amp; Markers'!$B$19,L659&gt;='Read Me &amp; Markers'!$B$20),"A. Proven winner",IF(AND(I659&gt;='Read Me &amp; Markers'!$B$18,J659&gt;='Read Me &amp; Markers'!$B$19,L659&gt;='Read Me &amp; Markers'!$B$21),"B. Strong performer",IF(AND(I659&gt;='Read Me &amp; Markers'!$B$22,L659&gt;='Read Me &amp; Markers'!$B$23),"C. Scale workhorse",IF(AND(I659&gt;='Read Me &amp; Markers'!$B$24,I659&lt;'Read Me &amp; Markers'!$B$18,J659&gt;='Read Me &amp; Markers'!$B$25,L659&gt;='Read Me &amp; Markers'!$B$26),"D. Promising (needs more spend)",""))))</f>
        <v/>
      </c>
      <c r="C659" s="4" t="s">
        <v>2329</v>
      </c>
      <c r="D659" s="4" t="s">
        <v>109</v>
      </c>
      <c r="E659" s="4" t="s">
        <v>2330</v>
      </c>
      <c r="F659" s="4" t="s">
        <v>230</v>
      </c>
      <c r="G659" s="4" t="s">
        <v>361</v>
      </c>
      <c r="H659" s="4" t="s">
        <v>2331</v>
      </c>
      <c r="I659" s="5" t="n">
        <v>17.36</v>
      </c>
      <c r="J659" s="7" t="n">
        <v>0</v>
      </c>
      <c r="K659" s="5" t="n">
        <v>0</v>
      </c>
      <c r="L659" s="8" t="n">
        <v>0</v>
      </c>
      <c r="M659" s="9" t="n">
        <v>0</v>
      </c>
      <c r="N659" s="10" t="n">
        <v>0.06081081</v>
      </c>
      <c r="O659" s="5" t="n">
        <v>117.3</v>
      </c>
      <c r="P659" s="11" t="n">
        <v>1.057143</v>
      </c>
      <c r="Q659" s="7" t="n">
        <v>148</v>
      </c>
      <c r="R659" s="7" t="n">
        <v>9</v>
      </c>
      <c r="S659" s="7" t="n">
        <v>1</v>
      </c>
      <c r="T659" s="7" t="n">
        <v>0</v>
      </c>
      <c r="U659" s="7" t="n">
        <v>140</v>
      </c>
      <c r="V659" s="7" t="n">
        <v>31</v>
      </c>
    </row>
    <row r="660" customFormat="false" ht="15" hidden="false" customHeight="false" outlineLevel="0" collapsed="false">
      <c r="A660" s="4" t="s">
        <v>2332</v>
      </c>
      <c r="B660" s="4" t="str">
        <f aca="false">IF(AND(I660&gt;='Read Me &amp; Markers'!$B$18,J660&gt;='Read Me &amp; Markers'!$B$19,L660&gt;='Read Me &amp; Markers'!$B$20),"A. Proven winner",IF(AND(I660&gt;='Read Me &amp; Markers'!$B$18,J660&gt;='Read Me &amp; Markers'!$B$19,L660&gt;='Read Me &amp; Markers'!$B$21),"B. Strong performer",IF(AND(I660&gt;='Read Me &amp; Markers'!$B$22,L660&gt;='Read Me &amp; Markers'!$B$23),"C. Scale workhorse",IF(AND(I660&gt;='Read Me &amp; Markers'!$B$24,I660&lt;'Read Me &amp; Markers'!$B$18,J660&gt;='Read Me &amp; Markers'!$B$25,L660&gt;='Read Me &amp; Markers'!$B$26),"D. Promising (needs more spend)",""))))</f>
        <v/>
      </c>
      <c r="C660" s="4" t="s">
        <v>2333</v>
      </c>
      <c r="D660" s="4" t="s">
        <v>528</v>
      </c>
      <c r="E660" s="4" t="s">
        <v>1805</v>
      </c>
      <c r="F660" s="4" t="s">
        <v>230</v>
      </c>
      <c r="G660" s="4" t="s">
        <v>378</v>
      </c>
      <c r="H660" s="4" t="s">
        <v>2334</v>
      </c>
      <c r="I660" s="5" t="n">
        <v>17.35</v>
      </c>
      <c r="J660" s="7" t="n">
        <v>0</v>
      </c>
      <c r="K660" s="5" t="n">
        <v>0</v>
      </c>
      <c r="L660" s="8" t="n">
        <v>0</v>
      </c>
      <c r="M660" s="9" t="n">
        <v>0</v>
      </c>
      <c r="N660" s="10" t="n">
        <v>0.13333333</v>
      </c>
      <c r="O660" s="5" t="n">
        <v>192.78</v>
      </c>
      <c r="P660" s="11" t="n">
        <v>1.097561</v>
      </c>
      <c r="Q660" s="7" t="n">
        <v>90</v>
      </c>
      <c r="R660" s="7" t="n">
        <v>12</v>
      </c>
      <c r="S660" s="7" t="n">
        <v>0</v>
      </c>
      <c r="T660" s="7" t="n">
        <v>0</v>
      </c>
      <c r="U660" s="7" t="n">
        <v>79</v>
      </c>
      <c r="V660" s="7" t="n">
        <v>24</v>
      </c>
    </row>
    <row r="661" customFormat="false" ht="15" hidden="false" customHeight="false" outlineLevel="0" collapsed="false">
      <c r="A661" s="4" t="s">
        <v>2335</v>
      </c>
      <c r="B661" s="4" t="str">
        <f aca="false">IF(AND(I661&gt;='Read Me &amp; Markers'!$B$18,J661&gt;='Read Me &amp; Markers'!$B$19,L661&gt;='Read Me &amp; Markers'!$B$20),"A. Proven winner",IF(AND(I661&gt;='Read Me &amp; Markers'!$B$18,J661&gt;='Read Me &amp; Markers'!$B$19,L661&gt;='Read Me &amp; Markers'!$B$21),"B. Strong performer",IF(AND(I661&gt;='Read Me &amp; Markers'!$B$22,L661&gt;='Read Me &amp; Markers'!$B$23),"C. Scale workhorse",IF(AND(I661&gt;='Read Me &amp; Markers'!$B$24,I661&lt;'Read Me &amp; Markers'!$B$18,J661&gt;='Read Me &amp; Markers'!$B$25,L661&gt;='Read Me &amp; Markers'!$B$26),"D. Promising (needs more spend)",""))))</f>
        <v/>
      </c>
      <c r="C661" s="4" t="s">
        <v>2336</v>
      </c>
      <c r="D661" s="4" t="s">
        <v>109</v>
      </c>
      <c r="E661" s="4" t="s">
        <v>482</v>
      </c>
      <c r="F661" s="4" t="s">
        <v>111</v>
      </c>
      <c r="G661" s="4" t="s">
        <v>483</v>
      </c>
      <c r="H661" s="4" t="s">
        <v>2337</v>
      </c>
      <c r="I661" s="5" t="n">
        <v>17.29</v>
      </c>
      <c r="J661" s="7" t="n">
        <v>0</v>
      </c>
      <c r="K661" s="5" t="n">
        <v>0</v>
      </c>
      <c r="L661" s="8" t="n">
        <v>0</v>
      </c>
      <c r="M661" s="9" t="n">
        <v>0</v>
      </c>
      <c r="N661" s="10" t="n">
        <v>0.09302326</v>
      </c>
      <c r="O661" s="5" t="n">
        <v>201.05</v>
      </c>
      <c r="P661" s="11" t="n">
        <v>1.211268</v>
      </c>
      <c r="Q661" s="7" t="n">
        <v>86</v>
      </c>
      <c r="R661" s="7" t="n">
        <v>8</v>
      </c>
      <c r="S661" s="7" t="n">
        <v>1</v>
      </c>
      <c r="T661" s="7" t="n">
        <v>0</v>
      </c>
      <c r="U661" s="7" t="n">
        <v>80</v>
      </c>
      <c r="V661" s="7" t="n">
        <v>22</v>
      </c>
    </row>
    <row r="662" customFormat="false" ht="15" hidden="false" customHeight="false" outlineLevel="0" collapsed="false">
      <c r="A662" s="4" t="s">
        <v>2338</v>
      </c>
      <c r="B662" s="4" t="str">
        <f aca="false">IF(AND(I662&gt;='Read Me &amp; Markers'!$B$18,J662&gt;='Read Me &amp; Markers'!$B$19,L662&gt;='Read Me &amp; Markers'!$B$20),"A. Proven winner",IF(AND(I662&gt;='Read Me &amp; Markers'!$B$18,J662&gt;='Read Me &amp; Markers'!$B$19,L662&gt;='Read Me &amp; Markers'!$B$21),"B. Strong performer",IF(AND(I662&gt;='Read Me &amp; Markers'!$B$22,L662&gt;='Read Me &amp; Markers'!$B$23),"C. Scale workhorse",IF(AND(I662&gt;='Read Me &amp; Markers'!$B$24,I662&lt;'Read Me &amp; Markers'!$B$18,J662&gt;='Read Me &amp; Markers'!$B$25,L662&gt;='Read Me &amp; Markers'!$B$26),"D. Promising (needs more spend)",""))))</f>
        <v/>
      </c>
      <c r="C662" s="4" t="s">
        <v>2339</v>
      </c>
      <c r="D662" s="4" t="s">
        <v>109</v>
      </c>
      <c r="E662" s="4" t="s">
        <v>424</v>
      </c>
      <c r="F662" s="4" t="s">
        <v>430</v>
      </c>
      <c r="G662" s="4" t="s">
        <v>425</v>
      </c>
      <c r="H662" s="4" t="s">
        <v>2340</v>
      </c>
      <c r="I662" s="5" t="n">
        <v>16.92</v>
      </c>
      <c r="J662" s="7" t="n">
        <v>0</v>
      </c>
      <c r="K662" s="5" t="n">
        <v>0</v>
      </c>
      <c r="L662" s="8" t="n">
        <v>0</v>
      </c>
      <c r="M662" s="9" t="n">
        <v>0</v>
      </c>
      <c r="N662" s="10" t="n">
        <v>0.02547771</v>
      </c>
      <c r="O662" s="5" t="n">
        <v>107.77</v>
      </c>
      <c r="P662" s="11" t="n">
        <v>1.097902</v>
      </c>
      <c r="Q662" s="7" t="n">
        <v>157</v>
      </c>
      <c r="R662" s="7" t="n">
        <v>4</v>
      </c>
      <c r="S662" s="7" t="n">
        <v>1</v>
      </c>
      <c r="T662" s="7" t="n">
        <v>2</v>
      </c>
      <c r="U662" s="7" t="n">
        <v>152</v>
      </c>
      <c r="V662" s="7" t="n">
        <v>27</v>
      </c>
    </row>
    <row r="663" customFormat="false" ht="15" hidden="false" customHeight="false" outlineLevel="0" collapsed="false">
      <c r="A663" s="4" t="s">
        <v>2341</v>
      </c>
      <c r="B663" s="4" t="str">
        <f aca="false">IF(AND(I663&gt;='Read Me &amp; Markers'!$B$18,J663&gt;='Read Me &amp; Markers'!$B$19,L663&gt;='Read Me &amp; Markers'!$B$20),"A. Proven winner",IF(AND(I663&gt;='Read Me &amp; Markers'!$B$18,J663&gt;='Read Me &amp; Markers'!$B$19,L663&gt;='Read Me &amp; Markers'!$B$21),"B. Strong performer",IF(AND(I663&gt;='Read Me &amp; Markers'!$B$22,L663&gt;='Read Me &amp; Markers'!$B$23),"C. Scale workhorse",IF(AND(I663&gt;='Read Me &amp; Markers'!$B$24,I663&lt;'Read Me &amp; Markers'!$B$18,J663&gt;='Read Me &amp; Markers'!$B$25,L663&gt;='Read Me &amp; Markers'!$B$26),"D. Promising (needs more spend)",""))))</f>
        <v/>
      </c>
      <c r="C663" s="4" t="s">
        <v>121</v>
      </c>
      <c r="D663" s="4" t="s">
        <v>100</v>
      </c>
      <c r="E663" s="4" t="s">
        <v>795</v>
      </c>
      <c r="F663" s="4" t="s">
        <v>87</v>
      </c>
      <c r="G663" s="4" t="s">
        <v>538</v>
      </c>
      <c r="H663" s="4" t="s">
        <v>2342</v>
      </c>
      <c r="I663" s="5" t="n">
        <v>16.84</v>
      </c>
      <c r="J663" s="7" t="n">
        <v>0</v>
      </c>
      <c r="K663" s="5" t="n">
        <v>0</v>
      </c>
      <c r="L663" s="8" t="n">
        <v>0</v>
      </c>
      <c r="M663" s="9" t="n">
        <v>0</v>
      </c>
      <c r="N663" s="10" t="n">
        <v>0.02898551</v>
      </c>
      <c r="O663" s="5" t="n">
        <v>122.03</v>
      </c>
      <c r="P663" s="11" t="n">
        <v>1.007299</v>
      </c>
      <c r="Q663" s="7" t="n">
        <v>138</v>
      </c>
      <c r="R663" s="7" t="n">
        <v>4</v>
      </c>
      <c r="S663" s="7" t="n">
        <v>0</v>
      </c>
      <c r="T663" s="7" t="n">
        <v>0</v>
      </c>
      <c r="U663" s="7" t="n">
        <v>123</v>
      </c>
      <c r="V663" s="7" t="n">
        <v>24</v>
      </c>
    </row>
    <row r="664" customFormat="false" ht="15" hidden="false" customHeight="false" outlineLevel="0" collapsed="false">
      <c r="A664" s="4" t="s">
        <v>2343</v>
      </c>
      <c r="B664" s="4" t="str">
        <f aca="false">IF(AND(I664&gt;='Read Me &amp; Markers'!$B$18,J664&gt;='Read Me &amp; Markers'!$B$19,L664&gt;='Read Me &amp; Markers'!$B$20),"A. Proven winner",IF(AND(I664&gt;='Read Me &amp; Markers'!$B$18,J664&gt;='Read Me &amp; Markers'!$B$19,L664&gt;='Read Me &amp; Markers'!$B$21),"B. Strong performer",IF(AND(I664&gt;='Read Me &amp; Markers'!$B$22,L664&gt;='Read Me &amp; Markers'!$B$23),"C. Scale workhorse",IF(AND(I664&gt;='Read Me &amp; Markers'!$B$24,I664&lt;'Read Me &amp; Markers'!$B$18,J664&gt;='Read Me &amp; Markers'!$B$25,L664&gt;='Read Me &amp; Markers'!$B$26),"D. Promising (needs more spend)",""))))</f>
        <v/>
      </c>
      <c r="C664" s="4" t="s">
        <v>169</v>
      </c>
      <c r="D664" s="4" t="s">
        <v>100</v>
      </c>
      <c r="E664" s="4" t="s">
        <v>101</v>
      </c>
      <c r="F664" s="4" t="s">
        <v>87</v>
      </c>
      <c r="G664" s="4" t="s">
        <v>102</v>
      </c>
      <c r="H664" s="4" t="s">
        <v>2344</v>
      </c>
      <c r="I664" s="5" t="n">
        <v>16.79</v>
      </c>
      <c r="J664" s="7" t="n">
        <v>1</v>
      </c>
      <c r="K664" s="5" t="n">
        <v>99.98</v>
      </c>
      <c r="L664" s="8" t="n">
        <v>5.954735</v>
      </c>
      <c r="M664" s="9" t="n">
        <v>16.79</v>
      </c>
      <c r="N664" s="10" t="n">
        <v>0.056</v>
      </c>
      <c r="O664" s="5" t="n">
        <v>134.32</v>
      </c>
      <c r="P664" s="11" t="n">
        <v>1.157407</v>
      </c>
      <c r="Q664" s="7" t="n">
        <v>125</v>
      </c>
      <c r="R664" s="7" t="n">
        <v>7</v>
      </c>
      <c r="S664" s="7" t="n">
        <v>2</v>
      </c>
      <c r="T664" s="7" t="n">
        <v>2</v>
      </c>
      <c r="U664" s="7" t="n">
        <v>116</v>
      </c>
      <c r="V664" s="7" t="n">
        <v>9</v>
      </c>
    </row>
    <row r="665" customFormat="false" ht="15" hidden="false" customHeight="false" outlineLevel="0" collapsed="false">
      <c r="A665" s="4" t="s">
        <v>2345</v>
      </c>
      <c r="B665" s="4" t="str">
        <f aca="false">IF(AND(I665&gt;='Read Me &amp; Markers'!$B$18,J665&gt;='Read Me &amp; Markers'!$B$19,L665&gt;='Read Me &amp; Markers'!$B$20),"A. Proven winner",IF(AND(I665&gt;='Read Me &amp; Markers'!$B$18,J665&gt;='Read Me &amp; Markers'!$B$19,L665&gt;='Read Me &amp; Markers'!$B$21),"B. Strong performer",IF(AND(I665&gt;='Read Me &amp; Markers'!$B$22,L665&gt;='Read Me &amp; Markers'!$B$23),"C. Scale workhorse",IF(AND(I665&gt;='Read Me &amp; Markers'!$B$24,I665&lt;'Read Me &amp; Markers'!$B$18,J665&gt;='Read Me &amp; Markers'!$B$25,L665&gt;='Read Me &amp; Markers'!$B$26),"D. Promising (needs more spend)",""))))</f>
        <v/>
      </c>
      <c r="C665" s="4" t="s">
        <v>121</v>
      </c>
      <c r="D665" s="4" t="s">
        <v>154</v>
      </c>
      <c r="E665" s="4" t="s">
        <v>2346</v>
      </c>
      <c r="F665" s="4" t="s">
        <v>253</v>
      </c>
      <c r="G665" s="4" t="s">
        <v>142</v>
      </c>
      <c r="H665" s="4" t="s">
        <v>2347</v>
      </c>
      <c r="I665" s="5" t="n">
        <v>16.76</v>
      </c>
      <c r="J665" s="7" t="n">
        <v>0</v>
      </c>
      <c r="K665" s="5" t="n">
        <v>0</v>
      </c>
      <c r="L665" s="8" t="n">
        <v>0</v>
      </c>
      <c r="M665" s="9" t="n">
        <v>0</v>
      </c>
      <c r="N665" s="10" t="n">
        <v>0.01754386</v>
      </c>
      <c r="O665" s="5" t="n">
        <v>49.01</v>
      </c>
      <c r="P665" s="11" t="n">
        <v>1.413223</v>
      </c>
      <c r="Q665" s="7" t="n">
        <v>342</v>
      </c>
      <c r="R665" s="7" t="n">
        <v>6</v>
      </c>
      <c r="S665" s="7" t="n">
        <v>0</v>
      </c>
      <c r="T665" s="7" t="n">
        <v>0</v>
      </c>
      <c r="U665" s="7" t="n">
        <v>207</v>
      </c>
      <c r="V665" s="7" t="n">
        <v>15</v>
      </c>
    </row>
    <row r="666" customFormat="false" ht="15" hidden="false" customHeight="false" outlineLevel="0" collapsed="false">
      <c r="A666" s="4" t="s">
        <v>2348</v>
      </c>
      <c r="B666" s="4" t="str">
        <f aca="false">IF(AND(I666&gt;='Read Me &amp; Markers'!$B$18,J666&gt;='Read Me &amp; Markers'!$B$19,L666&gt;='Read Me &amp; Markers'!$B$20),"A. Proven winner",IF(AND(I666&gt;='Read Me &amp; Markers'!$B$18,J666&gt;='Read Me &amp; Markers'!$B$19,L666&gt;='Read Me &amp; Markers'!$B$21),"B. Strong performer",IF(AND(I666&gt;='Read Me &amp; Markers'!$B$22,L666&gt;='Read Me &amp; Markers'!$B$23),"C. Scale workhorse",IF(AND(I666&gt;='Read Me &amp; Markers'!$B$24,I666&lt;'Read Me &amp; Markers'!$B$18,J666&gt;='Read Me &amp; Markers'!$B$25,L666&gt;='Read Me &amp; Markers'!$B$26),"D. Promising (needs more spend)",""))))</f>
        <v/>
      </c>
      <c r="C666" s="4" t="s">
        <v>121</v>
      </c>
      <c r="D666" s="4" t="s">
        <v>100</v>
      </c>
      <c r="E666" s="4" t="s">
        <v>2267</v>
      </c>
      <c r="F666" s="4" t="s">
        <v>172</v>
      </c>
      <c r="G666" s="4" t="s">
        <v>623</v>
      </c>
      <c r="H666" s="4" t="s">
        <v>2349</v>
      </c>
      <c r="I666" s="5" t="n">
        <v>16.55</v>
      </c>
      <c r="J666" s="7" t="n">
        <v>0</v>
      </c>
      <c r="K666" s="5" t="n">
        <v>0</v>
      </c>
      <c r="L666" s="8" t="n">
        <v>0</v>
      </c>
      <c r="M666" s="9" t="n">
        <v>0</v>
      </c>
      <c r="N666" s="10" t="n">
        <v>0.04255319</v>
      </c>
      <c r="O666" s="5" t="n">
        <v>117.38</v>
      </c>
      <c r="P666" s="11" t="n">
        <v>1.068182</v>
      </c>
      <c r="Q666" s="7" t="n">
        <v>141</v>
      </c>
      <c r="R666" s="7" t="n">
        <v>6</v>
      </c>
      <c r="S666" s="7" t="n">
        <v>0</v>
      </c>
      <c r="T666" s="7" t="n">
        <v>0</v>
      </c>
      <c r="U666" s="7" t="n">
        <v>125</v>
      </c>
      <c r="V666" s="7" t="n">
        <v>17</v>
      </c>
    </row>
    <row r="667" customFormat="false" ht="15" hidden="false" customHeight="false" outlineLevel="0" collapsed="false">
      <c r="A667" s="4" t="s">
        <v>2350</v>
      </c>
      <c r="B667" s="4" t="str">
        <f aca="false">IF(AND(I667&gt;='Read Me &amp; Markers'!$B$18,J667&gt;='Read Me &amp; Markers'!$B$19,L667&gt;='Read Me &amp; Markers'!$B$20),"A. Proven winner",IF(AND(I667&gt;='Read Me &amp; Markers'!$B$18,J667&gt;='Read Me &amp; Markers'!$B$19,L667&gt;='Read Me &amp; Markers'!$B$21),"B. Strong performer",IF(AND(I667&gt;='Read Me &amp; Markers'!$B$22,L667&gt;='Read Me &amp; Markers'!$B$23),"C. Scale workhorse",IF(AND(I667&gt;='Read Me &amp; Markers'!$B$24,I667&lt;'Read Me &amp; Markers'!$B$18,J667&gt;='Read Me &amp; Markers'!$B$25,L667&gt;='Read Me &amp; Markers'!$B$26),"D. Promising (needs more spend)",""))))</f>
        <v/>
      </c>
      <c r="C667" s="4" t="s">
        <v>2351</v>
      </c>
      <c r="D667" s="4" t="s">
        <v>109</v>
      </c>
      <c r="E667" s="4" t="s">
        <v>482</v>
      </c>
      <c r="F667" s="4" t="s">
        <v>87</v>
      </c>
      <c r="G667" s="4" t="s">
        <v>483</v>
      </c>
      <c r="H667" s="4" t="s">
        <v>2352</v>
      </c>
      <c r="I667" s="5" t="n">
        <v>16.46</v>
      </c>
      <c r="J667" s="7" t="n">
        <v>1</v>
      </c>
      <c r="K667" s="5" t="n">
        <v>35.96</v>
      </c>
      <c r="L667" s="8" t="n">
        <v>2.18469</v>
      </c>
      <c r="M667" s="9" t="n">
        <v>16.46</v>
      </c>
      <c r="N667" s="10" t="n">
        <v>0.00816327</v>
      </c>
      <c r="O667" s="5" t="n">
        <v>33.59</v>
      </c>
      <c r="P667" s="11" t="n">
        <v>1.404011</v>
      </c>
      <c r="Q667" s="7" t="n">
        <v>490</v>
      </c>
      <c r="R667" s="7" t="n">
        <v>4</v>
      </c>
      <c r="S667" s="7" t="n">
        <v>4</v>
      </c>
      <c r="T667" s="7" t="n">
        <v>2</v>
      </c>
      <c r="U667" s="7" t="n">
        <v>3</v>
      </c>
      <c r="V667" s="7" t="n">
        <v>1</v>
      </c>
    </row>
    <row r="668" customFormat="false" ht="15" hidden="false" customHeight="false" outlineLevel="0" collapsed="false">
      <c r="A668" s="4" t="s">
        <v>2353</v>
      </c>
      <c r="B668" s="4" t="str">
        <f aca="false">IF(AND(I668&gt;='Read Me &amp; Markers'!$B$18,J668&gt;='Read Me &amp; Markers'!$B$19,L668&gt;='Read Me &amp; Markers'!$B$20),"A. Proven winner",IF(AND(I668&gt;='Read Me &amp; Markers'!$B$18,J668&gt;='Read Me &amp; Markers'!$B$19,L668&gt;='Read Me &amp; Markers'!$B$21),"B. Strong performer",IF(AND(I668&gt;='Read Me &amp; Markers'!$B$22,L668&gt;='Read Me &amp; Markers'!$B$23),"C. Scale workhorse",IF(AND(I668&gt;='Read Me &amp; Markers'!$B$24,I668&lt;'Read Me &amp; Markers'!$B$18,J668&gt;='Read Me &amp; Markers'!$B$25,L668&gt;='Read Me &amp; Markers'!$B$26),"D. Promising (needs more spend)",""))))</f>
        <v/>
      </c>
      <c r="C668" s="4" t="s">
        <v>169</v>
      </c>
      <c r="D668" s="4" t="s">
        <v>100</v>
      </c>
      <c r="E668" s="4" t="s">
        <v>2354</v>
      </c>
      <c r="F668" s="4" t="s">
        <v>87</v>
      </c>
      <c r="G668" s="4" t="s">
        <v>2355</v>
      </c>
      <c r="H668" s="4" t="s">
        <v>2356</v>
      </c>
      <c r="I668" s="5" t="n">
        <v>16.29</v>
      </c>
      <c r="J668" s="7" t="n">
        <v>0</v>
      </c>
      <c r="K668" s="5" t="n">
        <v>0</v>
      </c>
      <c r="L668" s="8" t="n">
        <v>0</v>
      </c>
      <c r="M668" s="9" t="n">
        <v>0</v>
      </c>
      <c r="N668" s="10" t="n">
        <v>0.05625</v>
      </c>
      <c r="O668" s="5" t="n">
        <v>101.81</v>
      </c>
      <c r="P668" s="11" t="n">
        <v>1.203008</v>
      </c>
      <c r="Q668" s="7" t="n">
        <v>160</v>
      </c>
      <c r="R668" s="7" t="n">
        <v>9</v>
      </c>
      <c r="S668" s="7" t="n">
        <v>2</v>
      </c>
      <c r="T668" s="7" t="n">
        <v>2</v>
      </c>
      <c r="U668" s="7" t="n">
        <v>125</v>
      </c>
      <c r="V668" s="7" t="n">
        <v>18</v>
      </c>
    </row>
    <row r="669" customFormat="false" ht="15" hidden="false" customHeight="false" outlineLevel="0" collapsed="false">
      <c r="A669" s="4" t="s">
        <v>2357</v>
      </c>
      <c r="B669" s="4" t="str">
        <f aca="false">IF(AND(I669&gt;='Read Me &amp; Markers'!$B$18,J669&gt;='Read Me &amp; Markers'!$B$19,L669&gt;='Read Me &amp; Markers'!$B$20),"A. Proven winner",IF(AND(I669&gt;='Read Me &amp; Markers'!$B$18,J669&gt;='Read Me &amp; Markers'!$B$19,L669&gt;='Read Me &amp; Markers'!$B$21),"B. Strong performer",IF(AND(I669&gt;='Read Me &amp; Markers'!$B$22,L669&gt;='Read Me &amp; Markers'!$B$23),"C. Scale workhorse",IF(AND(I669&gt;='Read Me &amp; Markers'!$B$24,I669&lt;'Read Me &amp; Markers'!$B$18,J669&gt;='Read Me &amp; Markers'!$B$25,L669&gt;='Read Me &amp; Markers'!$B$26),"D. Promising (needs more spend)",""))))</f>
        <v/>
      </c>
      <c r="C669" s="4" t="s">
        <v>169</v>
      </c>
      <c r="D669" s="4" t="s">
        <v>100</v>
      </c>
      <c r="E669" s="4" t="s">
        <v>2358</v>
      </c>
      <c r="F669" s="4" t="s">
        <v>87</v>
      </c>
      <c r="G669" s="4" t="s">
        <v>2355</v>
      </c>
      <c r="H669" s="4" t="s">
        <v>2359</v>
      </c>
      <c r="I669" s="5" t="n">
        <v>15.85</v>
      </c>
      <c r="J669" s="7" t="n">
        <v>0</v>
      </c>
      <c r="K669" s="5" t="n">
        <v>0</v>
      </c>
      <c r="L669" s="8" t="n">
        <v>0</v>
      </c>
      <c r="M669" s="9" t="n">
        <v>0</v>
      </c>
      <c r="N669" s="10" t="n">
        <v>0.0199115</v>
      </c>
      <c r="O669" s="5" t="n">
        <v>35.07</v>
      </c>
      <c r="P669" s="11" t="n">
        <v>1.637681</v>
      </c>
      <c r="Q669" s="7" t="n">
        <v>452</v>
      </c>
      <c r="R669" s="7" t="n">
        <v>9</v>
      </c>
      <c r="S669" s="7" t="n">
        <v>0</v>
      </c>
      <c r="T669" s="7" t="n">
        <v>0</v>
      </c>
      <c r="U669" s="7" t="n">
        <v>234</v>
      </c>
      <c r="V669" s="7" t="n">
        <v>24</v>
      </c>
    </row>
    <row r="670" customFormat="false" ht="15" hidden="false" customHeight="false" outlineLevel="0" collapsed="false">
      <c r="A670" s="4" t="s">
        <v>2360</v>
      </c>
      <c r="B670" s="4" t="str">
        <f aca="false">IF(AND(I670&gt;='Read Me &amp; Markers'!$B$18,J670&gt;='Read Me &amp; Markers'!$B$19,L670&gt;='Read Me &amp; Markers'!$B$20),"A. Proven winner",IF(AND(I670&gt;='Read Me &amp; Markers'!$B$18,J670&gt;='Read Me &amp; Markers'!$B$19,L670&gt;='Read Me &amp; Markers'!$B$21),"B. Strong performer",IF(AND(I670&gt;='Read Me &amp; Markers'!$B$22,L670&gt;='Read Me &amp; Markers'!$B$23),"C. Scale workhorse",IF(AND(I670&gt;='Read Me &amp; Markers'!$B$24,I670&lt;'Read Me &amp; Markers'!$B$18,J670&gt;='Read Me &amp; Markers'!$B$25,L670&gt;='Read Me &amp; Markers'!$B$26),"D. Promising (needs more spend)",""))))</f>
        <v/>
      </c>
      <c r="C670" s="4" t="s">
        <v>121</v>
      </c>
      <c r="D670" s="4" t="s">
        <v>100</v>
      </c>
      <c r="E670" s="4" t="s">
        <v>2361</v>
      </c>
      <c r="F670" s="4" t="s">
        <v>230</v>
      </c>
      <c r="G670" s="4" t="s">
        <v>623</v>
      </c>
      <c r="H670" s="4" t="s">
        <v>2362</v>
      </c>
      <c r="I670" s="5" t="n">
        <v>15.72</v>
      </c>
      <c r="J670" s="7" t="n">
        <v>0</v>
      </c>
      <c r="K670" s="5" t="n">
        <v>0</v>
      </c>
      <c r="L670" s="8" t="n">
        <v>0</v>
      </c>
      <c r="M670" s="9" t="n">
        <v>0</v>
      </c>
      <c r="N670" s="10" t="n">
        <v>0.02325581</v>
      </c>
      <c r="O670" s="5" t="n">
        <v>91.4</v>
      </c>
      <c r="P670" s="11" t="n">
        <v>1.042424</v>
      </c>
      <c r="Q670" s="7" t="n">
        <v>172</v>
      </c>
      <c r="R670" s="7" t="n">
        <v>4</v>
      </c>
      <c r="S670" s="7" t="n">
        <v>1</v>
      </c>
      <c r="T670" s="7" t="n">
        <v>1</v>
      </c>
      <c r="U670" s="7" t="n">
        <v>157</v>
      </c>
      <c r="V670" s="7" t="n">
        <v>26</v>
      </c>
    </row>
    <row r="671" customFormat="false" ht="15" hidden="false" customHeight="false" outlineLevel="0" collapsed="false">
      <c r="A671" s="4" t="s">
        <v>2363</v>
      </c>
      <c r="B671" s="4" t="str">
        <f aca="false">IF(AND(I671&gt;='Read Me &amp; Markers'!$B$18,J671&gt;='Read Me &amp; Markers'!$B$19,L671&gt;='Read Me &amp; Markers'!$B$20),"A. Proven winner",IF(AND(I671&gt;='Read Me &amp; Markers'!$B$18,J671&gt;='Read Me &amp; Markers'!$B$19,L671&gt;='Read Me &amp; Markers'!$B$21),"B. Strong performer",IF(AND(I671&gt;='Read Me &amp; Markers'!$B$22,L671&gt;='Read Me &amp; Markers'!$B$23),"C. Scale workhorse",IF(AND(I671&gt;='Read Me &amp; Markers'!$B$24,I671&lt;'Read Me &amp; Markers'!$B$18,J671&gt;='Read Me &amp; Markers'!$B$25,L671&gt;='Read Me &amp; Markers'!$B$26),"D. Promising (needs more spend)",""))))</f>
        <v/>
      </c>
      <c r="C671" s="4" t="s">
        <v>693</v>
      </c>
      <c r="D671" s="4" t="s">
        <v>154</v>
      </c>
      <c r="E671" s="4" t="s">
        <v>2364</v>
      </c>
      <c r="F671" s="4" t="s">
        <v>253</v>
      </c>
      <c r="G671" s="4" t="s">
        <v>695</v>
      </c>
      <c r="H671" s="4" t="s">
        <v>2365</v>
      </c>
      <c r="I671" s="5" t="n">
        <v>15.62</v>
      </c>
      <c r="J671" s="7" t="n">
        <v>0</v>
      </c>
      <c r="K671" s="5" t="n">
        <v>0</v>
      </c>
      <c r="L671" s="8" t="n">
        <v>0</v>
      </c>
      <c r="M671" s="9" t="n">
        <v>0</v>
      </c>
      <c r="N671" s="10" t="n">
        <v>0.04</v>
      </c>
      <c r="O671" s="5" t="n">
        <v>69.42</v>
      </c>
      <c r="P671" s="11" t="n">
        <v>1.236264</v>
      </c>
      <c r="Q671" s="7" t="n">
        <v>225</v>
      </c>
      <c r="R671" s="7" t="n">
        <v>9</v>
      </c>
      <c r="S671" s="7" t="n">
        <v>1</v>
      </c>
      <c r="T671" s="7" t="n">
        <v>1</v>
      </c>
      <c r="U671" s="7" t="n">
        <v>158</v>
      </c>
      <c r="V671" s="7" t="n">
        <v>8</v>
      </c>
    </row>
    <row r="672" customFormat="false" ht="15" hidden="false" customHeight="false" outlineLevel="0" collapsed="false">
      <c r="A672" s="4" t="s">
        <v>2366</v>
      </c>
      <c r="B672" s="4" t="str">
        <f aca="false">IF(AND(I672&gt;='Read Me &amp; Markers'!$B$18,J672&gt;='Read Me &amp; Markers'!$B$19,L672&gt;='Read Me &amp; Markers'!$B$20),"A. Proven winner",IF(AND(I672&gt;='Read Me &amp; Markers'!$B$18,J672&gt;='Read Me &amp; Markers'!$B$19,L672&gt;='Read Me &amp; Markers'!$B$21),"B. Strong performer",IF(AND(I672&gt;='Read Me &amp; Markers'!$B$22,L672&gt;='Read Me &amp; Markers'!$B$23),"C. Scale workhorse",IF(AND(I672&gt;='Read Me &amp; Markers'!$B$24,I672&lt;'Read Me &amp; Markers'!$B$18,J672&gt;='Read Me &amp; Markers'!$B$25,L672&gt;='Read Me &amp; Markers'!$B$26),"D. Promising (needs more spend)",""))))</f>
        <v/>
      </c>
      <c r="C672" s="4" t="s">
        <v>169</v>
      </c>
      <c r="D672" s="4" t="s">
        <v>100</v>
      </c>
      <c r="E672" s="4" t="s">
        <v>1929</v>
      </c>
      <c r="F672" s="4" t="s">
        <v>87</v>
      </c>
      <c r="G672" s="4" t="s">
        <v>623</v>
      </c>
      <c r="H672" s="4" t="s">
        <v>2367</v>
      </c>
      <c r="I672" s="5" t="n">
        <v>15.48</v>
      </c>
      <c r="J672" s="7" t="n">
        <v>0</v>
      </c>
      <c r="K672" s="5" t="n">
        <v>0</v>
      </c>
      <c r="L672" s="8" t="n">
        <v>0</v>
      </c>
      <c r="M672" s="9" t="n">
        <v>0</v>
      </c>
      <c r="N672" s="10" t="n">
        <v>0.08108108</v>
      </c>
      <c r="O672" s="5" t="n">
        <v>139.46</v>
      </c>
      <c r="P672" s="11" t="n">
        <v>1.027778</v>
      </c>
      <c r="Q672" s="7" t="n">
        <v>111</v>
      </c>
      <c r="R672" s="7" t="n">
        <v>9</v>
      </c>
      <c r="S672" s="7" t="n">
        <v>0</v>
      </c>
      <c r="T672" s="7" t="n">
        <v>0</v>
      </c>
      <c r="U672" s="7" t="n">
        <v>105</v>
      </c>
      <c r="V672" s="7" t="n">
        <v>12</v>
      </c>
    </row>
    <row r="673" customFormat="false" ht="15" hidden="false" customHeight="false" outlineLevel="0" collapsed="false">
      <c r="A673" s="4" t="s">
        <v>2368</v>
      </c>
      <c r="B673" s="4" t="str">
        <f aca="false">IF(AND(I673&gt;='Read Me &amp; Markers'!$B$18,J673&gt;='Read Me &amp; Markers'!$B$19,L673&gt;='Read Me &amp; Markers'!$B$20),"A. Proven winner",IF(AND(I673&gt;='Read Me &amp; Markers'!$B$18,J673&gt;='Read Me &amp; Markers'!$B$19,L673&gt;='Read Me &amp; Markers'!$B$21),"B. Strong performer",IF(AND(I673&gt;='Read Me &amp; Markers'!$B$22,L673&gt;='Read Me &amp; Markers'!$B$23),"C. Scale workhorse",IF(AND(I673&gt;='Read Me &amp; Markers'!$B$24,I673&lt;'Read Me &amp; Markers'!$B$18,J673&gt;='Read Me &amp; Markers'!$B$25,L673&gt;='Read Me &amp; Markers'!$B$26),"D. Promising (needs more spend)",""))))</f>
        <v/>
      </c>
      <c r="C673" s="4" t="s">
        <v>2369</v>
      </c>
      <c r="D673" s="4" t="s">
        <v>109</v>
      </c>
      <c r="E673" s="4" t="s">
        <v>1736</v>
      </c>
      <c r="F673" s="4" t="s">
        <v>111</v>
      </c>
      <c r="G673" s="4" t="s">
        <v>286</v>
      </c>
      <c r="H673" s="4" t="s">
        <v>2370</v>
      </c>
      <c r="I673" s="5" t="n">
        <v>15.45</v>
      </c>
      <c r="J673" s="7" t="n">
        <v>0</v>
      </c>
      <c r="K673" s="5" t="n">
        <v>0</v>
      </c>
      <c r="L673" s="8" t="n">
        <v>0</v>
      </c>
      <c r="M673" s="9" t="n">
        <v>0</v>
      </c>
      <c r="N673" s="10" t="n">
        <v>0.03550296</v>
      </c>
      <c r="O673" s="5" t="n">
        <v>91.42</v>
      </c>
      <c r="P673" s="11" t="n">
        <v>1.165517</v>
      </c>
      <c r="Q673" s="7" t="n">
        <v>169</v>
      </c>
      <c r="R673" s="7" t="n">
        <v>6</v>
      </c>
      <c r="S673" s="7" t="n">
        <v>0</v>
      </c>
      <c r="T673" s="7" t="n">
        <v>0</v>
      </c>
      <c r="U673" s="7" t="n">
        <v>161</v>
      </c>
      <c r="V673" s="7" t="n">
        <v>36</v>
      </c>
    </row>
    <row r="674" customFormat="false" ht="15" hidden="false" customHeight="false" outlineLevel="0" collapsed="false">
      <c r="A674" s="4" t="s">
        <v>2371</v>
      </c>
      <c r="B674" s="4" t="str">
        <f aca="false">IF(AND(I674&gt;='Read Me &amp; Markers'!$B$18,J674&gt;='Read Me &amp; Markers'!$B$19,L674&gt;='Read Me &amp; Markers'!$B$20),"A. Proven winner",IF(AND(I674&gt;='Read Me &amp; Markers'!$B$18,J674&gt;='Read Me &amp; Markers'!$B$19,L674&gt;='Read Me &amp; Markers'!$B$21),"B. Strong performer",IF(AND(I674&gt;='Read Me &amp; Markers'!$B$22,L674&gt;='Read Me &amp; Markers'!$B$23),"C. Scale workhorse",IF(AND(I674&gt;='Read Me &amp; Markers'!$B$24,I674&lt;'Read Me &amp; Markers'!$B$18,J674&gt;='Read Me &amp; Markers'!$B$25,L674&gt;='Read Me &amp; Markers'!$B$26),"D. Promising (needs more spend)",""))))</f>
        <v/>
      </c>
      <c r="C674" s="4" t="s">
        <v>2372</v>
      </c>
      <c r="D674" s="4" t="s">
        <v>109</v>
      </c>
      <c r="E674" s="4" t="s">
        <v>469</v>
      </c>
      <c r="F674" s="4" t="s">
        <v>172</v>
      </c>
      <c r="G674" s="4" t="s">
        <v>470</v>
      </c>
      <c r="H674" s="4" t="s">
        <v>2373</v>
      </c>
      <c r="I674" s="5" t="n">
        <v>15.3</v>
      </c>
      <c r="J674" s="7" t="n">
        <v>0</v>
      </c>
      <c r="K674" s="5" t="n">
        <v>0</v>
      </c>
      <c r="L674" s="8" t="n">
        <v>0</v>
      </c>
      <c r="M674" s="9" t="n">
        <v>0</v>
      </c>
      <c r="N674" s="10" t="n">
        <v>0.01463415</v>
      </c>
      <c r="O674" s="5" t="n">
        <v>74.63</v>
      </c>
      <c r="P674" s="11" t="n">
        <v>1.164773</v>
      </c>
      <c r="Q674" s="7" t="n">
        <v>205</v>
      </c>
      <c r="R674" s="7" t="n">
        <v>3</v>
      </c>
      <c r="S674" s="7" t="n">
        <v>0</v>
      </c>
      <c r="T674" s="7" t="n">
        <v>1</v>
      </c>
      <c r="U674" s="7" t="n">
        <v>0</v>
      </c>
      <c r="V674" s="7" t="n">
        <v>0</v>
      </c>
    </row>
    <row r="675" customFormat="false" ht="15" hidden="false" customHeight="false" outlineLevel="0" collapsed="false">
      <c r="A675" s="4" t="s">
        <v>2374</v>
      </c>
      <c r="B675" s="4" t="str">
        <f aca="false">IF(AND(I675&gt;='Read Me &amp; Markers'!$B$18,J675&gt;='Read Me &amp; Markers'!$B$19,L675&gt;='Read Me &amp; Markers'!$B$20),"A. Proven winner",IF(AND(I675&gt;='Read Me &amp; Markers'!$B$18,J675&gt;='Read Me &amp; Markers'!$B$19,L675&gt;='Read Me &amp; Markers'!$B$21),"B. Strong performer",IF(AND(I675&gt;='Read Me &amp; Markers'!$B$22,L675&gt;='Read Me &amp; Markers'!$B$23),"C. Scale workhorse",IF(AND(I675&gt;='Read Me &amp; Markers'!$B$24,I675&lt;'Read Me &amp; Markers'!$B$18,J675&gt;='Read Me &amp; Markers'!$B$25,L675&gt;='Read Me &amp; Markers'!$B$26),"D. Promising (needs more spend)",""))))</f>
        <v/>
      </c>
      <c r="C675" s="4" t="s">
        <v>2375</v>
      </c>
      <c r="D675" s="4" t="s">
        <v>109</v>
      </c>
      <c r="E675" s="4" t="s">
        <v>2260</v>
      </c>
      <c r="F675" s="4" t="s">
        <v>111</v>
      </c>
      <c r="G675" s="4" t="s">
        <v>286</v>
      </c>
      <c r="H675" s="4" t="s">
        <v>2376</v>
      </c>
      <c r="I675" s="5" t="n">
        <v>14.97</v>
      </c>
      <c r="J675" s="7" t="n">
        <v>0</v>
      </c>
      <c r="K675" s="5" t="n">
        <v>0</v>
      </c>
      <c r="L675" s="8" t="n">
        <v>0</v>
      </c>
      <c r="M675" s="9" t="n">
        <v>0</v>
      </c>
      <c r="N675" s="10" t="n">
        <v>0.02325581</v>
      </c>
      <c r="O675" s="5" t="n">
        <v>58.02</v>
      </c>
      <c r="P675" s="11" t="n">
        <v>1.264706</v>
      </c>
      <c r="Q675" s="7" t="n">
        <v>258</v>
      </c>
      <c r="R675" s="7" t="n">
        <v>6</v>
      </c>
      <c r="S675" s="7" t="n">
        <v>0</v>
      </c>
      <c r="T675" s="7" t="n">
        <v>0</v>
      </c>
      <c r="U675" s="7" t="n">
        <v>3</v>
      </c>
      <c r="V675" s="7" t="n">
        <v>0</v>
      </c>
    </row>
    <row r="676" customFormat="false" ht="15" hidden="false" customHeight="false" outlineLevel="0" collapsed="false">
      <c r="A676" s="4" t="s">
        <v>2377</v>
      </c>
      <c r="B676" s="4" t="str">
        <f aca="false">IF(AND(I676&gt;='Read Me &amp; Markers'!$B$18,J676&gt;='Read Me &amp; Markers'!$B$19,L676&gt;='Read Me &amp; Markers'!$B$20),"A. Proven winner",IF(AND(I676&gt;='Read Me &amp; Markers'!$B$18,J676&gt;='Read Me &amp; Markers'!$B$19,L676&gt;='Read Me &amp; Markers'!$B$21),"B. Strong performer",IF(AND(I676&gt;='Read Me &amp; Markers'!$B$22,L676&gt;='Read Me &amp; Markers'!$B$23),"C. Scale workhorse",IF(AND(I676&gt;='Read Me &amp; Markers'!$B$24,I676&lt;'Read Me &amp; Markers'!$B$18,J676&gt;='Read Me &amp; Markers'!$B$25,L676&gt;='Read Me &amp; Markers'!$B$26),"D. Promising (needs more spend)",""))))</f>
        <v/>
      </c>
      <c r="C676" s="4" t="s">
        <v>2378</v>
      </c>
      <c r="D676" s="4" t="s">
        <v>109</v>
      </c>
      <c r="E676" s="4" t="s">
        <v>469</v>
      </c>
      <c r="F676" s="4" t="s">
        <v>172</v>
      </c>
      <c r="G676" s="4" t="s">
        <v>470</v>
      </c>
      <c r="H676" s="4" t="s">
        <v>2379</v>
      </c>
      <c r="I676" s="5" t="n">
        <v>14.73</v>
      </c>
      <c r="J676" s="7" t="n">
        <v>0</v>
      </c>
      <c r="K676" s="5" t="n">
        <v>0</v>
      </c>
      <c r="L676" s="8" t="n">
        <v>0</v>
      </c>
      <c r="M676" s="9" t="n">
        <v>0</v>
      </c>
      <c r="N676" s="10" t="n">
        <v>0.01754386</v>
      </c>
      <c r="O676" s="5" t="n">
        <v>86.14</v>
      </c>
      <c r="P676" s="11" t="n">
        <v>1.163265</v>
      </c>
      <c r="Q676" s="7" t="n">
        <v>171</v>
      </c>
      <c r="R676" s="7" t="n">
        <v>3</v>
      </c>
      <c r="S676" s="7" t="n">
        <v>0</v>
      </c>
      <c r="T676" s="7" t="n">
        <v>0</v>
      </c>
      <c r="U676" s="7" t="n">
        <v>0</v>
      </c>
      <c r="V676" s="7" t="n">
        <v>0</v>
      </c>
    </row>
    <row r="677" customFormat="false" ht="15" hidden="false" customHeight="false" outlineLevel="0" collapsed="false">
      <c r="A677" s="4" t="s">
        <v>2380</v>
      </c>
      <c r="B677" s="4" t="str">
        <f aca="false">IF(AND(I677&gt;='Read Me &amp; Markers'!$B$18,J677&gt;='Read Me &amp; Markers'!$B$19,L677&gt;='Read Me &amp; Markers'!$B$20),"A. Proven winner",IF(AND(I677&gt;='Read Me &amp; Markers'!$B$18,J677&gt;='Read Me &amp; Markers'!$B$19,L677&gt;='Read Me &amp; Markers'!$B$21),"B. Strong performer",IF(AND(I677&gt;='Read Me &amp; Markers'!$B$22,L677&gt;='Read Me &amp; Markers'!$B$23),"C. Scale workhorse",IF(AND(I677&gt;='Read Me &amp; Markers'!$B$24,I677&lt;'Read Me &amp; Markers'!$B$18,J677&gt;='Read Me &amp; Markers'!$B$25,L677&gt;='Read Me &amp; Markers'!$B$26),"D. Promising (needs more spend)",""))))</f>
        <v/>
      </c>
      <c r="C677" s="4" t="s">
        <v>2381</v>
      </c>
      <c r="D677" s="4" t="s">
        <v>109</v>
      </c>
      <c r="E677" s="4" t="s">
        <v>429</v>
      </c>
      <c r="F677" s="4" t="s">
        <v>111</v>
      </c>
      <c r="G677" s="4" t="s">
        <v>431</v>
      </c>
      <c r="H677" s="4" t="s">
        <v>2382</v>
      </c>
      <c r="I677" s="5" t="n">
        <v>14.72</v>
      </c>
      <c r="J677" s="7" t="n">
        <v>0</v>
      </c>
      <c r="K677" s="5" t="n">
        <v>0</v>
      </c>
      <c r="L677" s="8" t="n">
        <v>0</v>
      </c>
      <c r="M677" s="9" t="n">
        <v>0</v>
      </c>
      <c r="N677" s="10" t="n">
        <v>0.01840491</v>
      </c>
      <c r="O677" s="5" t="n">
        <v>90.31</v>
      </c>
      <c r="P677" s="11" t="n">
        <v>1.07947</v>
      </c>
      <c r="Q677" s="7" t="n">
        <v>163</v>
      </c>
      <c r="R677" s="7" t="n">
        <v>3</v>
      </c>
      <c r="S677" s="7" t="n">
        <v>0</v>
      </c>
      <c r="T677" s="7" t="n">
        <v>0</v>
      </c>
      <c r="U677" s="7" t="n">
        <v>153</v>
      </c>
      <c r="V677" s="7" t="n">
        <v>16</v>
      </c>
    </row>
    <row r="678" customFormat="false" ht="15" hidden="false" customHeight="false" outlineLevel="0" collapsed="false">
      <c r="A678" s="4" t="s">
        <v>2383</v>
      </c>
      <c r="B678" s="4" t="str">
        <f aca="false">IF(AND(I678&gt;='Read Me &amp; Markers'!$B$18,J678&gt;='Read Me &amp; Markers'!$B$19,L678&gt;='Read Me &amp; Markers'!$B$20),"A. Proven winner",IF(AND(I678&gt;='Read Me &amp; Markers'!$B$18,J678&gt;='Read Me &amp; Markers'!$B$19,L678&gt;='Read Me &amp; Markers'!$B$21),"B. Strong performer",IF(AND(I678&gt;='Read Me &amp; Markers'!$B$22,L678&gt;='Read Me &amp; Markers'!$B$23),"C. Scale workhorse",IF(AND(I678&gt;='Read Me &amp; Markers'!$B$24,I678&lt;'Read Me &amp; Markers'!$B$18,J678&gt;='Read Me &amp; Markers'!$B$25,L678&gt;='Read Me &amp; Markers'!$B$26),"D. Promising (needs more spend)",""))))</f>
        <v/>
      </c>
      <c r="C678" s="4" t="s">
        <v>2384</v>
      </c>
      <c r="D678" s="4" t="s">
        <v>109</v>
      </c>
      <c r="E678" s="4" t="s">
        <v>474</v>
      </c>
      <c r="F678" s="4" t="s">
        <v>111</v>
      </c>
      <c r="G678" s="4" t="s">
        <v>475</v>
      </c>
      <c r="H678" s="4" t="s">
        <v>2385</v>
      </c>
      <c r="I678" s="5" t="n">
        <v>14.49</v>
      </c>
      <c r="J678" s="7" t="n">
        <v>0</v>
      </c>
      <c r="K678" s="5" t="n">
        <v>0</v>
      </c>
      <c r="L678" s="8" t="n">
        <v>0</v>
      </c>
      <c r="M678" s="9" t="n">
        <v>0</v>
      </c>
      <c r="N678" s="10" t="n">
        <v>0.01098901</v>
      </c>
      <c r="O678" s="5" t="n">
        <v>79.62</v>
      </c>
      <c r="P678" s="11" t="n">
        <v>1.144654</v>
      </c>
      <c r="Q678" s="7" t="n">
        <v>182</v>
      </c>
      <c r="R678" s="7" t="n">
        <v>2</v>
      </c>
      <c r="S678" s="7" t="n">
        <v>0</v>
      </c>
      <c r="T678" s="7" t="n">
        <v>0</v>
      </c>
      <c r="U678" s="7" t="n">
        <v>0</v>
      </c>
      <c r="V678" s="7" t="n">
        <v>0</v>
      </c>
    </row>
    <row r="679" customFormat="false" ht="15" hidden="false" customHeight="false" outlineLevel="0" collapsed="false">
      <c r="A679" s="4" t="s">
        <v>2386</v>
      </c>
      <c r="B679" s="4" t="str">
        <f aca="false">IF(AND(I679&gt;='Read Me &amp; Markers'!$B$18,J679&gt;='Read Me &amp; Markers'!$B$19,L679&gt;='Read Me &amp; Markers'!$B$20),"A. Proven winner",IF(AND(I679&gt;='Read Me &amp; Markers'!$B$18,J679&gt;='Read Me &amp; Markers'!$B$19,L679&gt;='Read Me &amp; Markers'!$B$21),"B. Strong performer",IF(AND(I679&gt;='Read Me &amp; Markers'!$B$22,L679&gt;='Read Me &amp; Markers'!$B$23),"C. Scale workhorse",IF(AND(I679&gt;='Read Me &amp; Markers'!$B$24,I679&lt;'Read Me &amp; Markers'!$B$18,J679&gt;='Read Me &amp; Markers'!$B$25,L679&gt;='Read Me &amp; Markers'!$B$26),"D. Promising (needs more spend)",""))))</f>
        <v/>
      </c>
      <c r="C679" s="4" t="s">
        <v>169</v>
      </c>
      <c r="D679" s="4" t="s">
        <v>100</v>
      </c>
      <c r="E679" s="4" t="s">
        <v>1426</v>
      </c>
      <c r="F679" s="4" t="s">
        <v>87</v>
      </c>
      <c r="G679" s="4" t="s">
        <v>348</v>
      </c>
      <c r="H679" s="4" t="s">
        <v>2387</v>
      </c>
      <c r="I679" s="5" t="n">
        <v>14.45</v>
      </c>
      <c r="J679" s="7" t="n">
        <v>0</v>
      </c>
      <c r="K679" s="5" t="n">
        <v>0</v>
      </c>
      <c r="L679" s="8" t="n">
        <v>0</v>
      </c>
      <c r="M679" s="9" t="n">
        <v>0</v>
      </c>
      <c r="N679" s="10" t="n">
        <v>0.01140684</v>
      </c>
      <c r="O679" s="5" t="n">
        <v>54.94</v>
      </c>
      <c r="P679" s="11" t="n">
        <v>1.246446</v>
      </c>
      <c r="Q679" s="7" t="n">
        <v>263</v>
      </c>
      <c r="R679" s="7" t="n">
        <v>3</v>
      </c>
      <c r="S679" s="7" t="n">
        <v>0</v>
      </c>
      <c r="T679" s="7" t="n">
        <v>0</v>
      </c>
      <c r="U679" s="7" t="n">
        <v>204</v>
      </c>
      <c r="V679" s="7" t="n">
        <v>23</v>
      </c>
    </row>
    <row r="680" customFormat="false" ht="15" hidden="false" customHeight="false" outlineLevel="0" collapsed="false">
      <c r="A680" s="4" t="s">
        <v>2388</v>
      </c>
      <c r="B680" s="4" t="str">
        <f aca="false">IF(AND(I680&gt;='Read Me &amp; Markers'!$B$18,J680&gt;='Read Me &amp; Markers'!$B$19,L680&gt;='Read Me &amp; Markers'!$B$20),"A. Proven winner",IF(AND(I680&gt;='Read Me &amp; Markers'!$B$18,J680&gt;='Read Me &amp; Markers'!$B$19,L680&gt;='Read Me &amp; Markers'!$B$21),"B. Strong performer",IF(AND(I680&gt;='Read Me &amp; Markers'!$B$22,L680&gt;='Read Me &amp; Markers'!$B$23),"C. Scale workhorse",IF(AND(I680&gt;='Read Me &amp; Markers'!$B$24,I680&lt;'Read Me &amp; Markers'!$B$18,J680&gt;='Read Me &amp; Markers'!$B$25,L680&gt;='Read Me &amp; Markers'!$B$26),"D. Promising (needs more spend)",""))))</f>
        <v/>
      </c>
      <c r="C680" s="4" t="s">
        <v>2389</v>
      </c>
      <c r="D680" s="4" t="s">
        <v>109</v>
      </c>
      <c r="E680" s="4" t="s">
        <v>435</v>
      </c>
      <c r="F680" s="4" t="s">
        <v>111</v>
      </c>
      <c r="G680" s="4" t="s">
        <v>500</v>
      </c>
      <c r="H680" s="4" t="s">
        <v>2390</v>
      </c>
      <c r="I680" s="5" t="n">
        <v>14.32</v>
      </c>
      <c r="J680" s="7" t="n">
        <v>0</v>
      </c>
      <c r="K680" s="5" t="n">
        <v>0</v>
      </c>
      <c r="L680" s="8" t="n">
        <v>0</v>
      </c>
      <c r="M680" s="9" t="n">
        <v>0</v>
      </c>
      <c r="N680" s="10" t="n">
        <v>0.00458716</v>
      </c>
      <c r="O680" s="5" t="n">
        <v>32.84</v>
      </c>
      <c r="P680" s="11" t="n">
        <v>1.535211</v>
      </c>
      <c r="Q680" s="7" t="n">
        <v>436</v>
      </c>
      <c r="R680" s="7" t="n">
        <v>2</v>
      </c>
      <c r="S680" s="7" t="n">
        <v>0</v>
      </c>
      <c r="T680" s="7" t="n">
        <v>0</v>
      </c>
      <c r="U680" s="7" t="n">
        <v>0</v>
      </c>
      <c r="V680" s="7" t="n">
        <v>0</v>
      </c>
    </row>
    <row r="681" customFormat="false" ht="15" hidden="false" customHeight="false" outlineLevel="0" collapsed="false">
      <c r="A681" s="4" t="s">
        <v>2391</v>
      </c>
      <c r="B681" s="4" t="str">
        <f aca="false">IF(AND(I681&gt;='Read Me &amp; Markers'!$B$18,J681&gt;='Read Me &amp; Markers'!$B$19,L681&gt;='Read Me &amp; Markers'!$B$20),"A. Proven winner",IF(AND(I681&gt;='Read Me &amp; Markers'!$B$18,J681&gt;='Read Me &amp; Markers'!$B$19,L681&gt;='Read Me &amp; Markers'!$B$21),"B. Strong performer",IF(AND(I681&gt;='Read Me &amp; Markers'!$B$22,L681&gt;='Read Me &amp; Markers'!$B$23),"C. Scale workhorse",IF(AND(I681&gt;='Read Me &amp; Markers'!$B$24,I681&lt;'Read Me &amp; Markers'!$B$18,J681&gt;='Read Me &amp; Markers'!$B$25,L681&gt;='Read Me &amp; Markers'!$B$26),"D. Promising (needs more spend)",""))))</f>
        <v/>
      </c>
      <c r="C681" s="4" t="s">
        <v>2392</v>
      </c>
      <c r="D681" s="4" t="s">
        <v>109</v>
      </c>
      <c r="E681" s="4" t="s">
        <v>512</v>
      </c>
      <c r="F681" s="4" t="s">
        <v>111</v>
      </c>
      <c r="G681" s="4" t="s">
        <v>490</v>
      </c>
      <c r="H681" s="4" t="s">
        <v>2393</v>
      </c>
      <c r="I681" s="5" t="n">
        <v>14.32</v>
      </c>
      <c r="J681" s="7" t="n">
        <v>0</v>
      </c>
      <c r="K681" s="5" t="n">
        <v>0</v>
      </c>
      <c r="L681" s="8" t="n">
        <v>0</v>
      </c>
      <c r="M681" s="9" t="n">
        <v>0</v>
      </c>
      <c r="N681" s="10" t="n">
        <v>0</v>
      </c>
      <c r="O681" s="5" t="n">
        <v>190.93</v>
      </c>
      <c r="P681" s="11" t="n">
        <v>1.25</v>
      </c>
      <c r="Q681" s="7" t="n">
        <v>75</v>
      </c>
      <c r="R681" s="7" t="n">
        <v>0</v>
      </c>
      <c r="S681" s="7" t="n">
        <v>0</v>
      </c>
      <c r="T681" s="7" t="n">
        <v>0</v>
      </c>
      <c r="U681" s="7" t="n">
        <v>50</v>
      </c>
      <c r="V681" s="7" t="n">
        <v>5</v>
      </c>
    </row>
    <row r="682" customFormat="false" ht="15" hidden="false" customHeight="false" outlineLevel="0" collapsed="false">
      <c r="A682" s="4" t="s">
        <v>2394</v>
      </c>
      <c r="B682" s="4" t="str">
        <f aca="false">IF(AND(I682&gt;='Read Me &amp; Markers'!$B$18,J682&gt;='Read Me &amp; Markers'!$B$19,L682&gt;='Read Me &amp; Markers'!$B$20),"A. Proven winner",IF(AND(I682&gt;='Read Me &amp; Markers'!$B$18,J682&gt;='Read Me &amp; Markers'!$B$19,L682&gt;='Read Me &amp; Markers'!$B$21),"B. Strong performer",IF(AND(I682&gt;='Read Me &amp; Markers'!$B$22,L682&gt;='Read Me &amp; Markers'!$B$23),"C. Scale workhorse",IF(AND(I682&gt;='Read Me &amp; Markers'!$B$24,I682&lt;'Read Me &amp; Markers'!$B$18,J682&gt;='Read Me &amp; Markers'!$B$25,L682&gt;='Read Me &amp; Markers'!$B$26),"D. Promising (needs more spend)",""))))</f>
        <v/>
      </c>
      <c r="C682" s="4" t="s">
        <v>98</v>
      </c>
      <c r="D682" s="4" t="s">
        <v>100</v>
      </c>
      <c r="E682" s="4" t="s">
        <v>1423</v>
      </c>
      <c r="F682" s="4" t="s">
        <v>87</v>
      </c>
      <c r="G682" s="4" t="s">
        <v>310</v>
      </c>
      <c r="H682" s="4" t="s">
        <v>2395</v>
      </c>
      <c r="I682" s="5" t="n">
        <v>14.28</v>
      </c>
      <c r="J682" s="7" t="n">
        <v>0</v>
      </c>
      <c r="K682" s="5" t="n">
        <v>0</v>
      </c>
      <c r="L682" s="8" t="n">
        <v>0</v>
      </c>
      <c r="M682" s="9" t="n">
        <v>0</v>
      </c>
      <c r="N682" s="10" t="n">
        <v>0.03977273</v>
      </c>
      <c r="O682" s="5" t="n">
        <v>81.14</v>
      </c>
      <c r="P682" s="11" t="n">
        <v>1.323308</v>
      </c>
      <c r="Q682" s="7" t="n">
        <v>176</v>
      </c>
      <c r="R682" s="7" t="n">
        <v>7</v>
      </c>
      <c r="S682" s="7" t="n">
        <v>0</v>
      </c>
      <c r="T682" s="7" t="n">
        <v>0</v>
      </c>
      <c r="U682" s="7" t="n">
        <v>149</v>
      </c>
      <c r="V682" s="7" t="n">
        <v>5</v>
      </c>
    </row>
    <row r="683" customFormat="false" ht="15" hidden="false" customHeight="false" outlineLevel="0" collapsed="false">
      <c r="A683" s="4" t="s">
        <v>2396</v>
      </c>
      <c r="B683" s="4" t="str">
        <f aca="false">IF(AND(I683&gt;='Read Me &amp; Markers'!$B$18,J683&gt;='Read Me &amp; Markers'!$B$19,L683&gt;='Read Me &amp; Markers'!$B$20),"A. Proven winner",IF(AND(I683&gt;='Read Me &amp; Markers'!$B$18,J683&gt;='Read Me &amp; Markers'!$B$19,L683&gt;='Read Me &amp; Markers'!$B$21),"B. Strong performer",IF(AND(I683&gt;='Read Me &amp; Markers'!$B$22,L683&gt;='Read Me &amp; Markers'!$B$23),"C. Scale workhorse",IF(AND(I683&gt;='Read Me &amp; Markers'!$B$24,I683&lt;'Read Me &amp; Markers'!$B$18,J683&gt;='Read Me &amp; Markers'!$B$25,L683&gt;='Read Me &amp; Markers'!$B$26),"D. Promising (needs more spend)",""))))</f>
        <v/>
      </c>
      <c r="C683" s="4" t="s">
        <v>98</v>
      </c>
      <c r="D683" s="4" t="s">
        <v>100</v>
      </c>
      <c r="E683" s="4" t="s">
        <v>635</v>
      </c>
      <c r="F683" s="4" t="s">
        <v>87</v>
      </c>
      <c r="G683" s="4" t="s">
        <v>440</v>
      </c>
      <c r="H683" s="4" t="s">
        <v>2397</v>
      </c>
      <c r="I683" s="5" t="n">
        <v>14.28</v>
      </c>
      <c r="J683" s="7" t="n">
        <v>1</v>
      </c>
      <c r="K683" s="5" t="n">
        <v>79.96</v>
      </c>
      <c r="L683" s="8" t="n">
        <v>5.59944</v>
      </c>
      <c r="M683" s="9" t="n">
        <v>14.28</v>
      </c>
      <c r="N683" s="10" t="n">
        <v>0.05555556</v>
      </c>
      <c r="O683" s="5" t="n">
        <v>79.33</v>
      </c>
      <c r="P683" s="11" t="n">
        <v>1.052632</v>
      </c>
      <c r="Q683" s="7" t="n">
        <v>180</v>
      </c>
      <c r="R683" s="7" t="n">
        <v>10</v>
      </c>
      <c r="S683" s="7" t="n">
        <v>1</v>
      </c>
      <c r="T683" s="7" t="n">
        <v>1</v>
      </c>
      <c r="U683" s="7" t="n">
        <v>165</v>
      </c>
      <c r="V683" s="7" t="n">
        <v>47</v>
      </c>
    </row>
    <row r="684" customFormat="false" ht="15" hidden="false" customHeight="false" outlineLevel="0" collapsed="false">
      <c r="A684" s="4" t="s">
        <v>2398</v>
      </c>
      <c r="B684" s="4" t="str">
        <f aca="false">IF(AND(I684&gt;='Read Me &amp; Markers'!$B$18,J684&gt;='Read Me &amp; Markers'!$B$19,L684&gt;='Read Me &amp; Markers'!$B$20),"A. Proven winner",IF(AND(I684&gt;='Read Me &amp; Markers'!$B$18,J684&gt;='Read Me &amp; Markers'!$B$19,L684&gt;='Read Me &amp; Markers'!$B$21),"B. Strong performer",IF(AND(I684&gt;='Read Me &amp; Markers'!$B$22,L684&gt;='Read Me &amp; Markers'!$B$23),"C. Scale workhorse",IF(AND(I684&gt;='Read Me &amp; Markers'!$B$24,I684&lt;'Read Me &amp; Markers'!$B$18,J684&gt;='Read Me &amp; Markers'!$B$25,L684&gt;='Read Me &amp; Markers'!$B$26),"D. Promising (needs more spend)",""))))</f>
        <v/>
      </c>
      <c r="C684" s="4" t="s">
        <v>2399</v>
      </c>
      <c r="D684" s="4" t="s">
        <v>109</v>
      </c>
      <c r="E684" s="4" t="s">
        <v>542</v>
      </c>
      <c r="F684" s="4" t="s">
        <v>111</v>
      </c>
      <c r="G684" s="4" t="s">
        <v>286</v>
      </c>
      <c r="H684" s="4" t="s">
        <v>2400</v>
      </c>
      <c r="I684" s="5" t="n">
        <v>14.2</v>
      </c>
      <c r="J684" s="7" t="n">
        <v>0</v>
      </c>
      <c r="K684" s="5" t="n">
        <v>0</v>
      </c>
      <c r="L684" s="8" t="n">
        <v>0</v>
      </c>
      <c r="M684" s="9" t="n">
        <v>0</v>
      </c>
      <c r="N684" s="10" t="n">
        <v>0.05940594</v>
      </c>
      <c r="O684" s="5" t="n">
        <v>140.59</v>
      </c>
      <c r="P684" s="11" t="n">
        <v>1.10989</v>
      </c>
      <c r="Q684" s="7" t="n">
        <v>101</v>
      </c>
      <c r="R684" s="7" t="n">
        <v>6</v>
      </c>
      <c r="S684" s="7" t="n">
        <v>0</v>
      </c>
      <c r="T684" s="7" t="n">
        <v>2</v>
      </c>
      <c r="U684" s="7" t="n">
        <v>100</v>
      </c>
      <c r="V684" s="7" t="n">
        <v>13</v>
      </c>
    </row>
    <row r="685" customFormat="false" ht="15" hidden="false" customHeight="false" outlineLevel="0" collapsed="false">
      <c r="A685" s="4" t="s">
        <v>2401</v>
      </c>
      <c r="B685" s="4" t="str">
        <f aca="false">IF(AND(I685&gt;='Read Me &amp; Markers'!$B$18,J685&gt;='Read Me &amp; Markers'!$B$19,L685&gt;='Read Me &amp; Markers'!$B$20),"A. Proven winner",IF(AND(I685&gt;='Read Me &amp; Markers'!$B$18,J685&gt;='Read Me &amp; Markers'!$B$19,L685&gt;='Read Me &amp; Markers'!$B$21),"B. Strong performer",IF(AND(I685&gt;='Read Me &amp; Markers'!$B$22,L685&gt;='Read Me &amp; Markers'!$B$23),"C. Scale workhorse",IF(AND(I685&gt;='Read Me &amp; Markers'!$B$24,I685&lt;'Read Me &amp; Markers'!$B$18,J685&gt;='Read Me &amp; Markers'!$B$25,L685&gt;='Read Me &amp; Markers'!$B$26),"D. Promising (needs more spend)",""))))</f>
        <v/>
      </c>
      <c r="C685" s="4" t="s">
        <v>121</v>
      </c>
      <c r="D685" s="4" t="s">
        <v>100</v>
      </c>
      <c r="E685" s="4" t="s">
        <v>2402</v>
      </c>
      <c r="F685" s="4" t="s">
        <v>87</v>
      </c>
      <c r="G685" s="4" t="s">
        <v>440</v>
      </c>
      <c r="H685" s="4" t="s">
        <v>2403</v>
      </c>
      <c r="I685" s="5" t="n">
        <v>14.2</v>
      </c>
      <c r="J685" s="7" t="n">
        <v>0</v>
      </c>
      <c r="K685" s="5" t="n">
        <v>0</v>
      </c>
      <c r="L685" s="8" t="n">
        <v>0</v>
      </c>
      <c r="M685" s="9" t="n">
        <v>0</v>
      </c>
      <c r="N685" s="10" t="n">
        <v>0.07964602</v>
      </c>
      <c r="O685" s="5" t="n">
        <v>125.66</v>
      </c>
      <c r="P685" s="11" t="n">
        <v>1.13</v>
      </c>
      <c r="Q685" s="7" t="n">
        <v>113</v>
      </c>
      <c r="R685" s="7" t="n">
        <v>9</v>
      </c>
      <c r="S685" s="7" t="n">
        <v>0</v>
      </c>
      <c r="T685" s="7" t="n">
        <v>0</v>
      </c>
      <c r="U685" s="7" t="n">
        <v>99</v>
      </c>
      <c r="V685" s="7" t="n">
        <v>16</v>
      </c>
    </row>
    <row r="686" customFormat="false" ht="15" hidden="false" customHeight="false" outlineLevel="0" collapsed="false">
      <c r="A686" s="4" t="s">
        <v>2404</v>
      </c>
      <c r="B686" s="4" t="str">
        <f aca="false">IF(AND(I686&gt;='Read Me &amp; Markers'!$B$18,J686&gt;='Read Me &amp; Markers'!$B$19,L686&gt;='Read Me &amp; Markers'!$B$20),"A. Proven winner",IF(AND(I686&gt;='Read Me &amp; Markers'!$B$18,J686&gt;='Read Me &amp; Markers'!$B$19,L686&gt;='Read Me &amp; Markers'!$B$21),"B. Strong performer",IF(AND(I686&gt;='Read Me &amp; Markers'!$B$22,L686&gt;='Read Me &amp; Markers'!$B$23),"C. Scale workhorse",IF(AND(I686&gt;='Read Me &amp; Markers'!$B$24,I686&lt;'Read Me &amp; Markers'!$B$18,J686&gt;='Read Me &amp; Markers'!$B$25,L686&gt;='Read Me &amp; Markers'!$B$26),"D. Promising (needs more spend)",""))))</f>
        <v/>
      </c>
      <c r="C686" s="4" t="s">
        <v>129</v>
      </c>
      <c r="D686" s="4" t="s">
        <v>100</v>
      </c>
      <c r="E686" s="4" t="s">
        <v>2405</v>
      </c>
      <c r="F686" s="4" t="s">
        <v>87</v>
      </c>
      <c r="G686" s="4" t="s">
        <v>294</v>
      </c>
      <c r="H686" s="4" t="s">
        <v>2406</v>
      </c>
      <c r="I686" s="5" t="n">
        <v>14.19</v>
      </c>
      <c r="J686" s="7" t="n">
        <v>0</v>
      </c>
      <c r="K686" s="5" t="n">
        <v>0</v>
      </c>
      <c r="L686" s="8" t="n">
        <v>0</v>
      </c>
      <c r="M686" s="9" t="n">
        <v>0</v>
      </c>
      <c r="N686" s="10" t="n">
        <v>0.05681818</v>
      </c>
      <c r="O686" s="5" t="n">
        <v>80.63</v>
      </c>
      <c r="P686" s="11" t="n">
        <v>1.079755</v>
      </c>
      <c r="Q686" s="7" t="n">
        <v>176</v>
      </c>
      <c r="R686" s="7" t="n">
        <v>10</v>
      </c>
      <c r="S686" s="7" t="n">
        <v>0</v>
      </c>
      <c r="T686" s="7" t="n">
        <v>0</v>
      </c>
      <c r="U686" s="7" t="n">
        <v>164</v>
      </c>
      <c r="V686" s="7" t="n">
        <v>55</v>
      </c>
    </row>
    <row r="687" customFormat="false" ht="15" hidden="false" customHeight="false" outlineLevel="0" collapsed="false">
      <c r="A687" s="4" t="s">
        <v>2407</v>
      </c>
      <c r="B687" s="4" t="str">
        <f aca="false">IF(AND(I687&gt;='Read Me &amp; Markers'!$B$18,J687&gt;='Read Me &amp; Markers'!$B$19,L687&gt;='Read Me &amp; Markers'!$B$20),"A. Proven winner",IF(AND(I687&gt;='Read Me &amp; Markers'!$B$18,J687&gt;='Read Me &amp; Markers'!$B$19,L687&gt;='Read Me &amp; Markers'!$B$21),"B. Strong performer",IF(AND(I687&gt;='Read Me &amp; Markers'!$B$22,L687&gt;='Read Me &amp; Markers'!$B$23),"C. Scale workhorse",IF(AND(I687&gt;='Read Me &amp; Markers'!$B$24,I687&lt;'Read Me &amp; Markers'!$B$18,J687&gt;='Read Me &amp; Markers'!$B$25,L687&gt;='Read Me &amp; Markers'!$B$26),"D. Promising (needs more spend)",""))))</f>
        <v/>
      </c>
      <c r="C687" s="4" t="s">
        <v>129</v>
      </c>
      <c r="D687" s="4" t="s">
        <v>100</v>
      </c>
      <c r="E687" s="4" t="s">
        <v>1505</v>
      </c>
      <c r="F687" s="4" t="s">
        <v>87</v>
      </c>
      <c r="G687" s="4" t="s">
        <v>623</v>
      </c>
      <c r="H687" s="4" t="s">
        <v>2408</v>
      </c>
      <c r="I687" s="5" t="n">
        <v>14.03</v>
      </c>
      <c r="J687" s="7" t="n">
        <v>0</v>
      </c>
      <c r="K687" s="5" t="n">
        <v>0</v>
      </c>
      <c r="L687" s="8" t="n">
        <v>0</v>
      </c>
      <c r="M687" s="9" t="n">
        <v>0</v>
      </c>
      <c r="N687" s="10" t="n">
        <v>0.02631579</v>
      </c>
      <c r="O687" s="5" t="n">
        <v>92.3</v>
      </c>
      <c r="P687" s="11" t="n">
        <v>1.142857</v>
      </c>
      <c r="Q687" s="7" t="n">
        <v>152</v>
      </c>
      <c r="R687" s="7" t="n">
        <v>4</v>
      </c>
      <c r="S687" s="7" t="n">
        <v>0</v>
      </c>
      <c r="T687" s="7" t="n">
        <v>0</v>
      </c>
      <c r="U687" s="7" t="n">
        <v>132</v>
      </c>
      <c r="V687" s="7" t="n">
        <v>17</v>
      </c>
    </row>
    <row r="688" customFormat="false" ht="15" hidden="false" customHeight="false" outlineLevel="0" collapsed="false">
      <c r="A688" s="4" t="s">
        <v>2409</v>
      </c>
      <c r="B688" s="4" t="str">
        <f aca="false">IF(AND(I688&gt;='Read Me &amp; Markers'!$B$18,J688&gt;='Read Me &amp; Markers'!$B$19,L688&gt;='Read Me &amp; Markers'!$B$20),"A. Proven winner",IF(AND(I688&gt;='Read Me &amp; Markers'!$B$18,J688&gt;='Read Me &amp; Markers'!$B$19,L688&gt;='Read Me &amp; Markers'!$B$21),"B. Strong performer",IF(AND(I688&gt;='Read Me &amp; Markers'!$B$22,L688&gt;='Read Me &amp; Markers'!$B$23),"C. Scale workhorse",IF(AND(I688&gt;='Read Me &amp; Markers'!$B$24,I688&lt;'Read Me &amp; Markers'!$B$18,J688&gt;='Read Me &amp; Markers'!$B$25,L688&gt;='Read Me &amp; Markers'!$B$26),"D. Promising (needs more spend)",""))))</f>
        <v/>
      </c>
      <c r="C688" s="4" t="s">
        <v>169</v>
      </c>
      <c r="D688" s="4" t="s">
        <v>154</v>
      </c>
      <c r="E688" s="4" t="s">
        <v>2410</v>
      </c>
      <c r="F688" s="4" t="s">
        <v>253</v>
      </c>
      <c r="G688" s="4" t="s">
        <v>1085</v>
      </c>
      <c r="H688" s="4" t="s">
        <v>2411</v>
      </c>
      <c r="I688" s="5" t="n">
        <v>13.92</v>
      </c>
      <c r="J688" s="7" t="n">
        <v>1</v>
      </c>
      <c r="K688" s="5" t="n">
        <v>45.96</v>
      </c>
      <c r="L688" s="8" t="n">
        <v>3.301724</v>
      </c>
      <c r="M688" s="9" t="n">
        <v>13.92</v>
      </c>
      <c r="N688" s="10" t="n">
        <v>0.03623188</v>
      </c>
      <c r="O688" s="5" t="n">
        <v>100.87</v>
      </c>
      <c r="P688" s="11" t="n">
        <v>1.037594</v>
      </c>
      <c r="Q688" s="7" t="n">
        <v>138</v>
      </c>
      <c r="R688" s="7" t="n">
        <v>5</v>
      </c>
      <c r="S688" s="7" t="n">
        <v>1</v>
      </c>
      <c r="T688" s="7" t="n">
        <v>1</v>
      </c>
      <c r="U688" s="7" t="n">
        <v>130</v>
      </c>
      <c r="V688" s="7" t="n">
        <v>22</v>
      </c>
    </row>
    <row r="689" customFormat="false" ht="15" hidden="false" customHeight="false" outlineLevel="0" collapsed="false">
      <c r="A689" s="4" t="s">
        <v>2412</v>
      </c>
      <c r="B689" s="4" t="str">
        <f aca="false">IF(AND(I689&gt;='Read Me &amp; Markers'!$B$18,J689&gt;='Read Me &amp; Markers'!$B$19,L689&gt;='Read Me &amp; Markers'!$B$20),"A. Proven winner",IF(AND(I689&gt;='Read Me &amp; Markers'!$B$18,J689&gt;='Read Me &amp; Markers'!$B$19,L689&gt;='Read Me &amp; Markers'!$B$21),"B. Strong performer",IF(AND(I689&gt;='Read Me &amp; Markers'!$B$22,L689&gt;='Read Me &amp; Markers'!$B$23),"C. Scale workhorse",IF(AND(I689&gt;='Read Me &amp; Markers'!$B$24,I689&lt;'Read Me &amp; Markers'!$B$18,J689&gt;='Read Me &amp; Markers'!$B$25,L689&gt;='Read Me &amp; Markers'!$B$26),"D. Promising (needs more spend)",""))))</f>
        <v/>
      </c>
      <c r="C689" s="4" t="s">
        <v>2413</v>
      </c>
      <c r="D689" s="4" t="s">
        <v>109</v>
      </c>
      <c r="E689" s="4" t="s">
        <v>469</v>
      </c>
      <c r="F689" s="4" t="s">
        <v>111</v>
      </c>
      <c r="G689" s="4" t="s">
        <v>470</v>
      </c>
      <c r="H689" s="4" t="s">
        <v>2414</v>
      </c>
      <c r="I689" s="5" t="n">
        <v>13.67</v>
      </c>
      <c r="J689" s="7" t="n">
        <v>0</v>
      </c>
      <c r="K689" s="5" t="n">
        <v>0</v>
      </c>
      <c r="L689" s="8" t="n">
        <v>0</v>
      </c>
      <c r="M689" s="9" t="n">
        <v>0</v>
      </c>
      <c r="N689" s="10" t="n">
        <v>0.01908397</v>
      </c>
      <c r="O689" s="5" t="n">
        <v>52.18</v>
      </c>
      <c r="P689" s="11" t="n">
        <v>1.18018</v>
      </c>
      <c r="Q689" s="7" t="n">
        <v>262</v>
      </c>
      <c r="R689" s="7" t="n">
        <v>5</v>
      </c>
      <c r="S689" s="7" t="n">
        <v>0</v>
      </c>
      <c r="T689" s="7" t="n">
        <v>0</v>
      </c>
      <c r="U689" s="7" t="n">
        <v>0</v>
      </c>
      <c r="V689" s="7" t="n">
        <v>0</v>
      </c>
    </row>
    <row r="690" customFormat="false" ht="15" hidden="false" customHeight="false" outlineLevel="0" collapsed="false">
      <c r="A690" s="4" t="s">
        <v>2415</v>
      </c>
      <c r="B690" s="4" t="str">
        <f aca="false">IF(AND(I690&gt;='Read Me &amp; Markers'!$B$18,J690&gt;='Read Me &amp; Markers'!$B$19,L690&gt;='Read Me &amp; Markers'!$B$20),"A. Proven winner",IF(AND(I690&gt;='Read Me &amp; Markers'!$B$18,J690&gt;='Read Me &amp; Markers'!$B$19,L690&gt;='Read Me &amp; Markers'!$B$21),"B. Strong performer",IF(AND(I690&gt;='Read Me &amp; Markers'!$B$22,L690&gt;='Read Me &amp; Markers'!$B$23),"C. Scale workhorse",IF(AND(I690&gt;='Read Me &amp; Markers'!$B$24,I690&lt;'Read Me &amp; Markers'!$B$18,J690&gt;='Read Me &amp; Markers'!$B$25,L690&gt;='Read Me &amp; Markers'!$B$26),"D. Promising (needs more spend)",""))))</f>
        <v/>
      </c>
      <c r="C690" s="4" t="s">
        <v>169</v>
      </c>
      <c r="D690" s="4" t="s">
        <v>100</v>
      </c>
      <c r="E690" s="4" t="s">
        <v>690</v>
      </c>
      <c r="F690" s="4" t="s">
        <v>87</v>
      </c>
      <c r="G690" s="4" t="s">
        <v>342</v>
      </c>
      <c r="H690" s="4" t="s">
        <v>2416</v>
      </c>
      <c r="I690" s="5" t="n">
        <v>13.62</v>
      </c>
      <c r="J690" s="7" t="n">
        <v>0</v>
      </c>
      <c r="K690" s="5" t="n">
        <v>0</v>
      </c>
      <c r="L690" s="8" t="n">
        <v>0</v>
      </c>
      <c r="M690" s="9" t="n">
        <v>0</v>
      </c>
      <c r="N690" s="10" t="n">
        <v>0.04545455</v>
      </c>
      <c r="O690" s="5" t="n">
        <v>123.82</v>
      </c>
      <c r="P690" s="11" t="n">
        <v>1</v>
      </c>
      <c r="Q690" s="7" t="n">
        <v>110</v>
      </c>
      <c r="R690" s="7" t="n">
        <v>5</v>
      </c>
      <c r="S690" s="7" t="n">
        <v>0</v>
      </c>
      <c r="T690" s="7" t="n">
        <v>0</v>
      </c>
      <c r="U690" s="7" t="n">
        <v>104</v>
      </c>
      <c r="V690" s="7" t="n">
        <v>17</v>
      </c>
    </row>
    <row r="691" customFormat="false" ht="15" hidden="false" customHeight="false" outlineLevel="0" collapsed="false">
      <c r="A691" s="4" t="s">
        <v>2417</v>
      </c>
      <c r="B691" s="4" t="str">
        <f aca="false">IF(AND(I691&gt;='Read Me &amp; Markers'!$B$18,J691&gt;='Read Me &amp; Markers'!$B$19,L691&gt;='Read Me &amp; Markers'!$B$20),"A. Proven winner",IF(AND(I691&gt;='Read Me &amp; Markers'!$B$18,J691&gt;='Read Me &amp; Markers'!$B$19,L691&gt;='Read Me &amp; Markers'!$B$21),"B. Strong performer",IF(AND(I691&gt;='Read Me &amp; Markers'!$B$22,L691&gt;='Read Me &amp; Markers'!$B$23),"C. Scale workhorse",IF(AND(I691&gt;='Read Me &amp; Markers'!$B$24,I691&lt;'Read Me &amp; Markers'!$B$18,J691&gt;='Read Me &amp; Markers'!$B$25,L691&gt;='Read Me &amp; Markers'!$B$26),"D. Promising (needs more spend)",""))))</f>
        <v/>
      </c>
      <c r="C691" s="4" t="s">
        <v>2418</v>
      </c>
      <c r="D691" s="4" t="s">
        <v>109</v>
      </c>
      <c r="E691" s="4" t="s">
        <v>1936</v>
      </c>
      <c r="F691" s="4" t="s">
        <v>111</v>
      </c>
      <c r="G691" s="4" t="s">
        <v>1937</v>
      </c>
      <c r="H691" s="4" t="s">
        <v>2419</v>
      </c>
      <c r="I691" s="5" t="n">
        <v>13.58</v>
      </c>
      <c r="J691" s="7" t="n">
        <v>0</v>
      </c>
      <c r="K691" s="5" t="n">
        <v>0</v>
      </c>
      <c r="L691" s="8" t="n">
        <v>0</v>
      </c>
      <c r="M691" s="9" t="n">
        <v>0</v>
      </c>
      <c r="N691" s="10" t="n">
        <v>0.00574713</v>
      </c>
      <c r="O691" s="5" t="n">
        <v>78.05</v>
      </c>
      <c r="P691" s="11" t="n">
        <v>1.242857</v>
      </c>
      <c r="Q691" s="7" t="n">
        <v>174</v>
      </c>
      <c r="R691" s="7" t="n">
        <v>1</v>
      </c>
      <c r="S691" s="7" t="n">
        <v>3</v>
      </c>
      <c r="T691" s="7" t="n">
        <v>1</v>
      </c>
      <c r="U691" s="7" t="n">
        <v>3</v>
      </c>
      <c r="V691" s="7" t="n">
        <v>0</v>
      </c>
    </row>
    <row r="692" customFormat="false" ht="15" hidden="false" customHeight="false" outlineLevel="0" collapsed="false">
      <c r="A692" s="4" t="s">
        <v>2420</v>
      </c>
      <c r="B692" s="4" t="str">
        <f aca="false">IF(AND(I692&gt;='Read Me &amp; Markers'!$B$18,J692&gt;='Read Me &amp; Markers'!$B$19,L692&gt;='Read Me &amp; Markers'!$B$20),"A. Proven winner",IF(AND(I692&gt;='Read Me &amp; Markers'!$B$18,J692&gt;='Read Me &amp; Markers'!$B$19,L692&gt;='Read Me &amp; Markers'!$B$21),"B. Strong performer",IF(AND(I692&gt;='Read Me &amp; Markers'!$B$22,L692&gt;='Read Me &amp; Markers'!$B$23),"C. Scale workhorse",IF(AND(I692&gt;='Read Me &amp; Markers'!$B$24,I692&lt;'Read Me &amp; Markers'!$B$18,J692&gt;='Read Me &amp; Markers'!$B$25,L692&gt;='Read Me &amp; Markers'!$B$26),"D. Promising (needs more spend)",""))))</f>
        <v/>
      </c>
      <c r="C692" s="4" t="s">
        <v>2421</v>
      </c>
      <c r="D692" s="4" t="s">
        <v>154</v>
      </c>
      <c r="E692" s="4" t="s">
        <v>2422</v>
      </c>
      <c r="F692" s="4" t="s">
        <v>87</v>
      </c>
      <c r="G692" s="4" t="s">
        <v>156</v>
      </c>
      <c r="H692" s="4" t="s">
        <v>2423</v>
      </c>
      <c r="I692" s="5" t="n">
        <v>13.28</v>
      </c>
      <c r="J692" s="7" t="n">
        <v>0</v>
      </c>
      <c r="K692" s="5" t="n">
        <v>0</v>
      </c>
      <c r="L692" s="8" t="n">
        <v>0</v>
      </c>
      <c r="M692" s="9" t="n">
        <v>0</v>
      </c>
      <c r="N692" s="10" t="n">
        <v>0.01298701</v>
      </c>
      <c r="O692" s="5" t="n">
        <v>43.12</v>
      </c>
      <c r="P692" s="11" t="n">
        <v>1.184615</v>
      </c>
      <c r="Q692" s="7" t="n">
        <v>308</v>
      </c>
      <c r="R692" s="7" t="n">
        <v>4</v>
      </c>
      <c r="S692" s="7" t="n">
        <v>1</v>
      </c>
      <c r="T692" s="7" t="n">
        <v>1</v>
      </c>
      <c r="U692" s="7" t="n">
        <v>240</v>
      </c>
      <c r="V692" s="7" t="n">
        <v>24</v>
      </c>
    </row>
    <row r="693" customFormat="false" ht="15" hidden="false" customHeight="false" outlineLevel="0" collapsed="false">
      <c r="A693" s="4" t="s">
        <v>2424</v>
      </c>
      <c r="B693" s="4" t="str">
        <f aca="false">IF(AND(I693&gt;='Read Me &amp; Markers'!$B$18,J693&gt;='Read Me &amp; Markers'!$B$19,L693&gt;='Read Me &amp; Markers'!$B$20),"A. Proven winner",IF(AND(I693&gt;='Read Me &amp; Markers'!$B$18,J693&gt;='Read Me &amp; Markers'!$B$19,L693&gt;='Read Me &amp; Markers'!$B$21),"B. Strong performer",IF(AND(I693&gt;='Read Me &amp; Markers'!$B$22,L693&gt;='Read Me &amp; Markers'!$B$23),"C. Scale workhorse",IF(AND(I693&gt;='Read Me &amp; Markers'!$B$24,I693&lt;'Read Me &amp; Markers'!$B$18,J693&gt;='Read Me &amp; Markers'!$B$25,L693&gt;='Read Me &amp; Markers'!$B$26),"D. Promising (needs more spend)",""))))</f>
        <v/>
      </c>
      <c r="C693" s="4" t="s">
        <v>169</v>
      </c>
      <c r="D693" s="4" t="s">
        <v>100</v>
      </c>
      <c r="E693" s="4" t="s">
        <v>2425</v>
      </c>
      <c r="F693" s="4" t="s">
        <v>87</v>
      </c>
      <c r="G693" s="4" t="s">
        <v>2426</v>
      </c>
      <c r="H693" s="4" t="s">
        <v>2427</v>
      </c>
      <c r="I693" s="5" t="n">
        <v>13.23</v>
      </c>
      <c r="J693" s="7" t="n">
        <v>0</v>
      </c>
      <c r="K693" s="5" t="n">
        <v>0</v>
      </c>
      <c r="L693" s="8" t="n">
        <v>0</v>
      </c>
      <c r="M693" s="9" t="n">
        <v>0</v>
      </c>
      <c r="N693" s="10" t="n">
        <v>0.01818182</v>
      </c>
      <c r="O693" s="5" t="n">
        <v>48.11</v>
      </c>
      <c r="P693" s="11" t="n">
        <v>1.222222</v>
      </c>
      <c r="Q693" s="7" t="n">
        <v>275</v>
      </c>
      <c r="R693" s="7" t="n">
        <v>5</v>
      </c>
      <c r="S693" s="7" t="n">
        <v>1</v>
      </c>
      <c r="T693" s="7" t="n">
        <v>1</v>
      </c>
      <c r="U693" s="7" t="n">
        <v>197</v>
      </c>
      <c r="V693" s="7" t="n">
        <v>12</v>
      </c>
    </row>
    <row r="694" customFormat="false" ht="15" hidden="false" customHeight="false" outlineLevel="0" collapsed="false">
      <c r="A694" s="4" t="s">
        <v>2428</v>
      </c>
      <c r="B694" s="4" t="str">
        <f aca="false">IF(AND(I694&gt;='Read Me &amp; Markers'!$B$18,J694&gt;='Read Me &amp; Markers'!$B$19,L694&gt;='Read Me &amp; Markers'!$B$20),"A. Proven winner",IF(AND(I694&gt;='Read Me &amp; Markers'!$B$18,J694&gt;='Read Me &amp; Markers'!$B$19,L694&gt;='Read Me &amp; Markers'!$B$21),"B. Strong performer",IF(AND(I694&gt;='Read Me &amp; Markers'!$B$22,L694&gt;='Read Me &amp; Markers'!$B$23),"C. Scale workhorse",IF(AND(I694&gt;='Read Me &amp; Markers'!$B$24,I694&lt;'Read Me &amp; Markers'!$B$18,J694&gt;='Read Me &amp; Markers'!$B$25,L694&gt;='Read Me &amp; Markers'!$B$26),"D. Promising (needs more spend)",""))))</f>
        <v/>
      </c>
      <c r="C694" s="4" t="s">
        <v>2429</v>
      </c>
      <c r="D694" s="4" t="s">
        <v>109</v>
      </c>
      <c r="E694" s="4" t="s">
        <v>738</v>
      </c>
      <c r="F694" s="4" t="s">
        <v>111</v>
      </c>
      <c r="G694" s="4" t="s">
        <v>739</v>
      </c>
      <c r="H694" s="4" t="s">
        <v>2430</v>
      </c>
      <c r="I694" s="5" t="n">
        <v>13.12</v>
      </c>
      <c r="J694" s="7" t="n">
        <v>0</v>
      </c>
      <c r="K694" s="5" t="n">
        <v>0</v>
      </c>
      <c r="L694" s="8" t="n">
        <v>0</v>
      </c>
      <c r="M694" s="9" t="n">
        <v>0</v>
      </c>
      <c r="N694" s="10" t="n">
        <v>0.0125523</v>
      </c>
      <c r="O694" s="5" t="n">
        <v>54.9</v>
      </c>
      <c r="P694" s="11" t="n">
        <v>1.357955</v>
      </c>
      <c r="Q694" s="7" t="n">
        <v>239</v>
      </c>
      <c r="R694" s="7" t="n">
        <v>3</v>
      </c>
      <c r="S694" s="7" t="n">
        <v>2</v>
      </c>
      <c r="T694" s="7" t="n">
        <v>1</v>
      </c>
      <c r="U694" s="7" t="n">
        <v>0</v>
      </c>
      <c r="V694" s="7" t="n">
        <v>0</v>
      </c>
    </row>
    <row r="695" customFormat="false" ht="15" hidden="false" customHeight="false" outlineLevel="0" collapsed="false">
      <c r="A695" s="4" t="s">
        <v>2431</v>
      </c>
      <c r="B695" s="4" t="str">
        <f aca="false">IF(AND(I695&gt;='Read Me &amp; Markers'!$B$18,J695&gt;='Read Me &amp; Markers'!$B$19,L695&gt;='Read Me &amp; Markers'!$B$20),"A. Proven winner",IF(AND(I695&gt;='Read Me &amp; Markers'!$B$18,J695&gt;='Read Me &amp; Markers'!$B$19,L695&gt;='Read Me &amp; Markers'!$B$21),"B. Strong performer",IF(AND(I695&gt;='Read Me &amp; Markers'!$B$22,L695&gt;='Read Me &amp; Markers'!$B$23),"C. Scale workhorse",IF(AND(I695&gt;='Read Me &amp; Markers'!$B$24,I695&lt;'Read Me &amp; Markers'!$B$18,J695&gt;='Read Me &amp; Markers'!$B$25,L695&gt;='Read Me &amp; Markers'!$B$26),"D. Promising (needs more spend)",""))))</f>
        <v/>
      </c>
      <c r="C695" s="4" t="s">
        <v>121</v>
      </c>
      <c r="D695" s="4" t="s">
        <v>100</v>
      </c>
      <c r="E695" s="4" t="s">
        <v>1505</v>
      </c>
      <c r="F695" s="4" t="s">
        <v>253</v>
      </c>
      <c r="G695" s="4" t="s">
        <v>623</v>
      </c>
      <c r="H695" s="4" t="s">
        <v>2432</v>
      </c>
      <c r="I695" s="5" t="n">
        <v>13.12</v>
      </c>
      <c r="J695" s="7" t="n">
        <v>0</v>
      </c>
      <c r="K695" s="5" t="n">
        <v>0</v>
      </c>
      <c r="L695" s="8" t="n">
        <v>0</v>
      </c>
      <c r="M695" s="9" t="n">
        <v>0</v>
      </c>
      <c r="N695" s="10" t="n">
        <v>0.03351955</v>
      </c>
      <c r="O695" s="5" t="n">
        <v>73.3</v>
      </c>
      <c r="P695" s="11" t="n">
        <v>1.177632</v>
      </c>
      <c r="Q695" s="7" t="n">
        <v>179</v>
      </c>
      <c r="R695" s="7" t="n">
        <v>6</v>
      </c>
      <c r="S695" s="7" t="n">
        <v>1</v>
      </c>
      <c r="T695" s="7" t="n">
        <v>1</v>
      </c>
      <c r="U695" s="7" t="n">
        <v>155</v>
      </c>
      <c r="V695" s="7" t="n">
        <v>13</v>
      </c>
    </row>
    <row r="696" customFormat="false" ht="15" hidden="false" customHeight="false" outlineLevel="0" collapsed="false">
      <c r="A696" s="4" t="s">
        <v>2433</v>
      </c>
      <c r="B696" s="4" t="str">
        <f aca="false">IF(AND(I696&gt;='Read Me &amp; Markers'!$B$18,J696&gt;='Read Me &amp; Markers'!$B$19,L696&gt;='Read Me &amp; Markers'!$B$20),"A. Proven winner",IF(AND(I696&gt;='Read Me &amp; Markers'!$B$18,J696&gt;='Read Me &amp; Markers'!$B$19,L696&gt;='Read Me &amp; Markers'!$B$21),"B. Strong performer",IF(AND(I696&gt;='Read Me &amp; Markers'!$B$22,L696&gt;='Read Me &amp; Markers'!$B$23),"C. Scale workhorse",IF(AND(I696&gt;='Read Me &amp; Markers'!$B$24,I696&lt;'Read Me &amp; Markers'!$B$18,J696&gt;='Read Me &amp; Markers'!$B$25,L696&gt;='Read Me &amp; Markers'!$B$26),"D. Promising (needs more spend)",""))))</f>
        <v/>
      </c>
      <c r="C696" s="4" t="s">
        <v>2434</v>
      </c>
      <c r="D696" s="4" t="s">
        <v>109</v>
      </c>
      <c r="E696" s="4" t="s">
        <v>1936</v>
      </c>
      <c r="F696" s="4" t="s">
        <v>111</v>
      </c>
      <c r="G696" s="4" t="s">
        <v>1937</v>
      </c>
      <c r="H696" s="4" t="s">
        <v>2435</v>
      </c>
      <c r="I696" s="5" t="n">
        <v>12.95</v>
      </c>
      <c r="J696" s="7" t="n">
        <v>0</v>
      </c>
      <c r="K696" s="5" t="n">
        <v>0</v>
      </c>
      <c r="L696" s="8" t="n">
        <v>0</v>
      </c>
      <c r="M696" s="9" t="n">
        <v>0</v>
      </c>
      <c r="N696" s="10" t="n">
        <v>0</v>
      </c>
      <c r="O696" s="5" t="n">
        <v>80.43</v>
      </c>
      <c r="P696" s="11" t="n">
        <v>1.288</v>
      </c>
      <c r="Q696" s="7" t="n">
        <v>161</v>
      </c>
      <c r="R696" s="7" t="n">
        <v>0</v>
      </c>
      <c r="S696" s="7" t="n">
        <v>0</v>
      </c>
      <c r="T696" s="7" t="n">
        <v>0</v>
      </c>
      <c r="U696" s="7" t="n">
        <v>1</v>
      </c>
      <c r="V696" s="7" t="n">
        <v>0</v>
      </c>
    </row>
    <row r="697" customFormat="false" ht="15" hidden="false" customHeight="false" outlineLevel="0" collapsed="false">
      <c r="A697" s="4" t="s">
        <v>2436</v>
      </c>
      <c r="B697" s="4" t="str">
        <f aca="false">IF(AND(I697&gt;='Read Me &amp; Markers'!$B$18,J697&gt;='Read Me &amp; Markers'!$B$19,L697&gt;='Read Me &amp; Markers'!$B$20),"A. Proven winner",IF(AND(I697&gt;='Read Me &amp; Markers'!$B$18,J697&gt;='Read Me &amp; Markers'!$B$19,L697&gt;='Read Me &amp; Markers'!$B$21),"B. Strong performer",IF(AND(I697&gt;='Read Me &amp; Markers'!$B$22,L697&gt;='Read Me &amp; Markers'!$B$23),"C. Scale workhorse",IF(AND(I697&gt;='Read Me &amp; Markers'!$B$24,I697&lt;'Read Me &amp; Markers'!$B$18,J697&gt;='Read Me &amp; Markers'!$B$25,L697&gt;='Read Me &amp; Markers'!$B$26),"D. Promising (needs more spend)",""))))</f>
        <v/>
      </c>
      <c r="C697" s="4" t="s">
        <v>129</v>
      </c>
      <c r="D697" s="4" t="s">
        <v>100</v>
      </c>
      <c r="E697" s="4" t="s">
        <v>2267</v>
      </c>
      <c r="F697" s="4" t="s">
        <v>172</v>
      </c>
      <c r="G697" s="4" t="s">
        <v>623</v>
      </c>
      <c r="H697" s="4" t="s">
        <v>2437</v>
      </c>
      <c r="I697" s="5" t="n">
        <v>12.93</v>
      </c>
      <c r="J697" s="7" t="n">
        <v>0</v>
      </c>
      <c r="K697" s="5" t="n">
        <v>0</v>
      </c>
      <c r="L697" s="8" t="n">
        <v>0</v>
      </c>
      <c r="M697" s="9" t="n">
        <v>0</v>
      </c>
      <c r="N697" s="10" t="n">
        <v>0.06976744</v>
      </c>
      <c r="O697" s="5" t="n">
        <v>150.35</v>
      </c>
      <c r="P697" s="11" t="n">
        <v>1.102564</v>
      </c>
      <c r="Q697" s="7" t="n">
        <v>86</v>
      </c>
      <c r="R697" s="7" t="n">
        <v>6</v>
      </c>
      <c r="S697" s="7" t="n">
        <v>0</v>
      </c>
      <c r="T697" s="7" t="n">
        <v>0</v>
      </c>
      <c r="U697" s="7" t="n">
        <v>78</v>
      </c>
      <c r="V697" s="7" t="n">
        <v>11</v>
      </c>
    </row>
    <row r="698" customFormat="false" ht="15" hidden="false" customHeight="false" outlineLevel="0" collapsed="false">
      <c r="A698" s="4" t="s">
        <v>2438</v>
      </c>
      <c r="B698" s="4" t="str">
        <f aca="false">IF(AND(I698&gt;='Read Me &amp; Markers'!$B$18,J698&gt;='Read Me &amp; Markers'!$B$19,L698&gt;='Read Me &amp; Markers'!$B$20),"A. Proven winner",IF(AND(I698&gt;='Read Me &amp; Markers'!$B$18,J698&gt;='Read Me &amp; Markers'!$B$19,L698&gt;='Read Me &amp; Markers'!$B$21),"B. Strong performer",IF(AND(I698&gt;='Read Me &amp; Markers'!$B$22,L698&gt;='Read Me &amp; Markers'!$B$23),"C. Scale workhorse",IF(AND(I698&gt;='Read Me &amp; Markers'!$B$24,I698&lt;'Read Me &amp; Markers'!$B$18,J698&gt;='Read Me &amp; Markers'!$B$25,L698&gt;='Read Me &amp; Markers'!$B$26),"D. Promising (needs more spend)",""))))</f>
        <v/>
      </c>
      <c r="C698" s="4" t="s">
        <v>129</v>
      </c>
      <c r="D698" s="4" t="s">
        <v>100</v>
      </c>
      <c r="E698" s="4" t="s">
        <v>884</v>
      </c>
      <c r="F698" s="4" t="s">
        <v>172</v>
      </c>
      <c r="G698" s="4" t="s">
        <v>208</v>
      </c>
      <c r="H698" s="4" t="s">
        <v>2439</v>
      </c>
      <c r="I698" s="5" t="n">
        <v>12.91</v>
      </c>
      <c r="J698" s="7" t="n">
        <v>0</v>
      </c>
      <c r="K698" s="5" t="n">
        <v>0</v>
      </c>
      <c r="L698" s="8" t="n">
        <v>0</v>
      </c>
      <c r="M698" s="9" t="n">
        <v>0</v>
      </c>
      <c r="N698" s="10" t="n">
        <v>0.02586207</v>
      </c>
      <c r="O698" s="5" t="n">
        <v>111.29</v>
      </c>
      <c r="P698" s="11" t="n">
        <v>1.148515</v>
      </c>
      <c r="Q698" s="7" t="n">
        <v>116</v>
      </c>
      <c r="R698" s="7" t="n">
        <v>3</v>
      </c>
      <c r="S698" s="7" t="n">
        <v>1</v>
      </c>
      <c r="T698" s="7" t="n">
        <v>0</v>
      </c>
      <c r="U698" s="7" t="n">
        <v>95</v>
      </c>
      <c r="V698" s="7" t="n">
        <v>13</v>
      </c>
    </row>
    <row r="699" customFormat="false" ht="15" hidden="false" customHeight="false" outlineLevel="0" collapsed="false">
      <c r="A699" s="4" t="s">
        <v>2440</v>
      </c>
      <c r="B699" s="4" t="str">
        <f aca="false">IF(AND(I699&gt;='Read Me &amp; Markers'!$B$18,J699&gt;='Read Me &amp; Markers'!$B$19,L699&gt;='Read Me &amp; Markers'!$B$20),"A. Proven winner",IF(AND(I699&gt;='Read Me &amp; Markers'!$B$18,J699&gt;='Read Me &amp; Markers'!$B$19,L699&gt;='Read Me &amp; Markers'!$B$21),"B. Strong performer",IF(AND(I699&gt;='Read Me &amp; Markers'!$B$22,L699&gt;='Read Me &amp; Markers'!$B$23),"C. Scale workhorse",IF(AND(I699&gt;='Read Me &amp; Markers'!$B$24,I699&lt;'Read Me &amp; Markers'!$B$18,J699&gt;='Read Me &amp; Markers'!$B$25,L699&gt;='Read Me &amp; Markers'!$B$26),"D. Promising (needs more spend)",""))))</f>
        <v/>
      </c>
      <c r="C699" s="4" t="s">
        <v>121</v>
      </c>
      <c r="D699" s="4" t="s">
        <v>154</v>
      </c>
      <c r="E699" s="4" t="s">
        <v>2441</v>
      </c>
      <c r="F699" s="4" t="s">
        <v>253</v>
      </c>
      <c r="G699" s="4" t="s">
        <v>1093</v>
      </c>
      <c r="H699" s="4" t="s">
        <v>2442</v>
      </c>
      <c r="I699" s="5" t="n">
        <v>12.9</v>
      </c>
      <c r="J699" s="7" t="n">
        <v>0</v>
      </c>
      <c r="K699" s="5" t="n">
        <v>0</v>
      </c>
      <c r="L699" s="8" t="n">
        <v>0</v>
      </c>
      <c r="M699" s="9" t="n">
        <v>0</v>
      </c>
      <c r="N699" s="10" t="n">
        <v>0.03191489</v>
      </c>
      <c r="O699" s="5" t="n">
        <v>68.62</v>
      </c>
      <c r="P699" s="11" t="n">
        <v>1.333333</v>
      </c>
      <c r="Q699" s="7" t="n">
        <v>188</v>
      </c>
      <c r="R699" s="7" t="n">
        <v>6</v>
      </c>
      <c r="S699" s="7" t="n">
        <v>1</v>
      </c>
      <c r="T699" s="7" t="n">
        <v>1</v>
      </c>
      <c r="U699" s="7" t="n">
        <v>134</v>
      </c>
      <c r="V699" s="7" t="n">
        <v>23</v>
      </c>
    </row>
    <row r="700" customFormat="false" ht="15" hidden="false" customHeight="false" outlineLevel="0" collapsed="false">
      <c r="A700" s="4" t="s">
        <v>2443</v>
      </c>
      <c r="B700" s="4" t="str">
        <f aca="false">IF(AND(I700&gt;='Read Me &amp; Markers'!$B$18,J700&gt;='Read Me &amp; Markers'!$B$19,L700&gt;='Read Me &amp; Markers'!$B$20),"A. Proven winner",IF(AND(I700&gt;='Read Me &amp; Markers'!$B$18,J700&gt;='Read Me &amp; Markers'!$B$19,L700&gt;='Read Me &amp; Markers'!$B$21),"B. Strong performer",IF(AND(I700&gt;='Read Me &amp; Markers'!$B$22,L700&gt;='Read Me &amp; Markers'!$B$23),"C. Scale workhorse",IF(AND(I700&gt;='Read Me &amp; Markers'!$B$24,I700&lt;'Read Me &amp; Markers'!$B$18,J700&gt;='Read Me &amp; Markers'!$B$25,L700&gt;='Read Me &amp; Markers'!$B$26),"D. Promising (needs more spend)",""))))</f>
        <v/>
      </c>
      <c r="C700" s="4" t="s">
        <v>1905</v>
      </c>
      <c r="D700" s="4" t="s">
        <v>109</v>
      </c>
      <c r="E700" s="4" t="s">
        <v>469</v>
      </c>
      <c r="F700" s="4" t="s">
        <v>111</v>
      </c>
      <c r="G700" s="4" t="s">
        <v>470</v>
      </c>
      <c r="H700" s="4" t="s">
        <v>2444</v>
      </c>
      <c r="I700" s="5" t="n">
        <v>12.83</v>
      </c>
      <c r="J700" s="7" t="n">
        <v>0</v>
      </c>
      <c r="K700" s="5" t="n">
        <v>0</v>
      </c>
      <c r="L700" s="8" t="n">
        <v>0</v>
      </c>
      <c r="M700" s="9" t="n">
        <v>0</v>
      </c>
      <c r="N700" s="10" t="n">
        <v>0.06896552</v>
      </c>
      <c r="O700" s="5" t="n">
        <v>147.47</v>
      </c>
      <c r="P700" s="11" t="n">
        <v>1.060976</v>
      </c>
      <c r="Q700" s="7" t="n">
        <v>87</v>
      </c>
      <c r="R700" s="7" t="n">
        <v>6</v>
      </c>
      <c r="S700" s="7" t="n">
        <v>0</v>
      </c>
      <c r="T700" s="7" t="n">
        <v>0</v>
      </c>
      <c r="U700" s="7" t="n">
        <v>66</v>
      </c>
      <c r="V700" s="7" t="n">
        <v>8</v>
      </c>
    </row>
    <row r="701" customFormat="false" ht="15" hidden="false" customHeight="false" outlineLevel="0" collapsed="false">
      <c r="A701" s="4" t="s">
        <v>2445</v>
      </c>
      <c r="B701" s="4" t="str">
        <f aca="false">IF(AND(I701&gt;='Read Me &amp; Markers'!$B$18,J701&gt;='Read Me &amp; Markers'!$B$19,L701&gt;='Read Me &amp; Markers'!$B$20),"A. Proven winner",IF(AND(I701&gt;='Read Me &amp; Markers'!$B$18,J701&gt;='Read Me &amp; Markers'!$B$19,L701&gt;='Read Me &amp; Markers'!$B$21),"B. Strong performer",IF(AND(I701&gt;='Read Me &amp; Markers'!$B$22,L701&gt;='Read Me &amp; Markers'!$B$23),"C. Scale workhorse",IF(AND(I701&gt;='Read Me &amp; Markers'!$B$24,I701&lt;'Read Me &amp; Markers'!$B$18,J701&gt;='Read Me &amp; Markers'!$B$25,L701&gt;='Read Me &amp; Markers'!$B$26),"D. Promising (needs more spend)",""))))</f>
        <v/>
      </c>
      <c r="C701" s="4" t="s">
        <v>2446</v>
      </c>
      <c r="D701" s="4" t="s">
        <v>109</v>
      </c>
      <c r="E701" s="4" t="s">
        <v>489</v>
      </c>
      <c r="F701" s="4" t="s">
        <v>111</v>
      </c>
      <c r="G701" s="4" t="s">
        <v>490</v>
      </c>
      <c r="H701" s="4" t="s">
        <v>2447</v>
      </c>
      <c r="I701" s="5" t="n">
        <v>12.82</v>
      </c>
      <c r="J701" s="7" t="n">
        <v>1</v>
      </c>
      <c r="K701" s="5" t="n">
        <v>45.95</v>
      </c>
      <c r="L701" s="8" t="n">
        <v>3.584243</v>
      </c>
      <c r="M701" s="9" t="n">
        <v>12.82</v>
      </c>
      <c r="N701" s="10" t="n">
        <v>0.00438596</v>
      </c>
      <c r="O701" s="5" t="n">
        <v>56.23</v>
      </c>
      <c r="P701" s="11" t="n">
        <v>1.193717</v>
      </c>
      <c r="Q701" s="7" t="n">
        <v>228</v>
      </c>
      <c r="R701" s="7" t="n">
        <v>1</v>
      </c>
      <c r="S701" s="7" t="n">
        <v>0</v>
      </c>
      <c r="T701" s="7" t="n">
        <v>2</v>
      </c>
      <c r="U701" s="7" t="n">
        <v>2</v>
      </c>
      <c r="V701" s="7" t="n">
        <v>0</v>
      </c>
    </row>
    <row r="702" customFormat="false" ht="15" hidden="false" customHeight="false" outlineLevel="0" collapsed="false">
      <c r="A702" s="4" t="s">
        <v>2448</v>
      </c>
      <c r="B702" s="4" t="str">
        <f aca="false">IF(AND(I702&gt;='Read Me &amp; Markers'!$B$18,J702&gt;='Read Me &amp; Markers'!$B$19,L702&gt;='Read Me &amp; Markers'!$B$20),"A. Proven winner",IF(AND(I702&gt;='Read Me &amp; Markers'!$B$18,J702&gt;='Read Me &amp; Markers'!$B$19,L702&gt;='Read Me &amp; Markers'!$B$21),"B. Strong performer",IF(AND(I702&gt;='Read Me &amp; Markers'!$B$22,L702&gt;='Read Me &amp; Markers'!$B$23),"C. Scale workhorse",IF(AND(I702&gt;='Read Me &amp; Markers'!$B$24,I702&lt;'Read Me &amp; Markers'!$B$18,J702&gt;='Read Me &amp; Markers'!$B$25,L702&gt;='Read Me &amp; Markers'!$B$26),"D. Promising (needs more spend)",""))))</f>
        <v/>
      </c>
      <c r="C702" s="4" t="s">
        <v>129</v>
      </c>
      <c r="D702" s="4" t="s">
        <v>100</v>
      </c>
      <c r="E702" s="4" t="s">
        <v>2449</v>
      </c>
      <c r="F702" s="4" t="s">
        <v>87</v>
      </c>
      <c r="G702" s="4" t="s">
        <v>279</v>
      </c>
      <c r="H702" s="4" t="s">
        <v>2450</v>
      </c>
      <c r="I702" s="5" t="n">
        <v>12.69</v>
      </c>
      <c r="J702" s="7" t="n">
        <v>0</v>
      </c>
      <c r="K702" s="5" t="n">
        <v>0</v>
      </c>
      <c r="L702" s="8" t="n">
        <v>0</v>
      </c>
      <c r="M702" s="9" t="n">
        <v>0</v>
      </c>
      <c r="N702" s="10" t="n">
        <v>0.09345794</v>
      </c>
      <c r="O702" s="5" t="n">
        <v>118.6</v>
      </c>
      <c r="P702" s="11" t="n">
        <v>1.009434</v>
      </c>
      <c r="Q702" s="7" t="n">
        <v>107</v>
      </c>
      <c r="R702" s="7" t="n">
        <v>10</v>
      </c>
      <c r="S702" s="7" t="n">
        <v>0</v>
      </c>
      <c r="T702" s="7" t="n">
        <v>0</v>
      </c>
      <c r="U702" s="7" t="n">
        <v>98</v>
      </c>
      <c r="V702" s="7" t="n">
        <v>25</v>
      </c>
    </row>
    <row r="703" customFormat="false" ht="15" hidden="false" customHeight="false" outlineLevel="0" collapsed="false">
      <c r="A703" s="4" t="s">
        <v>2451</v>
      </c>
      <c r="B703" s="4" t="str">
        <f aca="false">IF(AND(I703&gt;='Read Me &amp; Markers'!$B$18,J703&gt;='Read Me &amp; Markers'!$B$19,L703&gt;='Read Me &amp; Markers'!$B$20),"A. Proven winner",IF(AND(I703&gt;='Read Me &amp; Markers'!$B$18,J703&gt;='Read Me &amp; Markers'!$B$19,L703&gt;='Read Me &amp; Markers'!$B$21),"B. Strong performer",IF(AND(I703&gt;='Read Me &amp; Markers'!$B$22,L703&gt;='Read Me &amp; Markers'!$B$23),"C. Scale workhorse",IF(AND(I703&gt;='Read Me &amp; Markers'!$B$24,I703&lt;'Read Me &amp; Markers'!$B$18,J703&gt;='Read Me &amp; Markers'!$B$25,L703&gt;='Read Me &amp; Markers'!$B$26),"D. Promising (needs more spend)",""))))</f>
        <v/>
      </c>
      <c r="C703" s="4" t="s">
        <v>121</v>
      </c>
      <c r="D703" s="4" t="s">
        <v>154</v>
      </c>
      <c r="E703" s="4" t="s">
        <v>2452</v>
      </c>
      <c r="F703" s="4" t="s">
        <v>253</v>
      </c>
      <c r="G703" s="4" t="s">
        <v>2453</v>
      </c>
      <c r="H703" s="4" t="s">
        <v>2454</v>
      </c>
      <c r="I703" s="5" t="n">
        <v>12.62</v>
      </c>
      <c r="J703" s="7" t="n">
        <v>0</v>
      </c>
      <c r="K703" s="5" t="n">
        <v>0</v>
      </c>
      <c r="L703" s="8" t="n">
        <v>0</v>
      </c>
      <c r="M703" s="9" t="n">
        <v>0</v>
      </c>
      <c r="N703" s="10" t="n">
        <v>0.03418803</v>
      </c>
      <c r="O703" s="5" t="n">
        <v>35.95</v>
      </c>
      <c r="P703" s="11" t="n">
        <v>1.35</v>
      </c>
      <c r="Q703" s="7" t="n">
        <v>351</v>
      </c>
      <c r="R703" s="7" t="n">
        <v>12</v>
      </c>
      <c r="S703" s="7" t="n">
        <v>0</v>
      </c>
      <c r="T703" s="7" t="n">
        <v>0</v>
      </c>
      <c r="U703" s="7" t="n">
        <v>203</v>
      </c>
      <c r="V703" s="7" t="n">
        <v>14</v>
      </c>
    </row>
    <row r="704" customFormat="false" ht="15" hidden="false" customHeight="false" outlineLevel="0" collapsed="false">
      <c r="A704" s="4" t="s">
        <v>2455</v>
      </c>
      <c r="B704" s="4" t="str">
        <f aca="false">IF(AND(I704&gt;='Read Me &amp; Markers'!$B$18,J704&gt;='Read Me &amp; Markers'!$B$19,L704&gt;='Read Me &amp; Markers'!$B$20),"A. Proven winner",IF(AND(I704&gt;='Read Me &amp; Markers'!$B$18,J704&gt;='Read Me &amp; Markers'!$B$19,L704&gt;='Read Me &amp; Markers'!$B$21),"B. Strong performer",IF(AND(I704&gt;='Read Me &amp; Markers'!$B$22,L704&gt;='Read Me &amp; Markers'!$B$23),"C. Scale workhorse",IF(AND(I704&gt;='Read Me &amp; Markers'!$B$24,I704&lt;'Read Me &amp; Markers'!$B$18,J704&gt;='Read Me &amp; Markers'!$B$25,L704&gt;='Read Me &amp; Markers'!$B$26),"D. Promising (needs more spend)",""))))</f>
        <v/>
      </c>
      <c r="C704" s="4" t="s">
        <v>169</v>
      </c>
      <c r="D704" s="4" t="s">
        <v>154</v>
      </c>
      <c r="E704" s="4" t="s">
        <v>2456</v>
      </c>
      <c r="F704" s="4" t="s">
        <v>253</v>
      </c>
      <c r="G704" s="4" t="s">
        <v>188</v>
      </c>
      <c r="H704" s="4" t="s">
        <v>2457</v>
      </c>
      <c r="I704" s="5" t="n">
        <v>12.58</v>
      </c>
      <c r="J704" s="7" t="n">
        <v>0</v>
      </c>
      <c r="K704" s="5" t="n">
        <v>0</v>
      </c>
      <c r="L704" s="8" t="n">
        <v>0</v>
      </c>
      <c r="M704" s="9" t="n">
        <v>0</v>
      </c>
      <c r="N704" s="10" t="n">
        <v>0.02469136</v>
      </c>
      <c r="O704" s="5" t="n">
        <v>51.77</v>
      </c>
      <c r="P704" s="11" t="n">
        <v>1.135514</v>
      </c>
      <c r="Q704" s="7" t="n">
        <v>243</v>
      </c>
      <c r="R704" s="7" t="n">
        <v>6</v>
      </c>
      <c r="S704" s="7" t="n">
        <v>1</v>
      </c>
      <c r="T704" s="7" t="n">
        <v>1</v>
      </c>
      <c r="U704" s="7" t="n">
        <v>163</v>
      </c>
      <c r="V704" s="7" t="n">
        <v>11</v>
      </c>
    </row>
    <row r="705" customFormat="false" ht="15" hidden="false" customHeight="false" outlineLevel="0" collapsed="false">
      <c r="A705" s="4" t="s">
        <v>2458</v>
      </c>
      <c r="B705" s="4" t="str">
        <f aca="false">IF(AND(I705&gt;='Read Me &amp; Markers'!$B$18,J705&gt;='Read Me &amp; Markers'!$B$19,L705&gt;='Read Me &amp; Markers'!$B$20),"A. Proven winner",IF(AND(I705&gt;='Read Me &amp; Markers'!$B$18,J705&gt;='Read Me &amp; Markers'!$B$19,L705&gt;='Read Me &amp; Markers'!$B$21),"B. Strong performer",IF(AND(I705&gt;='Read Me &amp; Markers'!$B$22,L705&gt;='Read Me &amp; Markers'!$B$23),"C. Scale workhorse",IF(AND(I705&gt;='Read Me &amp; Markers'!$B$24,I705&lt;'Read Me &amp; Markers'!$B$18,J705&gt;='Read Me &amp; Markers'!$B$25,L705&gt;='Read Me &amp; Markers'!$B$26),"D. Promising (needs more spend)",""))))</f>
        <v/>
      </c>
      <c r="C705" s="4" t="s">
        <v>2459</v>
      </c>
      <c r="D705" s="4" t="s">
        <v>109</v>
      </c>
      <c r="E705" s="4" t="s">
        <v>489</v>
      </c>
      <c r="F705" s="4" t="s">
        <v>111</v>
      </c>
      <c r="G705" s="4" t="s">
        <v>490</v>
      </c>
      <c r="H705" s="4" t="s">
        <v>2460</v>
      </c>
      <c r="I705" s="5" t="n">
        <v>12.41</v>
      </c>
      <c r="J705" s="7" t="n">
        <v>0</v>
      </c>
      <c r="K705" s="5" t="n">
        <v>0</v>
      </c>
      <c r="L705" s="8" t="n">
        <v>0</v>
      </c>
      <c r="M705" s="9" t="n">
        <v>0</v>
      </c>
      <c r="N705" s="10" t="n">
        <v>0</v>
      </c>
      <c r="O705" s="5" t="n">
        <v>221.61</v>
      </c>
      <c r="P705" s="11" t="n">
        <v>1.473684</v>
      </c>
      <c r="Q705" s="7" t="n">
        <v>56</v>
      </c>
      <c r="R705" s="7" t="n">
        <v>0</v>
      </c>
      <c r="S705" s="7" t="n">
        <v>0</v>
      </c>
      <c r="T705" s="7" t="n">
        <v>0</v>
      </c>
      <c r="U705" s="7" t="n">
        <v>0</v>
      </c>
      <c r="V705" s="7" t="n">
        <v>0</v>
      </c>
    </row>
    <row r="706" customFormat="false" ht="15" hidden="false" customHeight="false" outlineLevel="0" collapsed="false">
      <c r="A706" s="4" t="s">
        <v>2461</v>
      </c>
      <c r="B706" s="4" t="str">
        <f aca="false">IF(AND(I706&gt;='Read Me &amp; Markers'!$B$18,J706&gt;='Read Me &amp; Markers'!$B$19,L706&gt;='Read Me &amp; Markers'!$B$20),"A. Proven winner",IF(AND(I706&gt;='Read Me &amp; Markers'!$B$18,J706&gt;='Read Me &amp; Markers'!$B$19,L706&gt;='Read Me &amp; Markers'!$B$21),"B. Strong performer",IF(AND(I706&gt;='Read Me &amp; Markers'!$B$22,L706&gt;='Read Me &amp; Markers'!$B$23),"C. Scale workhorse",IF(AND(I706&gt;='Read Me &amp; Markers'!$B$24,I706&lt;'Read Me &amp; Markers'!$B$18,J706&gt;='Read Me &amp; Markers'!$B$25,L706&gt;='Read Me &amp; Markers'!$B$26),"D. Promising (needs more spend)",""))))</f>
        <v/>
      </c>
      <c r="C706" s="4" t="s">
        <v>2462</v>
      </c>
      <c r="D706" s="4" t="s">
        <v>109</v>
      </c>
      <c r="E706" s="4" t="s">
        <v>482</v>
      </c>
      <c r="F706" s="4" t="s">
        <v>111</v>
      </c>
      <c r="G706" s="4" t="s">
        <v>483</v>
      </c>
      <c r="H706" s="4" t="s">
        <v>2463</v>
      </c>
      <c r="I706" s="5" t="n">
        <v>12.36</v>
      </c>
      <c r="J706" s="7" t="n">
        <v>1</v>
      </c>
      <c r="K706" s="5" t="n">
        <v>35.96</v>
      </c>
      <c r="L706" s="8" t="n">
        <v>2.909385</v>
      </c>
      <c r="M706" s="9" t="n">
        <v>12.36</v>
      </c>
      <c r="N706" s="10" t="n">
        <v>0.032</v>
      </c>
      <c r="O706" s="5" t="n">
        <v>98.88</v>
      </c>
      <c r="P706" s="11" t="n">
        <v>1.077586</v>
      </c>
      <c r="Q706" s="7" t="n">
        <v>125</v>
      </c>
      <c r="R706" s="7" t="n">
        <v>4</v>
      </c>
      <c r="S706" s="7" t="n">
        <v>0</v>
      </c>
      <c r="T706" s="7" t="n">
        <v>1</v>
      </c>
      <c r="U706" s="7" t="n">
        <v>114</v>
      </c>
      <c r="V706" s="7" t="n">
        <v>33</v>
      </c>
    </row>
    <row r="707" customFormat="false" ht="15" hidden="false" customHeight="false" outlineLevel="0" collapsed="false">
      <c r="A707" s="4" t="s">
        <v>2464</v>
      </c>
      <c r="B707" s="4" t="str">
        <f aca="false">IF(AND(I707&gt;='Read Me &amp; Markers'!$B$18,J707&gt;='Read Me &amp; Markers'!$B$19,L707&gt;='Read Me &amp; Markers'!$B$20),"A. Proven winner",IF(AND(I707&gt;='Read Me &amp; Markers'!$B$18,J707&gt;='Read Me &amp; Markers'!$B$19,L707&gt;='Read Me &amp; Markers'!$B$21),"B. Strong performer",IF(AND(I707&gt;='Read Me &amp; Markers'!$B$22,L707&gt;='Read Me &amp; Markers'!$B$23),"C. Scale workhorse",IF(AND(I707&gt;='Read Me &amp; Markers'!$B$24,I707&lt;'Read Me &amp; Markers'!$B$18,J707&gt;='Read Me &amp; Markers'!$B$25,L707&gt;='Read Me &amp; Markers'!$B$26),"D. Promising (needs more spend)",""))))</f>
        <v/>
      </c>
      <c r="C707" s="4" t="s">
        <v>169</v>
      </c>
      <c r="D707" s="4" t="s">
        <v>100</v>
      </c>
      <c r="E707" s="4" t="s">
        <v>439</v>
      </c>
      <c r="F707" s="4" t="s">
        <v>253</v>
      </c>
      <c r="G707" s="4" t="s">
        <v>440</v>
      </c>
      <c r="H707" s="4" t="s">
        <v>2465</v>
      </c>
      <c r="I707" s="5" t="n">
        <v>12.35</v>
      </c>
      <c r="J707" s="7" t="n">
        <v>0</v>
      </c>
      <c r="K707" s="5" t="n">
        <v>0</v>
      </c>
      <c r="L707" s="8" t="n">
        <v>0</v>
      </c>
      <c r="M707" s="9" t="n">
        <v>0</v>
      </c>
      <c r="N707" s="10" t="n">
        <v>0.01948052</v>
      </c>
      <c r="O707" s="5" t="n">
        <v>80.19</v>
      </c>
      <c r="P707" s="11" t="n">
        <v>1.387387</v>
      </c>
      <c r="Q707" s="7" t="n">
        <v>154</v>
      </c>
      <c r="R707" s="7" t="n">
        <v>3</v>
      </c>
      <c r="S707" s="7" t="n">
        <v>1</v>
      </c>
      <c r="T707" s="7" t="n">
        <v>0</v>
      </c>
      <c r="U707" s="7" t="n">
        <v>117</v>
      </c>
      <c r="V707" s="7" t="n">
        <v>5</v>
      </c>
    </row>
    <row r="708" customFormat="false" ht="15" hidden="false" customHeight="false" outlineLevel="0" collapsed="false">
      <c r="A708" s="4" t="s">
        <v>2466</v>
      </c>
      <c r="B708" s="4" t="str">
        <f aca="false">IF(AND(I708&gt;='Read Me &amp; Markers'!$B$18,J708&gt;='Read Me &amp; Markers'!$B$19,L708&gt;='Read Me &amp; Markers'!$B$20),"A. Proven winner",IF(AND(I708&gt;='Read Me &amp; Markers'!$B$18,J708&gt;='Read Me &amp; Markers'!$B$19,L708&gt;='Read Me &amp; Markers'!$B$21),"B. Strong performer",IF(AND(I708&gt;='Read Me &amp; Markers'!$B$22,L708&gt;='Read Me &amp; Markers'!$B$23),"C. Scale workhorse",IF(AND(I708&gt;='Read Me &amp; Markers'!$B$24,I708&lt;'Read Me &amp; Markers'!$B$18,J708&gt;='Read Me &amp; Markers'!$B$25,L708&gt;='Read Me &amp; Markers'!$B$26),"D. Promising (needs more spend)",""))))</f>
        <v/>
      </c>
      <c r="C708" s="4" t="s">
        <v>506</v>
      </c>
      <c r="D708" s="4" t="s">
        <v>109</v>
      </c>
      <c r="E708" s="4" t="s">
        <v>469</v>
      </c>
      <c r="F708" s="4" t="s">
        <v>172</v>
      </c>
      <c r="G708" s="4" t="s">
        <v>470</v>
      </c>
      <c r="H708" s="4" t="s">
        <v>2467</v>
      </c>
      <c r="I708" s="5" t="n">
        <v>12.34</v>
      </c>
      <c r="J708" s="7" t="n">
        <v>0</v>
      </c>
      <c r="K708" s="5" t="n">
        <v>0</v>
      </c>
      <c r="L708" s="8" t="n">
        <v>0</v>
      </c>
      <c r="M708" s="9" t="n">
        <v>0</v>
      </c>
      <c r="N708" s="10" t="n">
        <v>0.09195402</v>
      </c>
      <c r="O708" s="5" t="n">
        <v>141.84</v>
      </c>
      <c r="P708" s="11" t="n">
        <v>1.048193</v>
      </c>
      <c r="Q708" s="7" t="n">
        <v>87</v>
      </c>
      <c r="R708" s="7" t="n">
        <v>8</v>
      </c>
      <c r="S708" s="7" t="n">
        <v>0</v>
      </c>
      <c r="T708" s="7" t="n">
        <v>0</v>
      </c>
      <c r="U708" s="7" t="n">
        <v>77</v>
      </c>
      <c r="V708" s="7" t="n">
        <v>14</v>
      </c>
    </row>
    <row r="709" customFormat="false" ht="15" hidden="false" customHeight="false" outlineLevel="0" collapsed="false">
      <c r="A709" s="4" t="s">
        <v>2468</v>
      </c>
      <c r="B709" s="4" t="str">
        <f aca="false">IF(AND(I709&gt;='Read Me &amp; Markers'!$B$18,J709&gt;='Read Me &amp; Markers'!$B$19,L709&gt;='Read Me &amp; Markers'!$B$20),"A. Proven winner",IF(AND(I709&gt;='Read Me &amp; Markers'!$B$18,J709&gt;='Read Me &amp; Markers'!$B$19,L709&gt;='Read Me &amp; Markers'!$B$21),"B. Strong performer",IF(AND(I709&gt;='Read Me &amp; Markers'!$B$22,L709&gt;='Read Me &amp; Markers'!$B$23),"C. Scale workhorse",IF(AND(I709&gt;='Read Me &amp; Markers'!$B$24,I709&lt;'Read Me &amp; Markers'!$B$18,J709&gt;='Read Me &amp; Markers'!$B$25,L709&gt;='Read Me &amp; Markers'!$B$26),"D. Promising (needs more spend)",""))))</f>
        <v/>
      </c>
      <c r="C709" s="4" t="s">
        <v>129</v>
      </c>
      <c r="D709" s="4" t="s">
        <v>100</v>
      </c>
      <c r="E709" s="4" t="s">
        <v>1545</v>
      </c>
      <c r="F709" s="4" t="s">
        <v>253</v>
      </c>
      <c r="G709" s="4" t="s">
        <v>538</v>
      </c>
      <c r="H709" s="4" t="s">
        <v>2469</v>
      </c>
      <c r="I709" s="5" t="n">
        <v>12.33</v>
      </c>
      <c r="J709" s="7" t="n">
        <v>1</v>
      </c>
      <c r="K709" s="5" t="n">
        <v>83.96</v>
      </c>
      <c r="L709" s="8" t="n">
        <v>6.809408</v>
      </c>
      <c r="M709" s="9" t="n">
        <v>12.33</v>
      </c>
      <c r="N709" s="10" t="n">
        <v>0.05645161</v>
      </c>
      <c r="O709" s="5" t="n">
        <v>99.44</v>
      </c>
      <c r="P709" s="11" t="n">
        <v>1.016393</v>
      </c>
      <c r="Q709" s="7" t="n">
        <v>124</v>
      </c>
      <c r="R709" s="7" t="n">
        <v>7</v>
      </c>
      <c r="S709" s="7" t="n">
        <v>6</v>
      </c>
      <c r="T709" s="7" t="n">
        <v>6</v>
      </c>
      <c r="U709" s="7" t="n">
        <v>105</v>
      </c>
      <c r="V709" s="7" t="n">
        <v>23</v>
      </c>
    </row>
    <row r="710" customFormat="false" ht="15" hidden="false" customHeight="false" outlineLevel="0" collapsed="false">
      <c r="A710" s="4" t="s">
        <v>2470</v>
      </c>
      <c r="B710" s="4" t="str">
        <f aca="false">IF(AND(I710&gt;='Read Me &amp; Markers'!$B$18,J710&gt;='Read Me &amp; Markers'!$B$19,L710&gt;='Read Me &amp; Markers'!$B$20),"A. Proven winner",IF(AND(I710&gt;='Read Me &amp; Markers'!$B$18,J710&gt;='Read Me &amp; Markers'!$B$19,L710&gt;='Read Me &amp; Markers'!$B$21),"B. Strong performer",IF(AND(I710&gt;='Read Me &amp; Markers'!$B$22,L710&gt;='Read Me &amp; Markers'!$B$23),"C. Scale workhorse",IF(AND(I710&gt;='Read Me &amp; Markers'!$B$24,I710&lt;'Read Me &amp; Markers'!$B$18,J710&gt;='Read Me &amp; Markers'!$B$25,L710&gt;='Read Me &amp; Markers'!$B$26),"D. Promising (needs more spend)",""))))</f>
        <v/>
      </c>
      <c r="C710" s="4" t="s">
        <v>169</v>
      </c>
      <c r="D710" s="4" t="s">
        <v>100</v>
      </c>
      <c r="E710" s="4" t="s">
        <v>2405</v>
      </c>
      <c r="F710" s="4" t="s">
        <v>87</v>
      </c>
      <c r="G710" s="4" t="s">
        <v>294</v>
      </c>
      <c r="H710" s="4" t="s">
        <v>2471</v>
      </c>
      <c r="I710" s="5" t="n">
        <v>12.32</v>
      </c>
      <c r="J710" s="7" t="n">
        <v>0</v>
      </c>
      <c r="K710" s="5" t="n">
        <v>0</v>
      </c>
      <c r="L710" s="8" t="n">
        <v>0</v>
      </c>
      <c r="M710" s="9" t="n">
        <v>0</v>
      </c>
      <c r="N710" s="10" t="n">
        <v>0.02</v>
      </c>
      <c r="O710" s="5" t="n">
        <v>61.6</v>
      </c>
      <c r="P710" s="11" t="n">
        <v>1.204819</v>
      </c>
      <c r="Q710" s="7" t="n">
        <v>200</v>
      </c>
      <c r="R710" s="7" t="n">
        <v>4</v>
      </c>
      <c r="S710" s="7" t="n">
        <v>1</v>
      </c>
      <c r="T710" s="7" t="n">
        <v>1</v>
      </c>
      <c r="U710" s="7" t="n">
        <v>163</v>
      </c>
      <c r="V710" s="7" t="n">
        <v>15</v>
      </c>
    </row>
    <row r="711" customFormat="false" ht="15" hidden="false" customHeight="false" outlineLevel="0" collapsed="false">
      <c r="A711" s="4" t="s">
        <v>2472</v>
      </c>
      <c r="B711" s="4" t="str">
        <f aca="false">IF(AND(I711&gt;='Read Me &amp; Markers'!$B$18,J711&gt;='Read Me &amp; Markers'!$B$19,L711&gt;='Read Me &amp; Markers'!$B$20),"A. Proven winner",IF(AND(I711&gt;='Read Me &amp; Markers'!$B$18,J711&gt;='Read Me &amp; Markers'!$B$19,L711&gt;='Read Me &amp; Markers'!$B$21),"B. Strong performer",IF(AND(I711&gt;='Read Me &amp; Markers'!$B$22,L711&gt;='Read Me &amp; Markers'!$B$23),"C. Scale workhorse",IF(AND(I711&gt;='Read Me &amp; Markers'!$B$24,I711&lt;'Read Me &amp; Markers'!$B$18,J711&gt;='Read Me &amp; Markers'!$B$25,L711&gt;='Read Me &amp; Markers'!$B$26),"D. Promising (needs more spend)",""))))</f>
        <v/>
      </c>
      <c r="C711" s="4" t="s">
        <v>121</v>
      </c>
      <c r="D711" s="4" t="s">
        <v>100</v>
      </c>
      <c r="E711" s="4" t="s">
        <v>622</v>
      </c>
      <c r="F711" s="4" t="s">
        <v>172</v>
      </c>
      <c r="G711" s="4" t="s">
        <v>623</v>
      </c>
      <c r="H711" s="4" t="s">
        <v>2473</v>
      </c>
      <c r="I711" s="5" t="n">
        <v>12.28</v>
      </c>
      <c r="J711" s="7" t="n">
        <v>0</v>
      </c>
      <c r="K711" s="5" t="n">
        <v>0</v>
      </c>
      <c r="L711" s="8" t="n">
        <v>0</v>
      </c>
      <c r="M711" s="9" t="n">
        <v>0</v>
      </c>
      <c r="N711" s="10" t="n">
        <v>0.08333333</v>
      </c>
      <c r="O711" s="5" t="n">
        <v>127.92</v>
      </c>
      <c r="P711" s="11" t="n">
        <v>1.054945</v>
      </c>
      <c r="Q711" s="7" t="n">
        <v>96</v>
      </c>
      <c r="R711" s="7" t="n">
        <v>8</v>
      </c>
      <c r="S711" s="7" t="n">
        <v>0</v>
      </c>
      <c r="T711" s="7" t="n">
        <v>0</v>
      </c>
      <c r="U711" s="7" t="n">
        <v>88</v>
      </c>
      <c r="V711" s="7" t="n">
        <v>23</v>
      </c>
    </row>
    <row r="712" customFormat="false" ht="15" hidden="false" customHeight="false" outlineLevel="0" collapsed="false">
      <c r="A712" s="4" t="s">
        <v>2474</v>
      </c>
      <c r="B712" s="4" t="str">
        <f aca="false">IF(AND(I712&gt;='Read Me &amp; Markers'!$B$18,J712&gt;='Read Me &amp; Markers'!$B$19,L712&gt;='Read Me &amp; Markers'!$B$20),"A. Proven winner",IF(AND(I712&gt;='Read Me &amp; Markers'!$B$18,J712&gt;='Read Me &amp; Markers'!$B$19,L712&gt;='Read Me &amp; Markers'!$B$21),"B. Strong performer",IF(AND(I712&gt;='Read Me &amp; Markers'!$B$22,L712&gt;='Read Me &amp; Markers'!$B$23),"C. Scale workhorse",IF(AND(I712&gt;='Read Me &amp; Markers'!$B$24,I712&lt;'Read Me &amp; Markers'!$B$18,J712&gt;='Read Me &amp; Markers'!$B$25,L712&gt;='Read Me &amp; Markers'!$B$26),"D. Promising (needs more spend)",""))))</f>
        <v/>
      </c>
      <c r="C712" s="4" t="s">
        <v>1361</v>
      </c>
      <c r="D712" s="4" t="s">
        <v>206</v>
      </c>
      <c r="E712" s="4" t="s">
        <v>2475</v>
      </c>
      <c r="F712" s="4" t="s">
        <v>253</v>
      </c>
      <c r="G712" s="4" t="s">
        <v>1363</v>
      </c>
      <c r="H712" s="4" t="s">
        <v>2476</v>
      </c>
      <c r="I712" s="5" t="n">
        <v>12.27</v>
      </c>
      <c r="J712" s="7" t="n">
        <v>0</v>
      </c>
      <c r="K712" s="5" t="n">
        <v>0</v>
      </c>
      <c r="L712" s="8" t="n">
        <v>0</v>
      </c>
      <c r="M712" s="9" t="n">
        <v>0</v>
      </c>
      <c r="N712" s="10" t="n">
        <v>0.02424242</v>
      </c>
      <c r="O712" s="5" t="n">
        <v>74.36</v>
      </c>
      <c r="P712" s="11" t="n">
        <v>1.375</v>
      </c>
      <c r="Q712" s="7" t="n">
        <v>165</v>
      </c>
      <c r="R712" s="7" t="n">
        <v>4</v>
      </c>
      <c r="S712" s="7" t="n">
        <v>3</v>
      </c>
      <c r="T712" s="7" t="n">
        <v>3</v>
      </c>
      <c r="U712" s="7" t="n">
        <v>0</v>
      </c>
      <c r="V712" s="7" t="n">
        <v>0</v>
      </c>
    </row>
    <row r="713" customFormat="false" ht="15" hidden="false" customHeight="false" outlineLevel="0" collapsed="false">
      <c r="A713" s="4" t="s">
        <v>2477</v>
      </c>
      <c r="B713" s="4" t="str">
        <f aca="false">IF(AND(I713&gt;='Read Me &amp; Markers'!$B$18,J713&gt;='Read Me &amp; Markers'!$B$19,L713&gt;='Read Me &amp; Markers'!$B$20),"A. Proven winner",IF(AND(I713&gt;='Read Me &amp; Markers'!$B$18,J713&gt;='Read Me &amp; Markers'!$B$19,L713&gt;='Read Me &amp; Markers'!$B$21),"B. Strong performer",IF(AND(I713&gt;='Read Me &amp; Markers'!$B$22,L713&gt;='Read Me &amp; Markers'!$B$23),"C. Scale workhorse",IF(AND(I713&gt;='Read Me &amp; Markers'!$B$24,I713&lt;'Read Me &amp; Markers'!$B$18,J713&gt;='Read Me &amp; Markers'!$B$25,L713&gt;='Read Me &amp; Markers'!$B$26),"D. Promising (needs more spend)",""))))</f>
        <v/>
      </c>
      <c r="C713" s="4" t="s">
        <v>2478</v>
      </c>
      <c r="D713" s="4" t="s">
        <v>109</v>
      </c>
      <c r="E713" s="4" t="s">
        <v>512</v>
      </c>
      <c r="F713" s="4" t="s">
        <v>111</v>
      </c>
      <c r="G713" s="4" t="s">
        <v>490</v>
      </c>
      <c r="H713" s="4" t="s">
        <v>2479</v>
      </c>
      <c r="I713" s="5" t="n">
        <v>12.17</v>
      </c>
      <c r="J713" s="7" t="n">
        <v>0</v>
      </c>
      <c r="K713" s="5" t="n">
        <v>0</v>
      </c>
      <c r="L713" s="8" t="n">
        <v>0</v>
      </c>
      <c r="M713" s="9" t="n">
        <v>0</v>
      </c>
      <c r="N713" s="10" t="n">
        <v>0.04651163</v>
      </c>
      <c r="O713" s="5" t="n">
        <v>141.51</v>
      </c>
      <c r="P713" s="11" t="n">
        <v>1.211268</v>
      </c>
      <c r="Q713" s="7" t="n">
        <v>86</v>
      </c>
      <c r="R713" s="7" t="n">
        <v>4</v>
      </c>
      <c r="S713" s="7" t="n">
        <v>1</v>
      </c>
      <c r="T713" s="7" t="n">
        <v>0</v>
      </c>
      <c r="U713" s="7" t="n">
        <v>73</v>
      </c>
      <c r="V713" s="7" t="n">
        <v>4</v>
      </c>
    </row>
    <row r="714" customFormat="false" ht="15" hidden="false" customHeight="false" outlineLevel="0" collapsed="false">
      <c r="A714" s="4" t="s">
        <v>2480</v>
      </c>
      <c r="B714" s="4" t="str">
        <f aca="false">IF(AND(I714&gt;='Read Me &amp; Markers'!$B$18,J714&gt;='Read Me &amp; Markers'!$B$19,L714&gt;='Read Me &amp; Markers'!$B$20),"A. Proven winner",IF(AND(I714&gt;='Read Me &amp; Markers'!$B$18,J714&gt;='Read Me &amp; Markers'!$B$19,L714&gt;='Read Me &amp; Markers'!$B$21),"B. Strong performer",IF(AND(I714&gt;='Read Me &amp; Markers'!$B$22,L714&gt;='Read Me &amp; Markers'!$B$23),"C. Scale workhorse",IF(AND(I714&gt;='Read Me &amp; Markers'!$B$24,I714&lt;'Read Me &amp; Markers'!$B$18,J714&gt;='Read Me &amp; Markers'!$B$25,L714&gt;='Read Me &amp; Markers'!$B$26),"D. Promising (needs more spend)",""))))</f>
        <v/>
      </c>
      <c r="C714" s="4" t="s">
        <v>2481</v>
      </c>
      <c r="D714" s="4" t="s">
        <v>154</v>
      </c>
      <c r="E714" s="4" t="s">
        <v>2482</v>
      </c>
      <c r="F714" s="4" t="s">
        <v>87</v>
      </c>
      <c r="G714" s="4" t="s">
        <v>2483</v>
      </c>
      <c r="H714" s="4" t="s">
        <v>2484</v>
      </c>
      <c r="I714" s="5" t="n">
        <v>12.01</v>
      </c>
      <c r="J714" s="7" t="n">
        <v>0</v>
      </c>
      <c r="K714" s="5" t="n">
        <v>0</v>
      </c>
      <c r="L714" s="8" t="n">
        <v>0</v>
      </c>
      <c r="M714" s="9" t="n">
        <v>0</v>
      </c>
      <c r="N714" s="10" t="n">
        <v>0.03278689</v>
      </c>
      <c r="O714" s="5" t="n">
        <v>98.44</v>
      </c>
      <c r="P714" s="11" t="n">
        <v>1.089286</v>
      </c>
      <c r="Q714" s="7" t="n">
        <v>122</v>
      </c>
      <c r="R714" s="7" t="n">
        <v>4</v>
      </c>
      <c r="S714" s="7" t="n">
        <v>1</v>
      </c>
      <c r="T714" s="7" t="n">
        <v>1</v>
      </c>
      <c r="U714" s="7" t="n">
        <v>113</v>
      </c>
      <c r="V714" s="7" t="n">
        <v>8</v>
      </c>
    </row>
    <row r="715" customFormat="false" ht="15" hidden="false" customHeight="false" outlineLevel="0" collapsed="false">
      <c r="A715" s="4" t="s">
        <v>2485</v>
      </c>
      <c r="B715" s="4" t="str">
        <f aca="false">IF(AND(I715&gt;='Read Me &amp; Markers'!$B$18,J715&gt;='Read Me &amp; Markers'!$B$19,L715&gt;='Read Me &amp; Markers'!$B$20),"A. Proven winner",IF(AND(I715&gt;='Read Me &amp; Markers'!$B$18,J715&gt;='Read Me &amp; Markers'!$B$19,L715&gt;='Read Me &amp; Markers'!$B$21),"B. Strong performer",IF(AND(I715&gt;='Read Me &amp; Markers'!$B$22,L715&gt;='Read Me &amp; Markers'!$B$23),"C. Scale workhorse",IF(AND(I715&gt;='Read Me &amp; Markers'!$B$24,I715&lt;'Read Me &amp; Markers'!$B$18,J715&gt;='Read Me &amp; Markers'!$B$25,L715&gt;='Read Me &amp; Markers'!$B$26),"D. Promising (needs more spend)",""))))</f>
        <v/>
      </c>
      <c r="C715" s="4" t="s">
        <v>98</v>
      </c>
      <c r="D715" s="4" t="s">
        <v>100</v>
      </c>
      <c r="E715" s="4" t="s">
        <v>2486</v>
      </c>
      <c r="F715" s="4" t="s">
        <v>87</v>
      </c>
      <c r="G715" s="4" t="s">
        <v>1200</v>
      </c>
      <c r="H715" s="4" t="s">
        <v>2487</v>
      </c>
      <c r="I715" s="5" t="n">
        <v>11.92</v>
      </c>
      <c r="J715" s="7" t="n">
        <v>0</v>
      </c>
      <c r="K715" s="5" t="n">
        <v>0</v>
      </c>
      <c r="L715" s="8" t="n">
        <v>0</v>
      </c>
      <c r="M715" s="9" t="n">
        <v>0</v>
      </c>
      <c r="N715" s="10" t="n">
        <v>0.04301075</v>
      </c>
      <c r="O715" s="5" t="n">
        <v>128.17</v>
      </c>
      <c r="P715" s="11" t="n">
        <v>1.107143</v>
      </c>
      <c r="Q715" s="7" t="n">
        <v>93</v>
      </c>
      <c r="R715" s="7" t="n">
        <v>4</v>
      </c>
      <c r="S715" s="7" t="n">
        <v>0</v>
      </c>
      <c r="T715" s="7" t="n">
        <v>0</v>
      </c>
      <c r="U715" s="7" t="n">
        <v>65</v>
      </c>
      <c r="V715" s="7" t="n">
        <v>8</v>
      </c>
    </row>
    <row r="716" customFormat="false" ht="15" hidden="false" customHeight="false" outlineLevel="0" collapsed="false">
      <c r="A716" s="4" t="s">
        <v>2488</v>
      </c>
      <c r="B716" s="4" t="str">
        <f aca="false">IF(AND(I716&gt;='Read Me &amp; Markers'!$B$18,J716&gt;='Read Me &amp; Markers'!$B$19,L716&gt;='Read Me &amp; Markers'!$B$20),"A. Proven winner",IF(AND(I716&gt;='Read Me &amp; Markers'!$B$18,J716&gt;='Read Me &amp; Markers'!$B$19,L716&gt;='Read Me &amp; Markers'!$B$21),"B. Strong performer",IF(AND(I716&gt;='Read Me &amp; Markers'!$B$22,L716&gt;='Read Me &amp; Markers'!$B$23),"C. Scale workhorse",IF(AND(I716&gt;='Read Me &amp; Markers'!$B$24,I716&lt;'Read Me &amp; Markers'!$B$18,J716&gt;='Read Me &amp; Markers'!$B$25,L716&gt;='Read Me &amp; Markers'!$B$26),"D. Promising (needs more spend)",""))))</f>
        <v/>
      </c>
      <c r="C716" s="4" t="s">
        <v>2489</v>
      </c>
      <c r="D716" s="4" t="s">
        <v>109</v>
      </c>
      <c r="E716" s="4" t="s">
        <v>738</v>
      </c>
      <c r="F716" s="4" t="s">
        <v>111</v>
      </c>
      <c r="G716" s="4" t="s">
        <v>739</v>
      </c>
      <c r="H716" s="4" t="s">
        <v>2490</v>
      </c>
      <c r="I716" s="5" t="n">
        <v>11.84</v>
      </c>
      <c r="J716" s="7" t="n">
        <v>0</v>
      </c>
      <c r="K716" s="5" t="n">
        <v>0</v>
      </c>
      <c r="L716" s="8" t="n">
        <v>0</v>
      </c>
      <c r="M716" s="9" t="n">
        <v>0</v>
      </c>
      <c r="N716" s="10" t="n">
        <v>0.04545455</v>
      </c>
      <c r="O716" s="5" t="n">
        <v>134.55</v>
      </c>
      <c r="P716" s="11" t="n">
        <v>1.1</v>
      </c>
      <c r="Q716" s="7" t="n">
        <v>88</v>
      </c>
      <c r="R716" s="7" t="n">
        <v>4</v>
      </c>
      <c r="S716" s="7" t="n">
        <v>0</v>
      </c>
      <c r="T716" s="7" t="n">
        <v>1</v>
      </c>
      <c r="U716" s="7" t="n">
        <v>79</v>
      </c>
      <c r="V716" s="7" t="n">
        <v>9</v>
      </c>
    </row>
    <row r="717" customFormat="false" ht="15" hidden="false" customHeight="false" outlineLevel="0" collapsed="false">
      <c r="A717" s="4" t="s">
        <v>2491</v>
      </c>
      <c r="B717" s="4" t="str">
        <f aca="false">IF(AND(I717&gt;='Read Me &amp; Markers'!$B$18,J717&gt;='Read Me &amp; Markers'!$B$19,L717&gt;='Read Me &amp; Markers'!$B$20),"A. Proven winner",IF(AND(I717&gt;='Read Me &amp; Markers'!$B$18,J717&gt;='Read Me &amp; Markers'!$B$19,L717&gt;='Read Me &amp; Markers'!$B$21),"B. Strong performer",IF(AND(I717&gt;='Read Me &amp; Markers'!$B$22,L717&gt;='Read Me &amp; Markers'!$B$23),"C. Scale workhorse",IF(AND(I717&gt;='Read Me &amp; Markers'!$B$24,I717&lt;'Read Me &amp; Markers'!$B$18,J717&gt;='Read Me &amp; Markers'!$B$25,L717&gt;='Read Me &amp; Markers'!$B$26),"D. Promising (needs more spend)",""))))</f>
        <v/>
      </c>
      <c r="C717" s="4" t="s">
        <v>2492</v>
      </c>
      <c r="D717" s="4" t="s">
        <v>109</v>
      </c>
      <c r="E717" s="4" t="s">
        <v>1701</v>
      </c>
      <c r="F717" s="4" t="s">
        <v>111</v>
      </c>
      <c r="G717" s="4" t="s">
        <v>1702</v>
      </c>
      <c r="H717" s="4" t="s">
        <v>2493</v>
      </c>
      <c r="I717" s="5" t="n">
        <v>11.71</v>
      </c>
      <c r="J717" s="7" t="n">
        <v>0</v>
      </c>
      <c r="K717" s="5" t="n">
        <v>0</v>
      </c>
      <c r="L717" s="8" t="n">
        <v>0</v>
      </c>
      <c r="M717" s="9" t="n">
        <v>0</v>
      </c>
      <c r="N717" s="10" t="n">
        <v>0.02684564</v>
      </c>
      <c r="O717" s="5" t="n">
        <v>78.59</v>
      </c>
      <c r="P717" s="11" t="n">
        <v>1.155039</v>
      </c>
      <c r="Q717" s="7" t="n">
        <v>149</v>
      </c>
      <c r="R717" s="7" t="n">
        <v>4</v>
      </c>
      <c r="S717" s="7" t="n">
        <v>0</v>
      </c>
      <c r="T717" s="7" t="n">
        <v>1</v>
      </c>
      <c r="U717" s="7" t="n">
        <v>1</v>
      </c>
      <c r="V717" s="7" t="n">
        <v>0</v>
      </c>
    </row>
    <row r="718" customFormat="false" ht="15" hidden="false" customHeight="false" outlineLevel="0" collapsed="false">
      <c r="A718" s="4" t="s">
        <v>2494</v>
      </c>
      <c r="B718" s="4" t="str">
        <f aca="false">IF(AND(I718&gt;='Read Me &amp; Markers'!$B$18,J718&gt;='Read Me &amp; Markers'!$B$19,L718&gt;='Read Me &amp; Markers'!$B$20),"A. Proven winner",IF(AND(I718&gt;='Read Me &amp; Markers'!$B$18,J718&gt;='Read Me &amp; Markers'!$B$19,L718&gt;='Read Me &amp; Markers'!$B$21),"B. Strong performer",IF(AND(I718&gt;='Read Me &amp; Markers'!$B$22,L718&gt;='Read Me &amp; Markers'!$B$23),"C. Scale workhorse",IF(AND(I718&gt;='Read Me &amp; Markers'!$B$24,I718&lt;'Read Me &amp; Markers'!$B$18,J718&gt;='Read Me &amp; Markers'!$B$25,L718&gt;='Read Me &amp; Markers'!$B$26),"D. Promising (needs more spend)",""))))</f>
        <v/>
      </c>
      <c r="C718" s="4" t="s">
        <v>693</v>
      </c>
      <c r="D718" s="4" t="s">
        <v>154</v>
      </c>
      <c r="E718" s="4" t="s">
        <v>2063</v>
      </c>
      <c r="F718" s="4" t="s">
        <v>87</v>
      </c>
      <c r="G718" s="4" t="s">
        <v>1285</v>
      </c>
      <c r="H718" s="4" t="s">
        <v>2495</v>
      </c>
      <c r="I718" s="5" t="n">
        <v>11.7</v>
      </c>
      <c r="J718" s="7" t="n">
        <v>0</v>
      </c>
      <c r="K718" s="5" t="n">
        <v>0</v>
      </c>
      <c r="L718" s="8" t="n">
        <v>0</v>
      </c>
      <c r="M718" s="9" t="n">
        <v>0</v>
      </c>
      <c r="N718" s="10" t="n">
        <v>0.0155642</v>
      </c>
      <c r="O718" s="5" t="n">
        <v>45.53</v>
      </c>
      <c r="P718" s="11" t="n">
        <v>1.44382</v>
      </c>
      <c r="Q718" s="7" t="n">
        <v>257</v>
      </c>
      <c r="R718" s="7" t="n">
        <v>4</v>
      </c>
      <c r="S718" s="7" t="n">
        <v>0</v>
      </c>
      <c r="T718" s="7" t="n">
        <v>0</v>
      </c>
      <c r="U718" s="7" t="n">
        <v>147</v>
      </c>
      <c r="V718" s="7" t="n">
        <v>9</v>
      </c>
    </row>
    <row r="719" customFormat="false" ht="15" hidden="false" customHeight="false" outlineLevel="0" collapsed="false">
      <c r="A719" s="4" t="s">
        <v>2496</v>
      </c>
      <c r="B719" s="4" t="str">
        <f aca="false">IF(AND(I719&gt;='Read Me &amp; Markers'!$B$18,J719&gt;='Read Me &amp; Markers'!$B$19,L719&gt;='Read Me &amp; Markers'!$B$20),"A. Proven winner",IF(AND(I719&gt;='Read Me &amp; Markers'!$B$18,J719&gt;='Read Me &amp; Markers'!$B$19,L719&gt;='Read Me &amp; Markers'!$B$21),"B. Strong performer",IF(AND(I719&gt;='Read Me &amp; Markers'!$B$22,L719&gt;='Read Me &amp; Markers'!$B$23),"C. Scale workhorse",IF(AND(I719&gt;='Read Me &amp; Markers'!$B$24,I719&lt;'Read Me &amp; Markers'!$B$18,J719&gt;='Read Me &amp; Markers'!$B$25,L719&gt;='Read Me &amp; Markers'!$B$26),"D. Promising (needs more spend)",""))))</f>
        <v/>
      </c>
      <c r="C719" s="4" t="s">
        <v>2497</v>
      </c>
      <c r="D719" s="4" t="s">
        <v>109</v>
      </c>
      <c r="E719" s="4" t="s">
        <v>110</v>
      </c>
      <c r="F719" s="4" t="s">
        <v>111</v>
      </c>
      <c r="G719" s="4" t="s">
        <v>112</v>
      </c>
      <c r="H719" s="4" t="s">
        <v>2498</v>
      </c>
      <c r="I719" s="5" t="n">
        <v>11.62</v>
      </c>
      <c r="J719" s="7" t="n">
        <v>0</v>
      </c>
      <c r="K719" s="5" t="n">
        <v>0</v>
      </c>
      <c r="L719" s="8" t="n">
        <v>0</v>
      </c>
      <c r="M719" s="9" t="n">
        <v>0</v>
      </c>
      <c r="N719" s="10" t="n">
        <v>0.01826484</v>
      </c>
      <c r="O719" s="5" t="n">
        <v>53.06</v>
      </c>
      <c r="P719" s="11" t="n">
        <v>1.280702</v>
      </c>
      <c r="Q719" s="7" t="n">
        <v>219</v>
      </c>
      <c r="R719" s="7" t="n">
        <v>4</v>
      </c>
      <c r="S719" s="7" t="n">
        <v>0</v>
      </c>
      <c r="T719" s="7" t="n">
        <v>2</v>
      </c>
      <c r="U719" s="7" t="n">
        <v>0</v>
      </c>
      <c r="V719" s="7" t="n">
        <v>0</v>
      </c>
    </row>
    <row r="720" customFormat="false" ht="15" hidden="false" customHeight="false" outlineLevel="0" collapsed="false">
      <c r="A720" s="4" t="s">
        <v>2499</v>
      </c>
      <c r="B720" s="4" t="str">
        <f aca="false">IF(AND(I720&gt;='Read Me &amp; Markers'!$B$18,J720&gt;='Read Me &amp; Markers'!$B$19,L720&gt;='Read Me &amp; Markers'!$B$20),"A. Proven winner",IF(AND(I720&gt;='Read Me &amp; Markers'!$B$18,J720&gt;='Read Me &amp; Markers'!$B$19,L720&gt;='Read Me &amp; Markers'!$B$21),"B. Strong performer",IF(AND(I720&gt;='Read Me &amp; Markers'!$B$22,L720&gt;='Read Me &amp; Markers'!$B$23),"C. Scale workhorse",IF(AND(I720&gt;='Read Me &amp; Markers'!$B$24,I720&lt;'Read Me &amp; Markers'!$B$18,J720&gt;='Read Me &amp; Markers'!$B$25,L720&gt;='Read Me &amp; Markers'!$B$26),"D. Promising (needs more spend)",""))))</f>
        <v/>
      </c>
      <c r="C720" s="4" t="s">
        <v>121</v>
      </c>
      <c r="D720" s="4" t="s">
        <v>154</v>
      </c>
      <c r="E720" s="4" t="s">
        <v>2500</v>
      </c>
      <c r="F720" s="4" t="s">
        <v>87</v>
      </c>
      <c r="G720" s="4" t="s">
        <v>440</v>
      </c>
      <c r="H720" s="4" t="s">
        <v>2501</v>
      </c>
      <c r="I720" s="5" t="n">
        <v>11.52</v>
      </c>
      <c r="J720" s="7" t="n">
        <v>0</v>
      </c>
      <c r="K720" s="5" t="n">
        <v>0</v>
      </c>
      <c r="L720" s="8" t="n">
        <v>0</v>
      </c>
      <c r="M720" s="9" t="n">
        <v>0</v>
      </c>
      <c r="N720" s="10" t="n">
        <v>0.01459854</v>
      </c>
      <c r="O720" s="5" t="n">
        <v>42.04</v>
      </c>
      <c r="P720" s="11" t="n">
        <v>1.122951</v>
      </c>
      <c r="Q720" s="7" t="n">
        <v>274</v>
      </c>
      <c r="R720" s="7" t="n">
        <v>4</v>
      </c>
      <c r="S720" s="7" t="n">
        <v>0</v>
      </c>
      <c r="T720" s="7" t="n">
        <v>0</v>
      </c>
      <c r="U720" s="7" t="n">
        <v>184</v>
      </c>
      <c r="V720" s="7" t="n">
        <v>13</v>
      </c>
    </row>
    <row r="721" customFormat="false" ht="15" hidden="false" customHeight="false" outlineLevel="0" collapsed="false">
      <c r="A721" s="4" t="s">
        <v>2502</v>
      </c>
      <c r="B721" s="4" t="str">
        <f aca="false">IF(AND(I721&gt;='Read Me &amp; Markers'!$B$18,J721&gt;='Read Me &amp; Markers'!$B$19,L721&gt;='Read Me &amp; Markers'!$B$20),"A. Proven winner",IF(AND(I721&gt;='Read Me &amp; Markers'!$B$18,J721&gt;='Read Me &amp; Markers'!$B$19,L721&gt;='Read Me &amp; Markers'!$B$21),"B. Strong performer",IF(AND(I721&gt;='Read Me &amp; Markers'!$B$22,L721&gt;='Read Me &amp; Markers'!$B$23),"C. Scale workhorse",IF(AND(I721&gt;='Read Me &amp; Markers'!$B$24,I721&lt;'Read Me &amp; Markers'!$B$18,J721&gt;='Read Me &amp; Markers'!$B$25,L721&gt;='Read Me &amp; Markers'!$B$26),"D. Promising (needs more spend)",""))))</f>
        <v/>
      </c>
      <c r="C721" s="4" t="s">
        <v>169</v>
      </c>
      <c r="D721" s="4" t="s">
        <v>100</v>
      </c>
      <c r="E721" s="4" t="s">
        <v>2300</v>
      </c>
      <c r="F721" s="4" t="s">
        <v>87</v>
      </c>
      <c r="G721" s="4" t="s">
        <v>348</v>
      </c>
      <c r="H721" s="4" t="s">
        <v>2503</v>
      </c>
      <c r="I721" s="5" t="n">
        <v>11.5</v>
      </c>
      <c r="J721" s="7" t="n">
        <v>0</v>
      </c>
      <c r="K721" s="5" t="n">
        <v>0</v>
      </c>
      <c r="L721" s="8" t="n">
        <v>0</v>
      </c>
      <c r="M721" s="9" t="n">
        <v>0</v>
      </c>
      <c r="N721" s="10" t="n">
        <v>0.02312139</v>
      </c>
      <c r="O721" s="5" t="n">
        <v>66.47</v>
      </c>
      <c r="P721" s="11" t="n">
        <v>1.176871</v>
      </c>
      <c r="Q721" s="7" t="n">
        <v>173</v>
      </c>
      <c r="R721" s="7" t="n">
        <v>4</v>
      </c>
      <c r="S721" s="7" t="n">
        <v>0</v>
      </c>
      <c r="T721" s="7" t="n">
        <v>0</v>
      </c>
      <c r="U721" s="7" t="n">
        <v>118</v>
      </c>
      <c r="V721" s="7" t="n">
        <v>9</v>
      </c>
    </row>
    <row r="722" customFormat="false" ht="15" hidden="false" customHeight="false" outlineLevel="0" collapsed="false">
      <c r="A722" s="4" t="s">
        <v>2504</v>
      </c>
      <c r="B722" s="4" t="str">
        <f aca="false">IF(AND(I722&gt;='Read Me &amp; Markers'!$B$18,J722&gt;='Read Me &amp; Markers'!$B$19,L722&gt;='Read Me &amp; Markers'!$B$20),"A. Proven winner",IF(AND(I722&gt;='Read Me &amp; Markers'!$B$18,J722&gt;='Read Me &amp; Markers'!$B$19,L722&gt;='Read Me &amp; Markers'!$B$21),"B. Strong performer",IF(AND(I722&gt;='Read Me &amp; Markers'!$B$22,L722&gt;='Read Me &amp; Markers'!$B$23),"C. Scale workhorse",IF(AND(I722&gt;='Read Me &amp; Markers'!$B$24,I722&lt;'Read Me &amp; Markers'!$B$18,J722&gt;='Read Me &amp; Markers'!$B$25,L722&gt;='Read Me &amp; Markers'!$B$26),"D. Promising (needs more spend)",""))))</f>
        <v/>
      </c>
      <c r="C722" s="4" t="s">
        <v>169</v>
      </c>
      <c r="D722" s="4" t="s">
        <v>100</v>
      </c>
      <c r="E722" s="4" t="s">
        <v>2505</v>
      </c>
      <c r="F722" s="4" t="s">
        <v>87</v>
      </c>
      <c r="G722" s="4" t="s">
        <v>124</v>
      </c>
      <c r="H722" s="4" t="s">
        <v>2506</v>
      </c>
      <c r="I722" s="5" t="n">
        <v>11.46</v>
      </c>
      <c r="J722" s="7" t="n">
        <v>0</v>
      </c>
      <c r="K722" s="5" t="n">
        <v>0</v>
      </c>
      <c r="L722" s="8" t="n">
        <v>0</v>
      </c>
      <c r="M722" s="9" t="n">
        <v>0</v>
      </c>
      <c r="N722" s="10" t="n">
        <v>0.04444444</v>
      </c>
      <c r="O722" s="5" t="n">
        <v>127.33</v>
      </c>
      <c r="P722" s="11" t="n">
        <v>1.139241</v>
      </c>
      <c r="Q722" s="7" t="n">
        <v>90</v>
      </c>
      <c r="R722" s="7" t="n">
        <v>4</v>
      </c>
      <c r="S722" s="7" t="n">
        <v>2</v>
      </c>
      <c r="T722" s="7" t="n">
        <v>1</v>
      </c>
      <c r="U722" s="7" t="n">
        <v>75</v>
      </c>
      <c r="V722" s="7" t="n">
        <v>5</v>
      </c>
    </row>
    <row r="723" customFormat="false" ht="15" hidden="false" customHeight="false" outlineLevel="0" collapsed="false">
      <c r="A723" s="4" t="s">
        <v>2507</v>
      </c>
      <c r="B723" s="4" t="str">
        <f aca="false">IF(AND(I723&gt;='Read Me &amp; Markers'!$B$18,J723&gt;='Read Me &amp; Markers'!$B$19,L723&gt;='Read Me &amp; Markers'!$B$20),"A. Proven winner",IF(AND(I723&gt;='Read Me &amp; Markers'!$B$18,J723&gt;='Read Me &amp; Markers'!$B$19,L723&gt;='Read Me &amp; Markers'!$B$21),"B. Strong performer",IF(AND(I723&gt;='Read Me &amp; Markers'!$B$22,L723&gt;='Read Me &amp; Markers'!$B$23),"C. Scale workhorse",IF(AND(I723&gt;='Read Me &amp; Markers'!$B$24,I723&lt;'Read Me &amp; Markers'!$B$18,J723&gt;='Read Me &amp; Markers'!$B$25,L723&gt;='Read Me &amp; Markers'!$B$26),"D. Promising (needs more spend)",""))))</f>
        <v/>
      </c>
      <c r="C723" s="4" t="s">
        <v>2508</v>
      </c>
      <c r="D723" s="4" t="s">
        <v>109</v>
      </c>
      <c r="E723" s="4" t="s">
        <v>469</v>
      </c>
      <c r="F723" s="4" t="s">
        <v>111</v>
      </c>
      <c r="G723" s="4" t="s">
        <v>470</v>
      </c>
      <c r="H723" s="4" t="s">
        <v>2509</v>
      </c>
      <c r="I723" s="5" t="n">
        <v>11.37</v>
      </c>
      <c r="J723" s="7" t="n">
        <v>0</v>
      </c>
      <c r="K723" s="5" t="n">
        <v>0</v>
      </c>
      <c r="L723" s="8" t="n">
        <v>0</v>
      </c>
      <c r="M723" s="9" t="n">
        <v>0</v>
      </c>
      <c r="N723" s="10" t="n">
        <v>0.03571429</v>
      </c>
      <c r="O723" s="5" t="n">
        <v>135.36</v>
      </c>
      <c r="P723" s="11" t="n">
        <v>1.02439</v>
      </c>
      <c r="Q723" s="7" t="n">
        <v>84</v>
      </c>
      <c r="R723" s="7" t="n">
        <v>3</v>
      </c>
      <c r="S723" s="7" t="n">
        <v>0</v>
      </c>
      <c r="T723" s="7" t="n">
        <v>0</v>
      </c>
      <c r="U723" s="7" t="n">
        <v>60</v>
      </c>
      <c r="V723" s="7" t="n">
        <v>7</v>
      </c>
    </row>
    <row r="724" customFormat="false" ht="15" hidden="false" customHeight="false" outlineLevel="0" collapsed="false">
      <c r="A724" s="4" t="s">
        <v>2510</v>
      </c>
      <c r="B724" s="4" t="str">
        <f aca="false">IF(AND(I724&gt;='Read Me &amp; Markers'!$B$18,J724&gt;='Read Me &amp; Markers'!$B$19,L724&gt;='Read Me &amp; Markers'!$B$20),"A. Proven winner",IF(AND(I724&gt;='Read Me &amp; Markers'!$B$18,J724&gt;='Read Me &amp; Markers'!$B$19,L724&gt;='Read Me &amp; Markers'!$B$21),"B. Strong performer",IF(AND(I724&gt;='Read Me &amp; Markers'!$B$22,L724&gt;='Read Me &amp; Markers'!$B$23),"C. Scale workhorse",IF(AND(I724&gt;='Read Me &amp; Markers'!$B$24,I724&lt;'Read Me &amp; Markers'!$B$18,J724&gt;='Read Me &amp; Markers'!$B$25,L724&gt;='Read Me &amp; Markers'!$B$26),"D. Promising (needs more spend)",""))))</f>
        <v/>
      </c>
      <c r="C724" s="4" t="s">
        <v>2111</v>
      </c>
      <c r="D724" s="4" t="s">
        <v>100</v>
      </c>
      <c r="E724" s="4" t="s">
        <v>2140</v>
      </c>
      <c r="F724" s="4" t="s">
        <v>87</v>
      </c>
      <c r="G724" s="4" t="s">
        <v>310</v>
      </c>
      <c r="H724" s="4" t="s">
        <v>2511</v>
      </c>
      <c r="I724" s="5" t="n">
        <v>11.31</v>
      </c>
      <c r="J724" s="7" t="n">
        <v>0</v>
      </c>
      <c r="K724" s="5" t="n">
        <v>0</v>
      </c>
      <c r="L724" s="8" t="n">
        <v>0</v>
      </c>
      <c r="M724" s="9" t="n">
        <v>0</v>
      </c>
      <c r="N724" s="10" t="n">
        <v>0.03100775</v>
      </c>
      <c r="O724" s="5" t="n">
        <v>87.67</v>
      </c>
      <c r="P724" s="11" t="n">
        <v>1.172727</v>
      </c>
      <c r="Q724" s="7" t="n">
        <v>129</v>
      </c>
      <c r="R724" s="7" t="n">
        <v>4</v>
      </c>
      <c r="S724" s="7" t="n">
        <v>0</v>
      </c>
      <c r="T724" s="7" t="n">
        <v>0</v>
      </c>
      <c r="U724" s="7" t="n">
        <v>96</v>
      </c>
      <c r="V724" s="7" t="n">
        <v>6</v>
      </c>
    </row>
    <row r="725" customFormat="false" ht="15" hidden="false" customHeight="false" outlineLevel="0" collapsed="false">
      <c r="A725" s="4" t="s">
        <v>2512</v>
      </c>
      <c r="B725" s="4" t="str">
        <f aca="false">IF(AND(I725&gt;='Read Me &amp; Markers'!$B$18,J725&gt;='Read Me &amp; Markers'!$B$19,L725&gt;='Read Me &amp; Markers'!$B$20),"A. Proven winner",IF(AND(I725&gt;='Read Me &amp; Markers'!$B$18,J725&gt;='Read Me &amp; Markers'!$B$19,L725&gt;='Read Me &amp; Markers'!$B$21),"B. Strong performer",IF(AND(I725&gt;='Read Me &amp; Markers'!$B$22,L725&gt;='Read Me &amp; Markers'!$B$23),"C. Scale workhorse",IF(AND(I725&gt;='Read Me &amp; Markers'!$B$24,I725&lt;'Read Me &amp; Markers'!$B$18,J725&gt;='Read Me &amp; Markers'!$B$25,L725&gt;='Read Me &amp; Markers'!$B$26),"D. Promising (needs more spend)",""))))</f>
        <v/>
      </c>
      <c r="C725" s="4" t="s">
        <v>2513</v>
      </c>
      <c r="D725" s="4" t="s">
        <v>109</v>
      </c>
      <c r="E725" s="4" t="s">
        <v>512</v>
      </c>
      <c r="F725" s="4" t="s">
        <v>111</v>
      </c>
      <c r="G725" s="4" t="s">
        <v>490</v>
      </c>
      <c r="H725" s="4" t="s">
        <v>2514</v>
      </c>
      <c r="I725" s="5" t="n">
        <v>11.22</v>
      </c>
      <c r="J725" s="7" t="n">
        <v>0</v>
      </c>
      <c r="K725" s="5" t="n">
        <v>0</v>
      </c>
      <c r="L725" s="8" t="n">
        <v>0</v>
      </c>
      <c r="M725" s="9" t="n">
        <v>0</v>
      </c>
      <c r="N725" s="10" t="n">
        <v>0.02439024</v>
      </c>
      <c r="O725" s="5" t="n">
        <v>273.66</v>
      </c>
      <c r="P725" s="11" t="n">
        <v>1.366667</v>
      </c>
      <c r="Q725" s="7" t="n">
        <v>41</v>
      </c>
      <c r="R725" s="7" t="n">
        <v>1</v>
      </c>
      <c r="S725" s="7" t="n">
        <v>0</v>
      </c>
      <c r="T725" s="7" t="n">
        <v>0</v>
      </c>
      <c r="U725" s="7" t="n">
        <v>39</v>
      </c>
      <c r="V725" s="7" t="n">
        <v>0</v>
      </c>
    </row>
    <row r="726" customFormat="false" ht="15" hidden="false" customHeight="false" outlineLevel="0" collapsed="false">
      <c r="A726" s="4" t="s">
        <v>2515</v>
      </c>
      <c r="B726" s="4" t="str">
        <f aca="false">IF(AND(I726&gt;='Read Me &amp; Markers'!$B$18,J726&gt;='Read Me &amp; Markers'!$B$19,L726&gt;='Read Me &amp; Markers'!$B$20),"A. Proven winner",IF(AND(I726&gt;='Read Me &amp; Markers'!$B$18,J726&gt;='Read Me &amp; Markers'!$B$19,L726&gt;='Read Me &amp; Markers'!$B$21),"B. Strong performer",IF(AND(I726&gt;='Read Me &amp; Markers'!$B$22,L726&gt;='Read Me &amp; Markers'!$B$23),"C. Scale workhorse",IF(AND(I726&gt;='Read Me &amp; Markers'!$B$24,I726&lt;'Read Me &amp; Markers'!$B$18,J726&gt;='Read Me &amp; Markers'!$B$25,L726&gt;='Read Me &amp; Markers'!$B$26),"D. Promising (needs more spend)",""))))</f>
        <v/>
      </c>
      <c r="C726" s="4" t="s">
        <v>121</v>
      </c>
      <c r="D726" s="4" t="s">
        <v>206</v>
      </c>
      <c r="E726" s="4" t="s">
        <v>1433</v>
      </c>
      <c r="F726" s="4" t="s">
        <v>87</v>
      </c>
      <c r="G726" s="4" t="s">
        <v>743</v>
      </c>
      <c r="H726" s="4" t="s">
        <v>2516</v>
      </c>
      <c r="I726" s="5" t="n">
        <v>11.22</v>
      </c>
      <c r="J726" s="7" t="n">
        <v>0</v>
      </c>
      <c r="K726" s="5" t="n">
        <v>0</v>
      </c>
      <c r="L726" s="8" t="n">
        <v>0</v>
      </c>
      <c r="M726" s="9" t="n">
        <v>0</v>
      </c>
      <c r="N726" s="10" t="n">
        <v>0.01298701</v>
      </c>
      <c r="O726" s="5" t="n">
        <v>72.86</v>
      </c>
      <c r="P726" s="11" t="n">
        <v>1.054795</v>
      </c>
      <c r="Q726" s="7" t="n">
        <v>154</v>
      </c>
      <c r="R726" s="7" t="n">
        <v>2</v>
      </c>
      <c r="S726" s="7" t="n">
        <v>0</v>
      </c>
      <c r="T726" s="7" t="n">
        <v>0</v>
      </c>
      <c r="U726" s="7" t="n">
        <v>140</v>
      </c>
      <c r="V726" s="7" t="n">
        <v>7</v>
      </c>
    </row>
    <row r="727" customFormat="false" ht="15" hidden="false" customHeight="false" outlineLevel="0" collapsed="false">
      <c r="A727" s="4" t="s">
        <v>2517</v>
      </c>
      <c r="B727" s="4" t="str">
        <f aca="false">IF(AND(I727&gt;='Read Me &amp; Markers'!$B$18,J727&gt;='Read Me &amp; Markers'!$B$19,L727&gt;='Read Me &amp; Markers'!$B$20),"A. Proven winner",IF(AND(I727&gt;='Read Me &amp; Markers'!$B$18,J727&gt;='Read Me &amp; Markers'!$B$19,L727&gt;='Read Me &amp; Markers'!$B$21),"B. Strong performer",IF(AND(I727&gt;='Read Me &amp; Markers'!$B$22,L727&gt;='Read Me &amp; Markers'!$B$23),"C. Scale workhorse",IF(AND(I727&gt;='Read Me &amp; Markers'!$B$24,I727&lt;'Read Me &amp; Markers'!$B$18,J727&gt;='Read Me &amp; Markers'!$B$25,L727&gt;='Read Me &amp; Markers'!$B$26),"D. Promising (needs more spend)",""))))</f>
        <v/>
      </c>
      <c r="C727" s="4" t="s">
        <v>129</v>
      </c>
      <c r="D727" s="4" t="s">
        <v>154</v>
      </c>
      <c r="E727" s="4" t="s">
        <v>2518</v>
      </c>
      <c r="F727" s="4" t="s">
        <v>253</v>
      </c>
      <c r="G727" s="4" t="s">
        <v>1711</v>
      </c>
      <c r="H727" s="4" t="s">
        <v>2519</v>
      </c>
      <c r="I727" s="5" t="n">
        <v>11.14</v>
      </c>
      <c r="J727" s="7" t="n">
        <v>0</v>
      </c>
      <c r="K727" s="5" t="n">
        <v>0</v>
      </c>
      <c r="L727" s="8" t="n">
        <v>0</v>
      </c>
      <c r="M727" s="9" t="n">
        <v>0</v>
      </c>
      <c r="N727" s="10" t="n">
        <v>0.01612903</v>
      </c>
      <c r="O727" s="5" t="n">
        <v>59.89</v>
      </c>
      <c r="P727" s="11" t="n">
        <v>1.47619</v>
      </c>
      <c r="Q727" s="7" t="n">
        <v>186</v>
      </c>
      <c r="R727" s="7" t="n">
        <v>3</v>
      </c>
      <c r="S727" s="7" t="n">
        <v>1</v>
      </c>
      <c r="T727" s="7" t="n">
        <v>1</v>
      </c>
      <c r="U727" s="7" t="n">
        <v>115</v>
      </c>
      <c r="V727" s="7" t="n">
        <v>14</v>
      </c>
    </row>
    <row r="728" customFormat="false" ht="15" hidden="false" customHeight="false" outlineLevel="0" collapsed="false">
      <c r="A728" s="4" t="s">
        <v>2520</v>
      </c>
      <c r="B728" s="4" t="str">
        <f aca="false">IF(AND(I728&gt;='Read Me &amp; Markers'!$B$18,J728&gt;='Read Me &amp; Markers'!$B$19,L728&gt;='Read Me &amp; Markers'!$B$20),"A. Proven winner",IF(AND(I728&gt;='Read Me &amp; Markers'!$B$18,J728&gt;='Read Me &amp; Markers'!$B$19,L728&gt;='Read Me &amp; Markers'!$B$21),"B. Strong performer",IF(AND(I728&gt;='Read Me &amp; Markers'!$B$22,L728&gt;='Read Me &amp; Markers'!$B$23),"C. Scale workhorse",IF(AND(I728&gt;='Read Me &amp; Markers'!$B$24,I728&lt;'Read Me &amp; Markers'!$B$18,J728&gt;='Read Me &amp; Markers'!$B$25,L728&gt;='Read Me &amp; Markers'!$B$26),"D. Promising (needs more spend)",""))))</f>
        <v/>
      </c>
      <c r="C728" s="4" t="s">
        <v>121</v>
      </c>
      <c r="D728" s="4" t="s">
        <v>100</v>
      </c>
      <c r="E728" s="4" t="s">
        <v>2521</v>
      </c>
      <c r="F728" s="4" t="s">
        <v>230</v>
      </c>
      <c r="G728" s="4" t="s">
        <v>254</v>
      </c>
      <c r="H728" s="4" t="s">
        <v>2522</v>
      </c>
      <c r="I728" s="5" t="n">
        <v>11.09</v>
      </c>
      <c r="J728" s="7" t="n">
        <v>0</v>
      </c>
      <c r="K728" s="5" t="n">
        <v>0</v>
      </c>
      <c r="L728" s="8" t="n">
        <v>0</v>
      </c>
      <c r="M728" s="9" t="n">
        <v>0</v>
      </c>
      <c r="N728" s="10" t="n">
        <v>0.04411765</v>
      </c>
      <c r="O728" s="5" t="n">
        <v>163.09</v>
      </c>
      <c r="P728" s="11" t="n">
        <v>1.030303</v>
      </c>
      <c r="Q728" s="7" t="n">
        <v>68</v>
      </c>
      <c r="R728" s="7" t="n">
        <v>3</v>
      </c>
      <c r="S728" s="7" t="n">
        <v>0</v>
      </c>
      <c r="T728" s="7" t="n">
        <v>0</v>
      </c>
      <c r="U728" s="7" t="n">
        <v>54</v>
      </c>
      <c r="V728" s="7" t="n">
        <v>9</v>
      </c>
    </row>
    <row r="729" customFormat="false" ht="15" hidden="false" customHeight="false" outlineLevel="0" collapsed="false">
      <c r="A729" s="4" t="s">
        <v>2523</v>
      </c>
      <c r="B729" s="4" t="str">
        <f aca="false">IF(AND(I729&gt;='Read Me &amp; Markers'!$B$18,J729&gt;='Read Me &amp; Markers'!$B$19,L729&gt;='Read Me &amp; Markers'!$B$20),"A. Proven winner",IF(AND(I729&gt;='Read Me &amp; Markers'!$B$18,J729&gt;='Read Me &amp; Markers'!$B$19,L729&gt;='Read Me &amp; Markers'!$B$21),"B. Strong performer",IF(AND(I729&gt;='Read Me &amp; Markers'!$B$22,L729&gt;='Read Me &amp; Markers'!$B$23),"C. Scale workhorse",IF(AND(I729&gt;='Read Me &amp; Markers'!$B$24,I729&lt;'Read Me &amp; Markers'!$B$18,J729&gt;='Read Me &amp; Markers'!$B$25,L729&gt;='Read Me &amp; Markers'!$B$26),"D. Promising (needs more spend)",""))))</f>
        <v/>
      </c>
      <c r="C729" s="4" t="s">
        <v>2524</v>
      </c>
      <c r="D729" s="4" t="s">
        <v>154</v>
      </c>
      <c r="E729" s="4" t="s">
        <v>2482</v>
      </c>
      <c r="F729" s="4" t="s">
        <v>253</v>
      </c>
      <c r="G729" s="4" t="s">
        <v>2483</v>
      </c>
      <c r="H729" s="4" t="s">
        <v>2525</v>
      </c>
      <c r="I729" s="5" t="n">
        <v>11.07</v>
      </c>
      <c r="J729" s="7" t="n">
        <v>1</v>
      </c>
      <c r="K729" s="5" t="n">
        <v>99.98</v>
      </c>
      <c r="L729" s="8" t="n">
        <v>9.031617</v>
      </c>
      <c r="M729" s="9" t="n">
        <v>11.07</v>
      </c>
      <c r="N729" s="10" t="n">
        <v>0.02209945</v>
      </c>
      <c r="O729" s="5" t="n">
        <v>61.16</v>
      </c>
      <c r="P729" s="11" t="n">
        <v>1.403101</v>
      </c>
      <c r="Q729" s="7" t="n">
        <v>181</v>
      </c>
      <c r="R729" s="7" t="n">
        <v>4</v>
      </c>
      <c r="S729" s="7" t="n">
        <v>1</v>
      </c>
      <c r="T729" s="7" t="n">
        <v>1</v>
      </c>
      <c r="U729" s="7" t="n">
        <v>123</v>
      </c>
      <c r="V729" s="7" t="n">
        <v>19</v>
      </c>
    </row>
    <row r="730" customFormat="false" ht="15" hidden="false" customHeight="false" outlineLevel="0" collapsed="false">
      <c r="A730" s="4" t="s">
        <v>2526</v>
      </c>
      <c r="B730" s="4" t="str">
        <f aca="false">IF(AND(I730&gt;='Read Me &amp; Markers'!$B$18,J730&gt;='Read Me &amp; Markers'!$B$19,L730&gt;='Read Me &amp; Markers'!$B$20),"A. Proven winner",IF(AND(I730&gt;='Read Me &amp; Markers'!$B$18,J730&gt;='Read Me &amp; Markers'!$B$19,L730&gt;='Read Me &amp; Markers'!$B$21),"B. Strong performer",IF(AND(I730&gt;='Read Me &amp; Markers'!$B$22,L730&gt;='Read Me &amp; Markers'!$B$23),"C. Scale workhorse",IF(AND(I730&gt;='Read Me &amp; Markers'!$B$24,I730&lt;'Read Me &amp; Markers'!$B$18,J730&gt;='Read Me &amp; Markers'!$B$25,L730&gt;='Read Me &amp; Markers'!$B$26),"D. Promising (needs more spend)",""))))</f>
        <v/>
      </c>
      <c r="C730" s="4" t="s">
        <v>2527</v>
      </c>
      <c r="D730" s="4" t="s">
        <v>109</v>
      </c>
      <c r="E730" s="4" t="s">
        <v>1778</v>
      </c>
      <c r="F730" s="4" t="s">
        <v>172</v>
      </c>
      <c r="G730" s="4" t="s">
        <v>1779</v>
      </c>
      <c r="H730" s="4" t="s">
        <v>2528</v>
      </c>
      <c r="I730" s="5" t="n">
        <v>11.05</v>
      </c>
      <c r="J730" s="7" t="n">
        <v>0</v>
      </c>
      <c r="K730" s="5" t="n">
        <v>0</v>
      </c>
      <c r="L730" s="8" t="n">
        <v>0</v>
      </c>
      <c r="M730" s="9" t="n">
        <v>0</v>
      </c>
      <c r="N730" s="10" t="n">
        <v>0.02</v>
      </c>
      <c r="O730" s="5" t="n">
        <v>221</v>
      </c>
      <c r="P730" s="11" t="n">
        <v>1.020408</v>
      </c>
      <c r="Q730" s="7" t="n">
        <v>50</v>
      </c>
      <c r="R730" s="7" t="n">
        <v>1</v>
      </c>
      <c r="S730" s="7" t="n">
        <v>0</v>
      </c>
      <c r="T730" s="7" t="n">
        <v>0</v>
      </c>
      <c r="U730" s="7" t="n">
        <v>44</v>
      </c>
      <c r="V730" s="7" t="n">
        <v>6</v>
      </c>
    </row>
    <row r="731" customFormat="false" ht="15" hidden="false" customHeight="false" outlineLevel="0" collapsed="false">
      <c r="A731" s="4" t="s">
        <v>2529</v>
      </c>
      <c r="B731" s="4" t="str">
        <f aca="false">IF(AND(I731&gt;='Read Me &amp; Markers'!$B$18,J731&gt;='Read Me &amp; Markers'!$B$19,L731&gt;='Read Me &amp; Markers'!$B$20),"A. Proven winner",IF(AND(I731&gt;='Read Me &amp; Markers'!$B$18,J731&gt;='Read Me &amp; Markers'!$B$19,L731&gt;='Read Me &amp; Markers'!$B$21),"B. Strong performer",IF(AND(I731&gt;='Read Me &amp; Markers'!$B$22,L731&gt;='Read Me &amp; Markers'!$B$23),"C. Scale workhorse",IF(AND(I731&gt;='Read Me &amp; Markers'!$B$24,I731&lt;'Read Me &amp; Markers'!$B$18,J731&gt;='Read Me &amp; Markers'!$B$25,L731&gt;='Read Me &amp; Markers'!$B$26),"D. Promising (needs more spend)",""))))</f>
        <v/>
      </c>
      <c r="C731" s="4" t="s">
        <v>1418</v>
      </c>
      <c r="D731" s="4" t="s">
        <v>109</v>
      </c>
      <c r="E731" s="4" t="s">
        <v>1902</v>
      </c>
      <c r="F731" s="4" t="s">
        <v>172</v>
      </c>
      <c r="G731" s="4" t="s">
        <v>588</v>
      </c>
      <c r="H731" s="4" t="s">
        <v>2530</v>
      </c>
      <c r="I731" s="5" t="n">
        <v>10.77</v>
      </c>
      <c r="J731" s="7" t="n">
        <v>0</v>
      </c>
      <c r="K731" s="5" t="n">
        <v>0</v>
      </c>
      <c r="L731" s="8" t="n">
        <v>0</v>
      </c>
      <c r="M731" s="9" t="n">
        <v>0</v>
      </c>
      <c r="N731" s="10" t="n">
        <v>0.12727273</v>
      </c>
      <c r="O731" s="5" t="n">
        <v>195.82</v>
      </c>
      <c r="P731" s="11" t="n">
        <v>1.078431</v>
      </c>
      <c r="Q731" s="7" t="n">
        <v>55</v>
      </c>
      <c r="R731" s="7" t="n">
        <v>7</v>
      </c>
      <c r="S731" s="7" t="n">
        <v>0</v>
      </c>
      <c r="T731" s="7" t="n">
        <v>0</v>
      </c>
      <c r="U731" s="7" t="n">
        <v>49</v>
      </c>
      <c r="V731" s="7" t="n">
        <v>2</v>
      </c>
    </row>
    <row r="732" customFormat="false" ht="15" hidden="false" customHeight="false" outlineLevel="0" collapsed="false">
      <c r="A732" s="4" t="s">
        <v>2531</v>
      </c>
      <c r="B732" s="4" t="str">
        <f aca="false">IF(AND(I732&gt;='Read Me &amp; Markers'!$B$18,J732&gt;='Read Me &amp; Markers'!$B$19,L732&gt;='Read Me &amp; Markers'!$B$20),"A. Proven winner",IF(AND(I732&gt;='Read Me &amp; Markers'!$B$18,J732&gt;='Read Me &amp; Markers'!$B$19,L732&gt;='Read Me &amp; Markers'!$B$21),"B. Strong performer",IF(AND(I732&gt;='Read Me &amp; Markers'!$B$22,L732&gt;='Read Me &amp; Markers'!$B$23),"C. Scale workhorse",IF(AND(I732&gt;='Read Me &amp; Markers'!$B$24,I732&lt;'Read Me &amp; Markers'!$B$18,J732&gt;='Read Me &amp; Markers'!$B$25,L732&gt;='Read Me &amp; Markers'!$B$26),"D. Promising (needs more spend)",""))))</f>
        <v/>
      </c>
      <c r="C732" s="4" t="s">
        <v>2532</v>
      </c>
      <c r="D732" s="4" t="s">
        <v>109</v>
      </c>
      <c r="E732" s="4" t="s">
        <v>1501</v>
      </c>
      <c r="F732" s="4" t="s">
        <v>111</v>
      </c>
      <c r="G732" s="4" t="s">
        <v>1502</v>
      </c>
      <c r="H732" s="4" t="s">
        <v>2533</v>
      </c>
      <c r="I732" s="5" t="n">
        <v>10.65</v>
      </c>
      <c r="J732" s="7" t="n">
        <v>0</v>
      </c>
      <c r="K732" s="5" t="n">
        <v>0</v>
      </c>
      <c r="L732" s="8" t="n">
        <v>0</v>
      </c>
      <c r="M732" s="9" t="n">
        <v>0</v>
      </c>
      <c r="N732" s="10" t="n">
        <v>0.13684211</v>
      </c>
      <c r="O732" s="5" t="n">
        <v>112.11</v>
      </c>
      <c r="P732" s="11" t="n">
        <v>1.032609</v>
      </c>
      <c r="Q732" s="7" t="n">
        <v>95</v>
      </c>
      <c r="R732" s="7" t="n">
        <v>13</v>
      </c>
      <c r="S732" s="7" t="n">
        <v>0</v>
      </c>
      <c r="T732" s="7" t="n">
        <v>0</v>
      </c>
      <c r="U732" s="7" t="n">
        <v>94</v>
      </c>
      <c r="V732" s="7" t="n">
        <v>30</v>
      </c>
    </row>
    <row r="733" customFormat="false" ht="15" hidden="false" customHeight="false" outlineLevel="0" collapsed="false">
      <c r="A733" s="4" t="s">
        <v>2534</v>
      </c>
      <c r="B733" s="4" t="str">
        <f aca="false">IF(AND(I733&gt;='Read Me &amp; Markers'!$B$18,J733&gt;='Read Me &amp; Markers'!$B$19,L733&gt;='Read Me &amp; Markers'!$B$20),"A. Proven winner",IF(AND(I733&gt;='Read Me &amp; Markers'!$B$18,J733&gt;='Read Me &amp; Markers'!$B$19,L733&gt;='Read Me &amp; Markers'!$B$21),"B. Strong performer",IF(AND(I733&gt;='Read Me &amp; Markers'!$B$22,L733&gt;='Read Me &amp; Markers'!$B$23),"C. Scale workhorse",IF(AND(I733&gt;='Read Me &amp; Markers'!$B$24,I733&lt;'Read Me &amp; Markers'!$B$18,J733&gt;='Read Me &amp; Markers'!$B$25,L733&gt;='Read Me &amp; Markers'!$B$26),"D. Promising (needs more spend)",""))))</f>
        <v/>
      </c>
      <c r="C733" s="4" t="s">
        <v>2535</v>
      </c>
      <c r="D733" s="4" t="s">
        <v>109</v>
      </c>
      <c r="E733" s="4" t="s">
        <v>435</v>
      </c>
      <c r="F733" s="4" t="s">
        <v>111</v>
      </c>
      <c r="G733" s="4" t="s">
        <v>500</v>
      </c>
      <c r="H733" s="4" t="s">
        <v>2536</v>
      </c>
      <c r="I733" s="5" t="n">
        <v>10.65</v>
      </c>
      <c r="J733" s="7" t="n">
        <v>0</v>
      </c>
      <c r="K733" s="5" t="n">
        <v>0</v>
      </c>
      <c r="L733" s="8" t="n">
        <v>0</v>
      </c>
      <c r="M733" s="9" t="n">
        <v>0</v>
      </c>
      <c r="N733" s="10" t="n">
        <v>0.04081633</v>
      </c>
      <c r="O733" s="5" t="n">
        <v>108.67</v>
      </c>
      <c r="P733" s="11" t="n">
        <v>1.076923</v>
      </c>
      <c r="Q733" s="7" t="n">
        <v>98</v>
      </c>
      <c r="R733" s="7" t="n">
        <v>4</v>
      </c>
      <c r="S733" s="7" t="n">
        <v>0</v>
      </c>
      <c r="T733" s="7" t="n">
        <v>0</v>
      </c>
      <c r="U733" s="7" t="n">
        <v>87</v>
      </c>
      <c r="V733" s="7" t="n">
        <v>7</v>
      </c>
    </row>
    <row r="734" customFormat="false" ht="15" hidden="false" customHeight="false" outlineLevel="0" collapsed="false">
      <c r="A734" s="4" t="s">
        <v>2537</v>
      </c>
      <c r="B734" s="4" t="str">
        <f aca="false">IF(AND(I734&gt;='Read Me &amp; Markers'!$B$18,J734&gt;='Read Me &amp; Markers'!$B$19,L734&gt;='Read Me &amp; Markers'!$B$20),"A. Proven winner",IF(AND(I734&gt;='Read Me &amp; Markers'!$B$18,J734&gt;='Read Me &amp; Markers'!$B$19,L734&gt;='Read Me &amp; Markers'!$B$21),"B. Strong performer",IF(AND(I734&gt;='Read Me &amp; Markers'!$B$22,L734&gt;='Read Me &amp; Markers'!$B$23),"C. Scale workhorse",IF(AND(I734&gt;='Read Me &amp; Markers'!$B$24,I734&lt;'Read Me &amp; Markers'!$B$18,J734&gt;='Read Me &amp; Markers'!$B$25,L734&gt;='Read Me &amp; Markers'!$B$26),"D. Promising (needs more spend)",""))))</f>
        <v/>
      </c>
      <c r="C734" s="4" t="s">
        <v>169</v>
      </c>
      <c r="D734" s="4" t="s">
        <v>206</v>
      </c>
      <c r="E734" s="4" t="s">
        <v>702</v>
      </c>
      <c r="F734" s="4" t="s">
        <v>230</v>
      </c>
      <c r="G734" s="4" t="s">
        <v>208</v>
      </c>
      <c r="H734" s="4" t="s">
        <v>2538</v>
      </c>
      <c r="I734" s="5" t="n">
        <v>10.64</v>
      </c>
      <c r="J734" s="7" t="n">
        <v>0</v>
      </c>
      <c r="K734" s="5" t="n">
        <v>0</v>
      </c>
      <c r="L734" s="8" t="n">
        <v>0</v>
      </c>
      <c r="M734" s="9" t="n">
        <v>0</v>
      </c>
      <c r="N734" s="10" t="n">
        <v>0.07920792</v>
      </c>
      <c r="O734" s="5" t="n">
        <v>105.35</v>
      </c>
      <c r="P734" s="11" t="n">
        <v>1.16092</v>
      </c>
      <c r="Q734" s="7" t="n">
        <v>101</v>
      </c>
      <c r="R734" s="7" t="n">
        <v>8</v>
      </c>
      <c r="S734" s="7" t="n">
        <v>1</v>
      </c>
      <c r="T734" s="7" t="n">
        <v>1</v>
      </c>
      <c r="U734" s="7" t="n">
        <v>80</v>
      </c>
      <c r="V734" s="7" t="n">
        <v>17</v>
      </c>
    </row>
    <row r="735" customFormat="false" ht="15" hidden="false" customHeight="false" outlineLevel="0" collapsed="false">
      <c r="A735" s="4" t="s">
        <v>2539</v>
      </c>
      <c r="B735" s="4" t="str">
        <f aca="false">IF(AND(I735&gt;='Read Me &amp; Markers'!$B$18,J735&gt;='Read Me &amp; Markers'!$B$19,L735&gt;='Read Me &amp; Markers'!$B$20),"A. Proven winner",IF(AND(I735&gt;='Read Me &amp; Markers'!$B$18,J735&gt;='Read Me &amp; Markers'!$B$19,L735&gt;='Read Me &amp; Markers'!$B$21),"B. Strong performer",IF(AND(I735&gt;='Read Me &amp; Markers'!$B$22,L735&gt;='Read Me &amp; Markers'!$B$23),"C. Scale workhorse",IF(AND(I735&gt;='Read Me &amp; Markers'!$B$24,I735&lt;'Read Me &amp; Markers'!$B$18,J735&gt;='Read Me &amp; Markers'!$B$25,L735&gt;='Read Me &amp; Markers'!$B$26),"D. Promising (needs more spend)",""))))</f>
        <v/>
      </c>
      <c r="C735" s="4" t="s">
        <v>169</v>
      </c>
      <c r="D735" s="4" t="s">
        <v>154</v>
      </c>
      <c r="E735" s="4" t="s">
        <v>2540</v>
      </c>
      <c r="F735" s="4" t="s">
        <v>253</v>
      </c>
      <c r="G735" s="4" t="s">
        <v>142</v>
      </c>
      <c r="H735" s="4" t="s">
        <v>2541</v>
      </c>
      <c r="I735" s="5" t="n">
        <v>10.62</v>
      </c>
      <c r="J735" s="7" t="n">
        <v>0</v>
      </c>
      <c r="K735" s="5" t="n">
        <v>0</v>
      </c>
      <c r="L735" s="8" t="n">
        <v>0</v>
      </c>
      <c r="M735" s="9" t="n">
        <v>0</v>
      </c>
      <c r="N735" s="10" t="n">
        <v>0.04477612</v>
      </c>
      <c r="O735" s="5" t="n">
        <v>52.84</v>
      </c>
      <c r="P735" s="11" t="n">
        <v>1.305195</v>
      </c>
      <c r="Q735" s="7" t="n">
        <v>201</v>
      </c>
      <c r="R735" s="7" t="n">
        <v>9</v>
      </c>
      <c r="S735" s="7" t="n">
        <v>0</v>
      </c>
      <c r="T735" s="7" t="n">
        <v>0</v>
      </c>
      <c r="U735" s="7" t="n">
        <v>120</v>
      </c>
      <c r="V735" s="7" t="n">
        <v>13</v>
      </c>
    </row>
    <row r="736" customFormat="false" ht="15" hidden="false" customHeight="false" outlineLevel="0" collapsed="false">
      <c r="A736" s="4" t="s">
        <v>2542</v>
      </c>
      <c r="B736" s="4" t="str">
        <f aca="false">IF(AND(I736&gt;='Read Me &amp; Markers'!$B$18,J736&gt;='Read Me &amp; Markers'!$B$19,L736&gt;='Read Me &amp; Markers'!$B$20),"A. Proven winner",IF(AND(I736&gt;='Read Me &amp; Markers'!$B$18,J736&gt;='Read Me &amp; Markers'!$B$19,L736&gt;='Read Me &amp; Markers'!$B$21),"B. Strong performer",IF(AND(I736&gt;='Read Me &amp; Markers'!$B$22,L736&gt;='Read Me &amp; Markers'!$B$23),"C. Scale workhorse",IF(AND(I736&gt;='Read Me &amp; Markers'!$B$24,I736&lt;'Read Me &amp; Markers'!$B$18,J736&gt;='Read Me &amp; Markers'!$B$25,L736&gt;='Read Me &amp; Markers'!$B$26),"D. Promising (needs more spend)",""))))</f>
        <v/>
      </c>
      <c r="C736" s="4" t="s">
        <v>913</v>
      </c>
      <c r="D736" s="4" t="s">
        <v>109</v>
      </c>
      <c r="E736" s="4" t="s">
        <v>469</v>
      </c>
      <c r="F736" s="4" t="s">
        <v>172</v>
      </c>
      <c r="G736" s="4" t="s">
        <v>470</v>
      </c>
      <c r="H736" s="4" t="s">
        <v>2543</v>
      </c>
      <c r="I736" s="5" t="n">
        <v>10.58</v>
      </c>
      <c r="J736" s="7" t="n">
        <v>0</v>
      </c>
      <c r="K736" s="5" t="n">
        <v>0</v>
      </c>
      <c r="L736" s="8" t="n">
        <v>0</v>
      </c>
      <c r="M736" s="9" t="n">
        <v>0</v>
      </c>
      <c r="N736" s="10" t="n">
        <v>0.02777778</v>
      </c>
      <c r="O736" s="5" t="n">
        <v>146.94</v>
      </c>
      <c r="P736" s="11" t="n">
        <v>1.16129</v>
      </c>
      <c r="Q736" s="7" t="n">
        <v>72</v>
      </c>
      <c r="R736" s="7" t="n">
        <v>2</v>
      </c>
      <c r="S736" s="7" t="n">
        <v>0</v>
      </c>
      <c r="T736" s="7" t="n">
        <v>0</v>
      </c>
      <c r="U736" s="7" t="n">
        <v>63</v>
      </c>
      <c r="V736" s="7" t="n">
        <v>5</v>
      </c>
    </row>
    <row r="737" customFormat="false" ht="15" hidden="false" customHeight="false" outlineLevel="0" collapsed="false">
      <c r="A737" s="4" t="s">
        <v>2544</v>
      </c>
      <c r="B737" s="4" t="str">
        <f aca="false">IF(AND(I737&gt;='Read Me &amp; Markers'!$B$18,J737&gt;='Read Me &amp; Markers'!$B$19,L737&gt;='Read Me &amp; Markers'!$B$20),"A. Proven winner",IF(AND(I737&gt;='Read Me &amp; Markers'!$B$18,J737&gt;='Read Me &amp; Markers'!$B$19,L737&gt;='Read Me &amp; Markers'!$B$21),"B. Strong performer",IF(AND(I737&gt;='Read Me &amp; Markers'!$B$22,L737&gt;='Read Me &amp; Markers'!$B$23),"C. Scale workhorse",IF(AND(I737&gt;='Read Me &amp; Markers'!$B$24,I737&lt;'Read Me &amp; Markers'!$B$18,J737&gt;='Read Me &amp; Markers'!$B$25,L737&gt;='Read Me &amp; Markers'!$B$26),"D. Promising (needs more spend)",""))))</f>
        <v/>
      </c>
      <c r="C737" s="4" t="s">
        <v>121</v>
      </c>
      <c r="D737" s="4" t="s">
        <v>206</v>
      </c>
      <c r="E737" s="4" t="s">
        <v>2119</v>
      </c>
      <c r="F737" s="4" t="s">
        <v>253</v>
      </c>
      <c r="G737" s="4" t="s">
        <v>208</v>
      </c>
      <c r="H737" s="4" t="s">
        <v>2545</v>
      </c>
      <c r="I737" s="5" t="n">
        <v>10.57</v>
      </c>
      <c r="J737" s="7" t="n">
        <v>0</v>
      </c>
      <c r="K737" s="5" t="n">
        <v>0</v>
      </c>
      <c r="L737" s="8" t="n">
        <v>0</v>
      </c>
      <c r="M737" s="9" t="n">
        <v>0</v>
      </c>
      <c r="N737" s="10" t="n">
        <v>0.02247191</v>
      </c>
      <c r="O737" s="5" t="n">
        <v>118.76</v>
      </c>
      <c r="P737" s="11" t="n">
        <v>1.098765</v>
      </c>
      <c r="Q737" s="7" t="n">
        <v>89</v>
      </c>
      <c r="R737" s="7" t="n">
        <v>2</v>
      </c>
      <c r="S737" s="7" t="n">
        <v>0</v>
      </c>
      <c r="T737" s="7" t="n">
        <v>0</v>
      </c>
      <c r="U737" s="7" t="n">
        <v>81</v>
      </c>
      <c r="V737" s="7" t="n">
        <v>6</v>
      </c>
    </row>
    <row r="738" customFormat="false" ht="15" hidden="false" customHeight="false" outlineLevel="0" collapsed="false">
      <c r="A738" s="4" t="s">
        <v>2546</v>
      </c>
      <c r="B738" s="4" t="str">
        <f aca="false">IF(AND(I738&gt;='Read Me &amp; Markers'!$B$18,J738&gt;='Read Me &amp; Markers'!$B$19,L738&gt;='Read Me &amp; Markers'!$B$20),"A. Proven winner",IF(AND(I738&gt;='Read Me &amp; Markers'!$B$18,J738&gt;='Read Me &amp; Markers'!$B$19,L738&gt;='Read Me &amp; Markers'!$B$21),"B. Strong performer",IF(AND(I738&gt;='Read Me &amp; Markers'!$B$22,L738&gt;='Read Me &amp; Markers'!$B$23),"C. Scale workhorse",IF(AND(I738&gt;='Read Me &amp; Markers'!$B$24,I738&lt;'Read Me &amp; Markers'!$B$18,J738&gt;='Read Me &amp; Markers'!$B$25,L738&gt;='Read Me &amp; Markers'!$B$26),"D. Promising (needs more spend)",""))))</f>
        <v/>
      </c>
      <c r="C738" s="4" t="s">
        <v>169</v>
      </c>
      <c r="D738" s="4" t="s">
        <v>100</v>
      </c>
      <c r="E738" s="4" t="s">
        <v>2547</v>
      </c>
      <c r="F738" s="4" t="s">
        <v>253</v>
      </c>
      <c r="G738" s="4" t="s">
        <v>650</v>
      </c>
      <c r="H738" s="4" t="s">
        <v>2548</v>
      </c>
      <c r="I738" s="5" t="n">
        <v>10.54</v>
      </c>
      <c r="J738" s="7" t="n">
        <v>0</v>
      </c>
      <c r="K738" s="5" t="n">
        <v>0</v>
      </c>
      <c r="L738" s="8" t="n">
        <v>0</v>
      </c>
      <c r="M738" s="9" t="n">
        <v>0</v>
      </c>
      <c r="N738" s="10" t="n">
        <v>0.03305785</v>
      </c>
      <c r="O738" s="5" t="n">
        <v>87.11</v>
      </c>
      <c r="P738" s="11" t="n">
        <v>1.141509</v>
      </c>
      <c r="Q738" s="7" t="n">
        <v>121</v>
      </c>
      <c r="R738" s="7" t="n">
        <v>4</v>
      </c>
      <c r="S738" s="7" t="n">
        <v>0</v>
      </c>
      <c r="T738" s="7" t="n">
        <v>0</v>
      </c>
      <c r="U738" s="7" t="n">
        <v>106</v>
      </c>
      <c r="V738" s="7" t="n">
        <v>8</v>
      </c>
    </row>
    <row r="739" customFormat="false" ht="15" hidden="false" customHeight="false" outlineLevel="0" collapsed="false">
      <c r="A739" s="4" t="s">
        <v>2549</v>
      </c>
      <c r="B739" s="4" t="str">
        <f aca="false">IF(AND(I739&gt;='Read Me &amp; Markers'!$B$18,J739&gt;='Read Me &amp; Markers'!$B$19,L739&gt;='Read Me &amp; Markers'!$B$20),"A. Proven winner",IF(AND(I739&gt;='Read Me &amp; Markers'!$B$18,J739&gt;='Read Me &amp; Markers'!$B$19,L739&gt;='Read Me &amp; Markers'!$B$21),"B. Strong performer",IF(AND(I739&gt;='Read Me &amp; Markers'!$B$22,L739&gt;='Read Me &amp; Markers'!$B$23),"C. Scale workhorse",IF(AND(I739&gt;='Read Me &amp; Markers'!$B$24,I739&lt;'Read Me &amp; Markers'!$B$18,J739&gt;='Read Me &amp; Markers'!$B$25,L739&gt;='Read Me &amp; Markers'!$B$26),"D. Promising (needs more spend)",""))))</f>
        <v/>
      </c>
      <c r="C739" s="4" t="s">
        <v>2550</v>
      </c>
      <c r="D739" s="4" t="s">
        <v>109</v>
      </c>
      <c r="E739" s="4" t="s">
        <v>435</v>
      </c>
      <c r="F739" s="4" t="s">
        <v>111</v>
      </c>
      <c r="G739" s="4" t="s">
        <v>500</v>
      </c>
      <c r="H739" s="4" t="s">
        <v>2551</v>
      </c>
      <c r="I739" s="5" t="n">
        <v>10.53</v>
      </c>
      <c r="J739" s="7" t="n">
        <v>0</v>
      </c>
      <c r="K739" s="5" t="n">
        <v>0</v>
      </c>
      <c r="L739" s="8" t="n">
        <v>0</v>
      </c>
      <c r="M739" s="9" t="n">
        <v>0</v>
      </c>
      <c r="N739" s="10" t="n">
        <v>0.01886792</v>
      </c>
      <c r="O739" s="5" t="n">
        <v>198.68</v>
      </c>
      <c r="P739" s="11" t="n">
        <v>1.394737</v>
      </c>
      <c r="Q739" s="7" t="n">
        <v>53</v>
      </c>
      <c r="R739" s="7" t="n">
        <v>1</v>
      </c>
      <c r="S739" s="7" t="n">
        <v>0</v>
      </c>
      <c r="T739" s="7" t="n">
        <v>0</v>
      </c>
      <c r="U739" s="7" t="n">
        <v>40</v>
      </c>
      <c r="V739" s="7" t="n">
        <v>4</v>
      </c>
    </row>
    <row r="740" customFormat="false" ht="15" hidden="false" customHeight="false" outlineLevel="0" collapsed="false">
      <c r="A740" s="4" t="s">
        <v>2552</v>
      </c>
      <c r="B740" s="4" t="str">
        <f aca="false">IF(AND(I740&gt;='Read Me &amp; Markers'!$B$18,J740&gt;='Read Me &amp; Markers'!$B$19,L740&gt;='Read Me &amp; Markers'!$B$20),"A. Proven winner",IF(AND(I740&gt;='Read Me &amp; Markers'!$B$18,J740&gt;='Read Me &amp; Markers'!$B$19,L740&gt;='Read Me &amp; Markers'!$B$21),"B. Strong performer",IF(AND(I740&gt;='Read Me &amp; Markers'!$B$22,L740&gt;='Read Me &amp; Markers'!$B$23),"C. Scale workhorse",IF(AND(I740&gt;='Read Me &amp; Markers'!$B$24,I740&lt;'Read Me &amp; Markers'!$B$18,J740&gt;='Read Me &amp; Markers'!$B$25,L740&gt;='Read Me &amp; Markers'!$B$26),"D. Promising (needs more spend)",""))))</f>
        <v/>
      </c>
      <c r="C740" s="4" t="s">
        <v>2553</v>
      </c>
      <c r="D740" s="4" t="s">
        <v>109</v>
      </c>
      <c r="E740" s="4" t="s">
        <v>474</v>
      </c>
      <c r="F740" s="4" t="s">
        <v>111</v>
      </c>
      <c r="G740" s="4" t="s">
        <v>475</v>
      </c>
      <c r="H740" s="4" t="s">
        <v>2554</v>
      </c>
      <c r="I740" s="5" t="n">
        <v>10.49</v>
      </c>
      <c r="J740" s="7" t="n">
        <v>0</v>
      </c>
      <c r="K740" s="5" t="n">
        <v>0</v>
      </c>
      <c r="L740" s="8" t="n">
        <v>0</v>
      </c>
      <c r="M740" s="9" t="n">
        <v>0</v>
      </c>
      <c r="N740" s="10" t="n">
        <v>0.01355932</v>
      </c>
      <c r="O740" s="5" t="n">
        <v>35.56</v>
      </c>
      <c r="P740" s="11" t="n">
        <v>1.239496</v>
      </c>
      <c r="Q740" s="7" t="n">
        <v>295</v>
      </c>
      <c r="R740" s="7" t="n">
        <v>4</v>
      </c>
      <c r="S740" s="7" t="n">
        <v>0</v>
      </c>
      <c r="T740" s="7" t="n">
        <v>0</v>
      </c>
      <c r="U740" s="7" t="n">
        <v>0</v>
      </c>
      <c r="V740" s="7" t="n">
        <v>0</v>
      </c>
    </row>
    <row r="741" customFormat="false" ht="15" hidden="false" customHeight="false" outlineLevel="0" collapsed="false">
      <c r="A741" s="4" t="s">
        <v>2555</v>
      </c>
      <c r="B741" s="4" t="str">
        <f aca="false">IF(AND(I741&gt;='Read Me &amp; Markers'!$B$18,J741&gt;='Read Me &amp; Markers'!$B$19,L741&gt;='Read Me &amp; Markers'!$B$20),"A. Proven winner",IF(AND(I741&gt;='Read Me &amp; Markers'!$B$18,J741&gt;='Read Me &amp; Markers'!$B$19,L741&gt;='Read Me &amp; Markers'!$B$21),"B. Strong performer",IF(AND(I741&gt;='Read Me &amp; Markers'!$B$22,L741&gt;='Read Me &amp; Markers'!$B$23),"C. Scale workhorse",IF(AND(I741&gt;='Read Me &amp; Markers'!$B$24,I741&lt;'Read Me &amp; Markers'!$B$18,J741&gt;='Read Me &amp; Markers'!$B$25,L741&gt;='Read Me &amp; Markers'!$B$26),"D. Promising (needs more spend)",""))))</f>
        <v/>
      </c>
      <c r="C741" s="4" t="s">
        <v>121</v>
      </c>
      <c r="D741" s="4" t="s">
        <v>206</v>
      </c>
      <c r="E741" s="4" t="s">
        <v>591</v>
      </c>
      <c r="F741" s="4" t="s">
        <v>253</v>
      </c>
      <c r="G741" s="4" t="s">
        <v>208</v>
      </c>
      <c r="H741" s="4" t="s">
        <v>2556</v>
      </c>
      <c r="I741" s="5" t="n">
        <v>10.46</v>
      </c>
      <c r="J741" s="7" t="n">
        <v>0</v>
      </c>
      <c r="K741" s="5" t="n">
        <v>0</v>
      </c>
      <c r="L741" s="8" t="n">
        <v>0</v>
      </c>
      <c r="M741" s="9" t="n">
        <v>0</v>
      </c>
      <c r="N741" s="10" t="n">
        <v>0.03333333</v>
      </c>
      <c r="O741" s="5" t="n">
        <v>116.22</v>
      </c>
      <c r="P741" s="11" t="n">
        <v>1.046512</v>
      </c>
      <c r="Q741" s="7" t="n">
        <v>90</v>
      </c>
      <c r="R741" s="7" t="n">
        <v>3</v>
      </c>
      <c r="S741" s="7" t="n">
        <v>2</v>
      </c>
      <c r="T741" s="7" t="n">
        <v>2</v>
      </c>
      <c r="U741" s="7" t="n">
        <v>66</v>
      </c>
      <c r="V741" s="7" t="n">
        <v>2</v>
      </c>
    </row>
    <row r="742" customFormat="false" ht="15" hidden="false" customHeight="false" outlineLevel="0" collapsed="false">
      <c r="A742" s="4" t="s">
        <v>2557</v>
      </c>
      <c r="B742" s="4" t="str">
        <f aca="false">IF(AND(I742&gt;='Read Me &amp; Markers'!$B$18,J742&gt;='Read Me &amp; Markers'!$B$19,L742&gt;='Read Me &amp; Markers'!$B$20),"A. Proven winner",IF(AND(I742&gt;='Read Me &amp; Markers'!$B$18,J742&gt;='Read Me &amp; Markers'!$B$19,L742&gt;='Read Me &amp; Markers'!$B$21),"B. Strong performer",IF(AND(I742&gt;='Read Me &amp; Markers'!$B$22,L742&gt;='Read Me &amp; Markers'!$B$23),"C. Scale workhorse",IF(AND(I742&gt;='Read Me &amp; Markers'!$B$24,I742&lt;'Read Me &amp; Markers'!$B$18,J742&gt;='Read Me &amp; Markers'!$B$25,L742&gt;='Read Me &amp; Markers'!$B$26),"D. Promising (needs more spend)",""))))</f>
        <v/>
      </c>
      <c r="C742" s="4" t="s">
        <v>2558</v>
      </c>
      <c r="D742" s="4" t="s">
        <v>109</v>
      </c>
      <c r="E742" s="4" t="s">
        <v>482</v>
      </c>
      <c r="F742" s="4" t="s">
        <v>111</v>
      </c>
      <c r="G742" s="4" t="s">
        <v>483</v>
      </c>
      <c r="H742" s="4" t="s">
        <v>2559</v>
      </c>
      <c r="I742" s="5" t="n">
        <v>10.44</v>
      </c>
      <c r="J742" s="7" t="n">
        <v>0</v>
      </c>
      <c r="K742" s="5" t="n">
        <v>0</v>
      </c>
      <c r="L742" s="8" t="n">
        <v>0</v>
      </c>
      <c r="M742" s="9" t="n">
        <v>0</v>
      </c>
      <c r="N742" s="10" t="n">
        <v>0.00806452</v>
      </c>
      <c r="O742" s="5" t="n">
        <v>84.19</v>
      </c>
      <c r="P742" s="11" t="n">
        <v>1.078261</v>
      </c>
      <c r="Q742" s="7" t="n">
        <v>124</v>
      </c>
      <c r="R742" s="7" t="n">
        <v>1</v>
      </c>
      <c r="S742" s="7" t="n">
        <v>0</v>
      </c>
      <c r="T742" s="7" t="n">
        <v>0</v>
      </c>
      <c r="U742" s="7" t="n">
        <v>117</v>
      </c>
      <c r="V742" s="7" t="n">
        <v>12</v>
      </c>
    </row>
    <row r="743" customFormat="false" ht="15" hidden="false" customHeight="false" outlineLevel="0" collapsed="false">
      <c r="A743" s="4" t="s">
        <v>2560</v>
      </c>
      <c r="B743" s="4" t="str">
        <f aca="false">IF(AND(I743&gt;='Read Me &amp; Markers'!$B$18,J743&gt;='Read Me &amp; Markers'!$B$19,L743&gt;='Read Me &amp; Markers'!$B$20),"A. Proven winner",IF(AND(I743&gt;='Read Me &amp; Markers'!$B$18,J743&gt;='Read Me &amp; Markers'!$B$19,L743&gt;='Read Me &amp; Markers'!$B$21),"B. Strong performer",IF(AND(I743&gt;='Read Me &amp; Markers'!$B$22,L743&gt;='Read Me &amp; Markers'!$B$23),"C. Scale workhorse",IF(AND(I743&gt;='Read Me &amp; Markers'!$B$24,I743&lt;'Read Me &amp; Markers'!$B$18,J743&gt;='Read Me &amp; Markers'!$B$25,L743&gt;='Read Me &amp; Markers'!$B$26),"D. Promising (needs more spend)",""))))</f>
        <v/>
      </c>
      <c r="C743" s="4" t="s">
        <v>2561</v>
      </c>
      <c r="D743" s="4" t="s">
        <v>109</v>
      </c>
      <c r="E743" s="4" t="s">
        <v>469</v>
      </c>
      <c r="F743" s="4" t="s">
        <v>172</v>
      </c>
      <c r="G743" s="4" t="s">
        <v>470</v>
      </c>
      <c r="H743" s="4" t="s">
        <v>2562</v>
      </c>
      <c r="I743" s="5" t="n">
        <v>10.29</v>
      </c>
      <c r="J743" s="7" t="n">
        <v>0</v>
      </c>
      <c r="K743" s="5" t="n">
        <v>0</v>
      </c>
      <c r="L743" s="8" t="n">
        <v>0</v>
      </c>
      <c r="M743" s="9" t="n">
        <v>0</v>
      </c>
      <c r="N743" s="10" t="n">
        <v>0.01829268</v>
      </c>
      <c r="O743" s="5" t="n">
        <v>62.74</v>
      </c>
      <c r="P743" s="11" t="n">
        <v>1.086093</v>
      </c>
      <c r="Q743" s="7" t="n">
        <v>164</v>
      </c>
      <c r="R743" s="7" t="n">
        <v>3</v>
      </c>
      <c r="S743" s="7" t="n">
        <v>0</v>
      </c>
      <c r="T743" s="7" t="n">
        <v>0</v>
      </c>
      <c r="U743" s="7" t="n">
        <v>0</v>
      </c>
      <c r="V743" s="7" t="n">
        <v>0</v>
      </c>
    </row>
    <row r="744" customFormat="false" ht="15" hidden="false" customHeight="false" outlineLevel="0" collapsed="false">
      <c r="A744" s="4" t="s">
        <v>2563</v>
      </c>
      <c r="B744" s="4" t="str">
        <f aca="false">IF(AND(I744&gt;='Read Me &amp; Markers'!$B$18,J744&gt;='Read Me &amp; Markers'!$B$19,L744&gt;='Read Me &amp; Markers'!$B$20),"A. Proven winner",IF(AND(I744&gt;='Read Me &amp; Markers'!$B$18,J744&gt;='Read Me &amp; Markers'!$B$19,L744&gt;='Read Me &amp; Markers'!$B$21),"B. Strong performer",IF(AND(I744&gt;='Read Me &amp; Markers'!$B$22,L744&gt;='Read Me &amp; Markers'!$B$23),"C. Scale workhorse",IF(AND(I744&gt;='Read Me &amp; Markers'!$B$24,I744&lt;'Read Me &amp; Markers'!$B$18,J744&gt;='Read Me &amp; Markers'!$B$25,L744&gt;='Read Me &amp; Markers'!$B$26),"D. Promising (needs more spend)",""))))</f>
        <v/>
      </c>
      <c r="C744" s="4" t="s">
        <v>129</v>
      </c>
      <c r="D744" s="4" t="s">
        <v>154</v>
      </c>
      <c r="E744" s="4" t="s">
        <v>2564</v>
      </c>
      <c r="F744" s="4" t="s">
        <v>253</v>
      </c>
      <c r="G744" s="4" t="s">
        <v>1093</v>
      </c>
      <c r="H744" s="4" t="s">
        <v>2565</v>
      </c>
      <c r="I744" s="5" t="n">
        <v>10.26</v>
      </c>
      <c r="J744" s="7" t="n">
        <v>0</v>
      </c>
      <c r="K744" s="5" t="n">
        <v>0</v>
      </c>
      <c r="L744" s="8" t="n">
        <v>0</v>
      </c>
      <c r="M744" s="9" t="n">
        <v>0</v>
      </c>
      <c r="N744" s="10" t="n">
        <v>0.04761905</v>
      </c>
      <c r="O744" s="5" t="n">
        <v>81.43</v>
      </c>
      <c r="P744" s="11" t="n">
        <v>1.2</v>
      </c>
      <c r="Q744" s="7" t="n">
        <v>126</v>
      </c>
      <c r="R744" s="7" t="n">
        <v>6</v>
      </c>
      <c r="S744" s="7" t="n">
        <v>1</v>
      </c>
      <c r="T744" s="7" t="n">
        <v>1</v>
      </c>
      <c r="U744" s="7" t="n">
        <v>107</v>
      </c>
      <c r="V744" s="7" t="n">
        <v>25</v>
      </c>
    </row>
    <row r="745" customFormat="false" ht="15" hidden="false" customHeight="false" outlineLevel="0" collapsed="false">
      <c r="A745" s="4" t="s">
        <v>2566</v>
      </c>
      <c r="B745" s="4" t="str">
        <f aca="false">IF(AND(I745&gt;='Read Me &amp; Markers'!$B$18,J745&gt;='Read Me &amp; Markers'!$B$19,L745&gt;='Read Me &amp; Markers'!$B$20),"A. Proven winner",IF(AND(I745&gt;='Read Me &amp; Markers'!$B$18,J745&gt;='Read Me &amp; Markers'!$B$19,L745&gt;='Read Me &amp; Markers'!$B$21),"B. Strong performer",IF(AND(I745&gt;='Read Me &amp; Markers'!$B$22,L745&gt;='Read Me &amp; Markers'!$B$23),"C. Scale workhorse",IF(AND(I745&gt;='Read Me &amp; Markers'!$B$24,I745&lt;'Read Me &amp; Markers'!$B$18,J745&gt;='Read Me &amp; Markers'!$B$25,L745&gt;='Read Me &amp; Markers'!$B$26),"D. Promising (needs more spend)",""))))</f>
        <v/>
      </c>
      <c r="C745" s="4" t="s">
        <v>169</v>
      </c>
      <c r="D745" s="4" t="s">
        <v>206</v>
      </c>
      <c r="E745" s="4" t="s">
        <v>207</v>
      </c>
      <c r="F745" s="4" t="s">
        <v>253</v>
      </c>
      <c r="G745" s="4" t="s">
        <v>208</v>
      </c>
      <c r="H745" s="4" t="s">
        <v>2567</v>
      </c>
      <c r="I745" s="5" t="n">
        <v>9.87</v>
      </c>
      <c r="J745" s="7" t="n">
        <v>1</v>
      </c>
      <c r="K745" s="5" t="n">
        <v>79.97</v>
      </c>
      <c r="L745" s="8" t="n">
        <v>8.10233</v>
      </c>
      <c r="M745" s="9" t="n">
        <v>9.87</v>
      </c>
      <c r="N745" s="10" t="n">
        <v>0.12280702</v>
      </c>
      <c r="O745" s="5" t="n">
        <v>86.58</v>
      </c>
      <c r="P745" s="11" t="n">
        <v>1.065421</v>
      </c>
      <c r="Q745" s="7" t="n">
        <v>114</v>
      </c>
      <c r="R745" s="7" t="n">
        <v>14</v>
      </c>
      <c r="S745" s="7" t="n">
        <v>2</v>
      </c>
      <c r="T745" s="7" t="n">
        <v>1</v>
      </c>
      <c r="U745" s="7" t="n">
        <v>105</v>
      </c>
      <c r="V745" s="7" t="n">
        <v>22</v>
      </c>
    </row>
    <row r="746" customFormat="false" ht="15" hidden="false" customHeight="false" outlineLevel="0" collapsed="false">
      <c r="A746" s="4" t="s">
        <v>2568</v>
      </c>
      <c r="B746" s="4" t="str">
        <f aca="false">IF(AND(I746&gt;='Read Me &amp; Markers'!$B$18,J746&gt;='Read Me &amp; Markers'!$B$19,L746&gt;='Read Me &amp; Markers'!$B$20),"A. Proven winner",IF(AND(I746&gt;='Read Me &amp; Markers'!$B$18,J746&gt;='Read Me &amp; Markers'!$B$19,L746&gt;='Read Me &amp; Markers'!$B$21),"B. Strong performer",IF(AND(I746&gt;='Read Me &amp; Markers'!$B$22,L746&gt;='Read Me &amp; Markers'!$B$23),"C. Scale workhorse",IF(AND(I746&gt;='Read Me &amp; Markers'!$B$24,I746&lt;'Read Me &amp; Markers'!$B$18,J746&gt;='Read Me &amp; Markers'!$B$25,L746&gt;='Read Me &amp; Markers'!$B$26),"D. Promising (needs more spend)",""))))</f>
        <v/>
      </c>
      <c r="C746" s="4" t="s">
        <v>2569</v>
      </c>
      <c r="D746" s="4" t="s">
        <v>109</v>
      </c>
      <c r="E746" s="4" t="s">
        <v>474</v>
      </c>
      <c r="F746" s="4" t="s">
        <v>172</v>
      </c>
      <c r="G746" s="4" t="s">
        <v>475</v>
      </c>
      <c r="H746" s="4" t="s">
        <v>2570</v>
      </c>
      <c r="I746" s="5" t="n">
        <v>9.86</v>
      </c>
      <c r="J746" s="7" t="n">
        <v>0</v>
      </c>
      <c r="K746" s="5" t="n">
        <v>0</v>
      </c>
      <c r="L746" s="8" t="n">
        <v>0</v>
      </c>
      <c r="M746" s="9" t="n">
        <v>0</v>
      </c>
      <c r="N746" s="10" t="n">
        <v>0</v>
      </c>
      <c r="O746" s="5" t="n">
        <v>90.46</v>
      </c>
      <c r="P746" s="11" t="n">
        <v>1.184783</v>
      </c>
      <c r="Q746" s="7" t="n">
        <v>109</v>
      </c>
      <c r="R746" s="7" t="n">
        <v>0</v>
      </c>
      <c r="S746" s="7" t="n">
        <v>0</v>
      </c>
      <c r="T746" s="7" t="n">
        <v>0</v>
      </c>
      <c r="U746" s="7" t="n">
        <v>0</v>
      </c>
      <c r="V746" s="7" t="n">
        <v>0</v>
      </c>
    </row>
    <row r="747" customFormat="false" ht="15" hidden="false" customHeight="false" outlineLevel="0" collapsed="false">
      <c r="A747" s="4" t="s">
        <v>2571</v>
      </c>
      <c r="B747" s="4" t="str">
        <f aca="false">IF(AND(I747&gt;='Read Me &amp; Markers'!$B$18,J747&gt;='Read Me &amp; Markers'!$B$19,L747&gt;='Read Me &amp; Markers'!$B$20),"A. Proven winner",IF(AND(I747&gt;='Read Me &amp; Markers'!$B$18,J747&gt;='Read Me &amp; Markers'!$B$19,L747&gt;='Read Me &amp; Markers'!$B$21),"B. Strong performer",IF(AND(I747&gt;='Read Me &amp; Markers'!$B$22,L747&gt;='Read Me &amp; Markers'!$B$23),"C. Scale workhorse",IF(AND(I747&gt;='Read Me &amp; Markers'!$B$24,I747&lt;'Read Me &amp; Markers'!$B$18,J747&gt;='Read Me &amp; Markers'!$B$25,L747&gt;='Read Me &amp; Markers'!$B$26),"D. Promising (needs more spend)",""))))</f>
        <v/>
      </c>
      <c r="C747" s="4" t="s">
        <v>2572</v>
      </c>
      <c r="D747" s="4" t="s">
        <v>109</v>
      </c>
      <c r="E747" s="4" t="s">
        <v>2573</v>
      </c>
      <c r="F747" s="4" t="s">
        <v>111</v>
      </c>
      <c r="G747" s="4" t="s">
        <v>2574</v>
      </c>
      <c r="H747" s="4" t="s">
        <v>2575</v>
      </c>
      <c r="I747" s="5" t="n">
        <v>9.8</v>
      </c>
      <c r="J747" s="7" t="n">
        <v>0</v>
      </c>
      <c r="K747" s="5" t="n">
        <v>0</v>
      </c>
      <c r="L747" s="8" t="n">
        <v>0</v>
      </c>
      <c r="M747" s="9" t="n">
        <v>0</v>
      </c>
      <c r="N747" s="10" t="n">
        <v>0.08571429</v>
      </c>
      <c r="O747" s="5" t="n">
        <v>140</v>
      </c>
      <c r="P747" s="11" t="n">
        <v>1.147541</v>
      </c>
      <c r="Q747" s="7" t="n">
        <v>70</v>
      </c>
      <c r="R747" s="7" t="n">
        <v>6</v>
      </c>
      <c r="S747" s="7" t="n">
        <v>0</v>
      </c>
      <c r="T747" s="7" t="n">
        <v>0</v>
      </c>
      <c r="U747" s="7" t="n">
        <v>57</v>
      </c>
      <c r="V747" s="7" t="n">
        <v>15</v>
      </c>
    </row>
    <row r="748" customFormat="false" ht="15" hidden="false" customHeight="false" outlineLevel="0" collapsed="false">
      <c r="A748" s="4" t="s">
        <v>2576</v>
      </c>
      <c r="B748" s="4" t="str">
        <f aca="false">IF(AND(I748&gt;='Read Me &amp; Markers'!$B$18,J748&gt;='Read Me &amp; Markers'!$B$19,L748&gt;='Read Me &amp; Markers'!$B$20),"A. Proven winner",IF(AND(I748&gt;='Read Me &amp; Markers'!$B$18,J748&gt;='Read Me &amp; Markers'!$B$19,L748&gt;='Read Me &amp; Markers'!$B$21),"B. Strong performer",IF(AND(I748&gt;='Read Me &amp; Markers'!$B$22,L748&gt;='Read Me &amp; Markers'!$B$23),"C. Scale workhorse",IF(AND(I748&gt;='Read Me &amp; Markers'!$B$24,I748&lt;'Read Me &amp; Markers'!$B$18,J748&gt;='Read Me &amp; Markers'!$B$25,L748&gt;='Read Me &amp; Markers'!$B$26),"D. Promising (needs more spend)",""))))</f>
        <v/>
      </c>
      <c r="C748" s="4" t="s">
        <v>2577</v>
      </c>
      <c r="D748" s="4" t="s">
        <v>109</v>
      </c>
      <c r="E748" s="4" t="s">
        <v>822</v>
      </c>
      <c r="F748" s="4" t="s">
        <v>172</v>
      </c>
      <c r="G748" s="4" t="s">
        <v>361</v>
      </c>
      <c r="H748" s="4" t="s">
        <v>2578</v>
      </c>
      <c r="I748" s="5" t="n">
        <v>9.76</v>
      </c>
      <c r="J748" s="7" t="n">
        <v>0</v>
      </c>
      <c r="K748" s="5" t="n">
        <v>0</v>
      </c>
      <c r="L748" s="8" t="n">
        <v>0</v>
      </c>
      <c r="M748" s="9" t="n">
        <v>0</v>
      </c>
      <c r="N748" s="10" t="n">
        <v>0.02272727</v>
      </c>
      <c r="O748" s="5" t="n">
        <v>110.91</v>
      </c>
      <c r="P748" s="11" t="n">
        <v>1.060241</v>
      </c>
      <c r="Q748" s="7" t="n">
        <v>88</v>
      </c>
      <c r="R748" s="7" t="n">
        <v>2</v>
      </c>
      <c r="S748" s="7" t="n">
        <v>0</v>
      </c>
      <c r="T748" s="7" t="n">
        <v>0</v>
      </c>
      <c r="U748" s="7" t="n">
        <v>86</v>
      </c>
      <c r="V748" s="7" t="n">
        <v>21</v>
      </c>
    </row>
    <row r="749" customFormat="false" ht="15" hidden="false" customHeight="false" outlineLevel="0" collapsed="false">
      <c r="A749" s="4" t="s">
        <v>2579</v>
      </c>
      <c r="B749" s="4" t="str">
        <f aca="false">IF(AND(I749&gt;='Read Me &amp; Markers'!$B$18,J749&gt;='Read Me &amp; Markers'!$B$19,L749&gt;='Read Me &amp; Markers'!$B$20),"A. Proven winner",IF(AND(I749&gt;='Read Me &amp; Markers'!$B$18,J749&gt;='Read Me &amp; Markers'!$B$19,L749&gt;='Read Me &amp; Markers'!$B$21),"B. Strong performer",IF(AND(I749&gt;='Read Me &amp; Markers'!$B$22,L749&gt;='Read Me &amp; Markers'!$B$23),"C. Scale workhorse",IF(AND(I749&gt;='Read Me &amp; Markers'!$B$24,I749&lt;'Read Me &amp; Markers'!$B$18,J749&gt;='Read Me &amp; Markers'!$B$25,L749&gt;='Read Me &amp; Markers'!$B$26),"D. Promising (needs more spend)",""))))</f>
        <v/>
      </c>
      <c r="C749" s="4" t="s">
        <v>2580</v>
      </c>
      <c r="D749" s="4" t="s">
        <v>109</v>
      </c>
      <c r="E749" s="4" t="s">
        <v>474</v>
      </c>
      <c r="F749" s="4" t="s">
        <v>111</v>
      </c>
      <c r="G749" s="4" t="s">
        <v>475</v>
      </c>
      <c r="H749" s="4" t="s">
        <v>2581</v>
      </c>
      <c r="I749" s="5" t="n">
        <v>9.65</v>
      </c>
      <c r="J749" s="7" t="n">
        <v>2</v>
      </c>
      <c r="K749" s="5" t="n">
        <v>91.9</v>
      </c>
      <c r="L749" s="8" t="n">
        <v>9.523316</v>
      </c>
      <c r="M749" s="9" t="n">
        <v>4.83</v>
      </c>
      <c r="N749" s="10" t="n">
        <v>0.05839416</v>
      </c>
      <c r="O749" s="5" t="n">
        <v>70.44</v>
      </c>
      <c r="P749" s="11" t="n">
        <v>1.37</v>
      </c>
      <c r="Q749" s="7" t="n">
        <v>137</v>
      </c>
      <c r="R749" s="7" t="n">
        <v>8</v>
      </c>
      <c r="S749" s="7" t="n">
        <v>0</v>
      </c>
      <c r="T749" s="7" t="n">
        <v>2</v>
      </c>
      <c r="U749" s="7" t="n">
        <v>0</v>
      </c>
      <c r="V749" s="7" t="n">
        <v>0</v>
      </c>
    </row>
    <row r="750" customFormat="false" ht="15" hidden="false" customHeight="false" outlineLevel="0" collapsed="false">
      <c r="A750" s="4" t="s">
        <v>2582</v>
      </c>
      <c r="B750" s="4" t="str">
        <f aca="false">IF(AND(I750&gt;='Read Me &amp; Markers'!$B$18,J750&gt;='Read Me &amp; Markers'!$B$19,L750&gt;='Read Me &amp; Markers'!$B$20),"A. Proven winner",IF(AND(I750&gt;='Read Me &amp; Markers'!$B$18,J750&gt;='Read Me &amp; Markers'!$B$19,L750&gt;='Read Me &amp; Markers'!$B$21),"B. Strong performer",IF(AND(I750&gt;='Read Me &amp; Markers'!$B$22,L750&gt;='Read Me &amp; Markers'!$B$23),"C. Scale workhorse",IF(AND(I750&gt;='Read Me &amp; Markers'!$B$24,I750&lt;'Read Me &amp; Markers'!$B$18,J750&gt;='Read Me &amp; Markers'!$B$25,L750&gt;='Read Me &amp; Markers'!$B$26),"D. Promising (needs more spend)",""))))</f>
        <v/>
      </c>
      <c r="C750" s="4" t="s">
        <v>2583</v>
      </c>
      <c r="D750" s="4" t="s">
        <v>109</v>
      </c>
      <c r="E750" s="4" t="s">
        <v>1858</v>
      </c>
      <c r="F750" s="4" t="s">
        <v>172</v>
      </c>
      <c r="G750" s="4" t="s">
        <v>378</v>
      </c>
      <c r="H750" s="4" t="s">
        <v>2584</v>
      </c>
      <c r="I750" s="5" t="n">
        <v>9.65</v>
      </c>
      <c r="J750" s="7" t="n">
        <v>0</v>
      </c>
      <c r="K750" s="5" t="n">
        <v>0</v>
      </c>
      <c r="L750" s="8" t="n">
        <v>0</v>
      </c>
      <c r="M750" s="9" t="n">
        <v>0</v>
      </c>
      <c r="N750" s="10" t="n">
        <v>0.01834862</v>
      </c>
      <c r="O750" s="5" t="n">
        <v>88.53</v>
      </c>
      <c r="P750" s="11" t="n">
        <v>1.048077</v>
      </c>
      <c r="Q750" s="7" t="n">
        <v>109</v>
      </c>
      <c r="R750" s="7" t="n">
        <v>2</v>
      </c>
      <c r="S750" s="7" t="n">
        <v>0</v>
      </c>
      <c r="T750" s="7" t="n">
        <v>0</v>
      </c>
      <c r="U750" s="7" t="n">
        <v>100</v>
      </c>
      <c r="V750" s="7" t="n">
        <v>9</v>
      </c>
    </row>
    <row r="751" customFormat="false" ht="15" hidden="false" customHeight="false" outlineLevel="0" collapsed="false">
      <c r="A751" s="4" t="s">
        <v>2585</v>
      </c>
      <c r="B751" s="4" t="str">
        <f aca="false">IF(AND(I751&gt;='Read Me &amp; Markers'!$B$18,J751&gt;='Read Me &amp; Markers'!$B$19,L751&gt;='Read Me &amp; Markers'!$B$20),"A. Proven winner",IF(AND(I751&gt;='Read Me &amp; Markers'!$B$18,J751&gt;='Read Me &amp; Markers'!$B$19,L751&gt;='Read Me &amp; Markers'!$B$21),"B. Strong performer",IF(AND(I751&gt;='Read Me &amp; Markers'!$B$22,L751&gt;='Read Me &amp; Markers'!$B$23),"C. Scale workhorse",IF(AND(I751&gt;='Read Me &amp; Markers'!$B$24,I751&lt;'Read Me &amp; Markers'!$B$18,J751&gt;='Read Me &amp; Markers'!$B$25,L751&gt;='Read Me &amp; Markers'!$B$26),"D. Promising (needs more spend)",""))))</f>
        <v/>
      </c>
      <c r="C751" s="4" t="s">
        <v>2586</v>
      </c>
      <c r="D751" s="4" t="s">
        <v>154</v>
      </c>
      <c r="E751" s="4" t="s">
        <v>155</v>
      </c>
      <c r="F751" s="4" t="s">
        <v>87</v>
      </c>
      <c r="G751" s="4" t="s">
        <v>156</v>
      </c>
      <c r="H751" s="4" t="s">
        <v>2587</v>
      </c>
      <c r="I751" s="5" t="n">
        <v>9.63</v>
      </c>
      <c r="J751" s="7" t="n">
        <v>0</v>
      </c>
      <c r="K751" s="5" t="n">
        <v>0</v>
      </c>
      <c r="L751" s="8" t="n">
        <v>0</v>
      </c>
      <c r="M751" s="9" t="n">
        <v>0</v>
      </c>
      <c r="N751" s="10" t="n">
        <v>0</v>
      </c>
      <c r="O751" s="5" t="n">
        <v>101.37</v>
      </c>
      <c r="P751" s="11" t="n">
        <v>1.079545</v>
      </c>
      <c r="Q751" s="7" t="n">
        <v>95</v>
      </c>
      <c r="R751" s="7" t="n">
        <v>0</v>
      </c>
      <c r="S751" s="7" t="n">
        <v>0</v>
      </c>
      <c r="T751" s="7" t="n">
        <v>0</v>
      </c>
      <c r="U751" s="7" t="n">
        <v>82</v>
      </c>
      <c r="V751" s="7" t="n">
        <v>8</v>
      </c>
    </row>
    <row r="752" customFormat="false" ht="15" hidden="false" customHeight="false" outlineLevel="0" collapsed="false">
      <c r="A752" s="4" t="s">
        <v>2588</v>
      </c>
      <c r="B752" s="4" t="str">
        <f aca="false">IF(AND(I752&gt;='Read Me &amp; Markers'!$B$18,J752&gt;='Read Me &amp; Markers'!$B$19,L752&gt;='Read Me &amp; Markers'!$B$20),"A. Proven winner",IF(AND(I752&gt;='Read Me &amp; Markers'!$B$18,J752&gt;='Read Me &amp; Markers'!$B$19,L752&gt;='Read Me &amp; Markers'!$B$21),"B. Strong performer",IF(AND(I752&gt;='Read Me &amp; Markers'!$B$22,L752&gt;='Read Me &amp; Markers'!$B$23),"C. Scale workhorse",IF(AND(I752&gt;='Read Me &amp; Markers'!$B$24,I752&lt;'Read Me &amp; Markers'!$B$18,J752&gt;='Read Me &amp; Markers'!$B$25,L752&gt;='Read Me &amp; Markers'!$B$26),"D. Promising (needs more spend)",""))))</f>
        <v/>
      </c>
      <c r="C752" s="4" t="s">
        <v>129</v>
      </c>
      <c r="D752" s="4" t="s">
        <v>100</v>
      </c>
      <c r="E752" s="4" t="s">
        <v>2589</v>
      </c>
      <c r="F752" s="4" t="s">
        <v>230</v>
      </c>
      <c r="G752" s="4" t="s">
        <v>279</v>
      </c>
      <c r="H752" s="4" t="s">
        <v>2590</v>
      </c>
      <c r="I752" s="5" t="n">
        <v>9.61</v>
      </c>
      <c r="J752" s="7" t="n">
        <v>0</v>
      </c>
      <c r="K752" s="5" t="n">
        <v>0</v>
      </c>
      <c r="L752" s="8" t="n">
        <v>0</v>
      </c>
      <c r="M752" s="9" t="n">
        <v>0</v>
      </c>
      <c r="N752" s="10" t="n">
        <v>0.04285714</v>
      </c>
      <c r="O752" s="5" t="n">
        <v>137.29</v>
      </c>
      <c r="P752" s="11" t="n">
        <v>1.014493</v>
      </c>
      <c r="Q752" s="7" t="n">
        <v>70</v>
      </c>
      <c r="R752" s="7" t="n">
        <v>3</v>
      </c>
      <c r="S752" s="7" t="n">
        <v>0</v>
      </c>
      <c r="T752" s="7" t="n">
        <v>0</v>
      </c>
      <c r="U752" s="7" t="n">
        <v>66</v>
      </c>
      <c r="V752" s="7" t="n">
        <v>8</v>
      </c>
    </row>
    <row r="753" customFormat="false" ht="15" hidden="false" customHeight="false" outlineLevel="0" collapsed="false">
      <c r="A753" s="4" t="s">
        <v>2591</v>
      </c>
      <c r="B753" s="4" t="str">
        <f aca="false">IF(AND(I753&gt;='Read Me &amp; Markers'!$B$18,J753&gt;='Read Me &amp; Markers'!$B$19,L753&gt;='Read Me &amp; Markers'!$B$20),"A. Proven winner",IF(AND(I753&gt;='Read Me &amp; Markers'!$B$18,J753&gt;='Read Me &amp; Markers'!$B$19,L753&gt;='Read Me &amp; Markers'!$B$21),"B. Strong performer",IF(AND(I753&gt;='Read Me &amp; Markers'!$B$22,L753&gt;='Read Me &amp; Markers'!$B$23),"C. Scale workhorse",IF(AND(I753&gt;='Read Me &amp; Markers'!$B$24,I753&lt;'Read Me &amp; Markers'!$B$18,J753&gt;='Read Me &amp; Markers'!$B$25,L753&gt;='Read Me &amp; Markers'!$B$26),"D. Promising (needs more spend)",""))))</f>
        <v/>
      </c>
      <c r="C753" s="4" t="s">
        <v>2592</v>
      </c>
      <c r="D753" s="4" t="s">
        <v>109</v>
      </c>
      <c r="E753" s="4" t="s">
        <v>469</v>
      </c>
      <c r="F753" s="4" t="s">
        <v>172</v>
      </c>
      <c r="G753" s="4" t="s">
        <v>470</v>
      </c>
      <c r="H753" s="4" t="s">
        <v>2593</v>
      </c>
      <c r="I753" s="5" t="n">
        <v>9.52</v>
      </c>
      <c r="J753" s="7" t="n">
        <v>0</v>
      </c>
      <c r="K753" s="5" t="n">
        <v>0</v>
      </c>
      <c r="L753" s="8" t="n">
        <v>0</v>
      </c>
      <c r="M753" s="9" t="n">
        <v>0</v>
      </c>
      <c r="N753" s="10" t="n">
        <v>0.02173913</v>
      </c>
      <c r="O753" s="5" t="n">
        <v>68.99</v>
      </c>
      <c r="P753" s="11" t="n">
        <v>1.169492</v>
      </c>
      <c r="Q753" s="7" t="n">
        <v>138</v>
      </c>
      <c r="R753" s="7" t="n">
        <v>3</v>
      </c>
      <c r="S753" s="7" t="n">
        <v>1</v>
      </c>
      <c r="T753" s="7" t="n">
        <v>0</v>
      </c>
      <c r="U753" s="7" t="n">
        <v>0</v>
      </c>
      <c r="V753" s="7" t="n">
        <v>0</v>
      </c>
    </row>
    <row r="754" customFormat="false" ht="15" hidden="false" customHeight="false" outlineLevel="0" collapsed="false">
      <c r="A754" s="4" t="s">
        <v>2594</v>
      </c>
      <c r="B754" s="4" t="str">
        <f aca="false">IF(AND(I754&gt;='Read Me &amp; Markers'!$B$18,J754&gt;='Read Me &amp; Markers'!$B$19,L754&gt;='Read Me &amp; Markers'!$B$20),"A. Proven winner",IF(AND(I754&gt;='Read Me &amp; Markers'!$B$18,J754&gt;='Read Me &amp; Markers'!$B$19,L754&gt;='Read Me &amp; Markers'!$B$21),"B. Strong performer",IF(AND(I754&gt;='Read Me &amp; Markers'!$B$22,L754&gt;='Read Me &amp; Markers'!$B$23),"C. Scale workhorse",IF(AND(I754&gt;='Read Me &amp; Markers'!$B$24,I754&lt;'Read Me &amp; Markers'!$B$18,J754&gt;='Read Me &amp; Markers'!$B$25,L754&gt;='Read Me &amp; Markers'!$B$26),"D. Promising (needs more spend)",""))))</f>
        <v/>
      </c>
      <c r="C754" s="4" t="s">
        <v>169</v>
      </c>
      <c r="D754" s="4" t="s">
        <v>100</v>
      </c>
      <c r="E754" s="4" t="s">
        <v>1545</v>
      </c>
      <c r="F754" s="4" t="s">
        <v>253</v>
      </c>
      <c r="G754" s="4" t="s">
        <v>538</v>
      </c>
      <c r="H754" s="4" t="s">
        <v>2595</v>
      </c>
      <c r="I754" s="5" t="n">
        <v>9.5</v>
      </c>
      <c r="J754" s="7" t="n">
        <v>1</v>
      </c>
      <c r="K754" s="5" t="n">
        <v>79.97</v>
      </c>
      <c r="L754" s="8" t="n">
        <v>8.417895</v>
      </c>
      <c r="M754" s="9" t="n">
        <v>9.5</v>
      </c>
      <c r="N754" s="10" t="n">
        <v>0.05633803</v>
      </c>
      <c r="O754" s="5" t="n">
        <v>133.8</v>
      </c>
      <c r="P754" s="11" t="n">
        <v>1.028986</v>
      </c>
      <c r="Q754" s="7" t="n">
        <v>71</v>
      </c>
      <c r="R754" s="7" t="n">
        <v>4</v>
      </c>
      <c r="S754" s="7" t="n">
        <v>0</v>
      </c>
      <c r="T754" s="7" t="n">
        <v>1</v>
      </c>
      <c r="U754" s="7" t="n">
        <v>62</v>
      </c>
      <c r="V754" s="7" t="n">
        <v>12</v>
      </c>
    </row>
    <row r="755" customFormat="false" ht="15" hidden="false" customHeight="false" outlineLevel="0" collapsed="false">
      <c r="A755" s="4" t="s">
        <v>2596</v>
      </c>
      <c r="B755" s="4" t="str">
        <f aca="false">IF(AND(I755&gt;='Read Me &amp; Markers'!$B$18,J755&gt;='Read Me &amp; Markers'!$B$19,L755&gt;='Read Me &amp; Markers'!$B$20),"A. Proven winner",IF(AND(I755&gt;='Read Me &amp; Markers'!$B$18,J755&gt;='Read Me &amp; Markers'!$B$19,L755&gt;='Read Me &amp; Markers'!$B$21),"B. Strong performer",IF(AND(I755&gt;='Read Me &amp; Markers'!$B$22,L755&gt;='Read Me &amp; Markers'!$B$23),"C. Scale workhorse",IF(AND(I755&gt;='Read Me &amp; Markers'!$B$24,I755&lt;'Read Me &amp; Markers'!$B$18,J755&gt;='Read Me &amp; Markers'!$B$25,L755&gt;='Read Me &amp; Markers'!$B$26),"D. Promising (needs more spend)",""))))</f>
        <v/>
      </c>
      <c r="C755" s="4" t="s">
        <v>2597</v>
      </c>
      <c r="D755" s="4" t="s">
        <v>1204</v>
      </c>
      <c r="E755" s="4" t="s">
        <v>1430</v>
      </c>
      <c r="F755" s="4" t="s">
        <v>253</v>
      </c>
      <c r="G755" s="4" t="s">
        <v>1206</v>
      </c>
      <c r="H755" s="4" t="s">
        <v>2598</v>
      </c>
      <c r="I755" s="5" t="n">
        <v>9.48</v>
      </c>
      <c r="J755" s="7" t="n">
        <v>0</v>
      </c>
      <c r="K755" s="5" t="n">
        <v>0</v>
      </c>
      <c r="L755" s="8" t="n">
        <v>0</v>
      </c>
      <c r="M755" s="9" t="n">
        <v>0</v>
      </c>
      <c r="N755" s="10" t="n">
        <v>0.03361345</v>
      </c>
      <c r="O755" s="5" t="n">
        <v>79.66</v>
      </c>
      <c r="P755" s="11" t="n">
        <v>1.133333</v>
      </c>
      <c r="Q755" s="7" t="n">
        <v>119</v>
      </c>
      <c r="R755" s="7" t="n">
        <v>4</v>
      </c>
      <c r="S755" s="7" t="n">
        <v>0</v>
      </c>
      <c r="T755" s="7" t="n">
        <v>0</v>
      </c>
      <c r="U755" s="7" t="n">
        <v>114</v>
      </c>
      <c r="V755" s="7" t="n">
        <v>16</v>
      </c>
    </row>
    <row r="756" customFormat="false" ht="15" hidden="false" customHeight="false" outlineLevel="0" collapsed="false">
      <c r="A756" s="4" t="s">
        <v>2599</v>
      </c>
      <c r="B756" s="4" t="str">
        <f aca="false">IF(AND(I756&gt;='Read Me &amp; Markers'!$B$18,J756&gt;='Read Me &amp; Markers'!$B$19,L756&gt;='Read Me &amp; Markers'!$B$20),"A. Proven winner",IF(AND(I756&gt;='Read Me &amp; Markers'!$B$18,J756&gt;='Read Me &amp; Markers'!$B$19,L756&gt;='Read Me &amp; Markers'!$B$21),"B. Strong performer",IF(AND(I756&gt;='Read Me &amp; Markers'!$B$22,L756&gt;='Read Me &amp; Markers'!$B$23),"C. Scale workhorse",IF(AND(I756&gt;='Read Me &amp; Markers'!$B$24,I756&lt;'Read Me &amp; Markers'!$B$18,J756&gt;='Read Me &amp; Markers'!$B$25,L756&gt;='Read Me &amp; Markers'!$B$26),"D. Promising (needs more spend)",""))))</f>
        <v/>
      </c>
      <c r="C756" s="4" t="s">
        <v>129</v>
      </c>
      <c r="D756" s="4" t="s">
        <v>154</v>
      </c>
      <c r="E756" s="4" t="s">
        <v>2600</v>
      </c>
      <c r="F756" s="4" t="s">
        <v>253</v>
      </c>
      <c r="G756" s="4" t="s">
        <v>941</v>
      </c>
      <c r="H756" s="4" t="s">
        <v>2601</v>
      </c>
      <c r="I756" s="5" t="n">
        <v>9.39</v>
      </c>
      <c r="J756" s="7" t="n">
        <v>0</v>
      </c>
      <c r="K756" s="5" t="n">
        <v>0</v>
      </c>
      <c r="L756" s="8" t="n">
        <v>0</v>
      </c>
      <c r="M756" s="9" t="n">
        <v>0</v>
      </c>
      <c r="N756" s="10" t="n">
        <v>0.03703704</v>
      </c>
      <c r="O756" s="5" t="n">
        <v>69.56</v>
      </c>
      <c r="P756" s="11" t="n">
        <v>1.030534</v>
      </c>
      <c r="Q756" s="7" t="n">
        <v>135</v>
      </c>
      <c r="R756" s="7" t="n">
        <v>5</v>
      </c>
      <c r="S756" s="7" t="n">
        <v>0</v>
      </c>
      <c r="T756" s="7" t="n">
        <v>0</v>
      </c>
      <c r="U756" s="7" t="n">
        <v>126</v>
      </c>
      <c r="V756" s="7" t="n">
        <v>18</v>
      </c>
    </row>
    <row r="757" customFormat="false" ht="15" hidden="false" customHeight="false" outlineLevel="0" collapsed="false">
      <c r="A757" s="4" t="s">
        <v>2602</v>
      </c>
      <c r="B757" s="4" t="str">
        <f aca="false">IF(AND(I757&gt;='Read Me &amp; Markers'!$B$18,J757&gt;='Read Me &amp; Markers'!$B$19,L757&gt;='Read Me &amp; Markers'!$B$20),"A. Proven winner",IF(AND(I757&gt;='Read Me &amp; Markers'!$B$18,J757&gt;='Read Me &amp; Markers'!$B$19,L757&gt;='Read Me &amp; Markers'!$B$21),"B. Strong performer",IF(AND(I757&gt;='Read Me &amp; Markers'!$B$22,L757&gt;='Read Me &amp; Markers'!$B$23),"C. Scale workhorse",IF(AND(I757&gt;='Read Me &amp; Markers'!$B$24,I757&lt;'Read Me &amp; Markers'!$B$18,J757&gt;='Read Me &amp; Markers'!$B$25,L757&gt;='Read Me &amp; Markers'!$B$26),"D. Promising (needs more spend)",""))))</f>
        <v/>
      </c>
      <c r="C757" s="4" t="s">
        <v>169</v>
      </c>
      <c r="D757" s="4" t="s">
        <v>206</v>
      </c>
      <c r="E757" s="4" t="s">
        <v>1438</v>
      </c>
      <c r="F757" s="4" t="s">
        <v>253</v>
      </c>
      <c r="G757" s="4" t="s">
        <v>208</v>
      </c>
      <c r="H757" s="4" t="s">
        <v>2603</v>
      </c>
      <c r="I757" s="5" t="n">
        <v>9.35</v>
      </c>
      <c r="J757" s="7" t="n">
        <v>0</v>
      </c>
      <c r="K757" s="5" t="n">
        <v>0</v>
      </c>
      <c r="L757" s="8" t="n">
        <v>0</v>
      </c>
      <c r="M757" s="9" t="n">
        <v>0</v>
      </c>
      <c r="N757" s="10" t="n">
        <v>0.12727273</v>
      </c>
      <c r="O757" s="5" t="n">
        <v>170</v>
      </c>
      <c r="P757" s="11" t="n">
        <v>1.018519</v>
      </c>
      <c r="Q757" s="7" t="n">
        <v>55</v>
      </c>
      <c r="R757" s="7" t="n">
        <v>7</v>
      </c>
      <c r="S757" s="7" t="n">
        <v>0</v>
      </c>
      <c r="T757" s="7" t="n">
        <v>0</v>
      </c>
      <c r="U757" s="7" t="n">
        <v>51</v>
      </c>
      <c r="V757" s="7" t="n">
        <v>19</v>
      </c>
    </row>
    <row r="758" customFormat="false" ht="15" hidden="false" customHeight="false" outlineLevel="0" collapsed="false">
      <c r="A758" s="4" t="s">
        <v>2604</v>
      </c>
      <c r="B758" s="4" t="str">
        <f aca="false">IF(AND(I758&gt;='Read Me &amp; Markers'!$B$18,J758&gt;='Read Me &amp; Markers'!$B$19,L758&gt;='Read Me &amp; Markers'!$B$20),"A. Proven winner",IF(AND(I758&gt;='Read Me &amp; Markers'!$B$18,J758&gt;='Read Me &amp; Markers'!$B$19,L758&gt;='Read Me &amp; Markers'!$B$21),"B. Strong performer",IF(AND(I758&gt;='Read Me &amp; Markers'!$B$22,L758&gt;='Read Me &amp; Markers'!$B$23),"C. Scale workhorse",IF(AND(I758&gt;='Read Me &amp; Markers'!$B$24,I758&lt;'Read Me &amp; Markers'!$B$18,J758&gt;='Read Me &amp; Markers'!$B$25,L758&gt;='Read Me &amp; Markers'!$B$26),"D. Promising (needs more spend)",""))))</f>
        <v/>
      </c>
      <c r="C758" s="4" t="s">
        <v>2605</v>
      </c>
      <c r="D758" s="4" t="s">
        <v>109</v>
      </c>
      <c r="E758" s="4" t="s">
        <v>738</v>
      </c>
      <c r="F758" s="4" t="s">
        <v>111</v>
      </c>
      <c r="G758" s="4" t="s">
        <v>739</v>
      </c>
      <c r="H758" s="4" t="s">
        <v>2606</v>
      </c>
      <c r="I758" s="5" t="n">
        <v>9.31</v>
      </c>
      <c r="J758" s="7" t="n">
        <v>1</v>
      </c>
      <c r="K758" s="5" t="n">
        <v>35.96</v>
      </c>
      <c r="L758" s="8" t="n">
        <v>3.862513</v>
      </c>
      <c r="M758" s="9" t="n">
        <v>9.31</v>
      </c>
      <c r="N758" s="10" t="n">
        <v>0.01818182</v>
      </c>
      <c r="O758" s="5" t="n">
        <v>169.27</v>
      </c>
      <c r="P758" s="11" t="n">
        <v>1.1</v>
      </c>
      <c r="Q758" s="7" t="n">
        <v>55</v>
      </c>
      <c r="R758" s="7" t="n">
        <v>1</v>
      </c>
      <c r="S758" s="7" t="n">
        <v>0</v>
      </c>
      <c r="T758" s="7" t="n">
        <v>0</v>
      </c>
      <c r="U758" s="7" t="n">
        <v>49</v>
      </c>
      <c r="V758" s="7" t="n">
        <v>17</v>
      </c>
    </row>
    <row r="759" customFormat="false" ht="15" hidden="false" customHeight="false" outlineLevel="0" collapsed="false">
      <c r="A759" s="4" t="s">
        <v>2607</v>
      </c>
      <c r="B759" s="4" t="str">
        <f aca="false">IF(AND(I759&gt;='Read Me &amp; Markers'!$B$18,J759&gt;='Read Me &amp; Markers'!$B$19,L759&gt;='Read Me &amp; Markers'!$B$20),"A. Proven winner",IF(AND(I759&gt;='Read Me &amp; Markers'!$B$18,J759&gt;='Read Me &amp; Markers'!$B$19,L759&gt;='Read Me &amp; Markers'!$B$21),"B. Strong performer",IF(AND(I759&gt;='Read Me &amp; Markers'!$B$22,L759&gt;='Read Me &amp; Markers'!$B$23),"C. Scale workhorse",IF(AND(I759&gt;='Read Me &amp; Markers'!$B$24,I759&lt;'Read Me &amp; Markers'!$B$18,J759&gt;='Read Me &amp; Markers'!$B$25,L759&gt;='Read Me &amp; Markers'!$B$26),"D. Promising (needs more spend)",""))))</f>
        <v/>
      </c>
      <c r="C759" s="4" t="s">
        <v>2608</v>
      </c>
      <c r="D759" s="4" t="s">
        <v>109</v>
      </c>
      <c r="E759" s="4" t="s">
        <v>316</v>
      </c>
      <c r="F759" s="4" t="s">
        <v>172</v>
      </c>
      <c r="G759" s="4" t="s">
        <v>317</v>
      </c>
      <c r="H759" s="4" t="s">
        <v>2609</v>
      </c>
      <c r="I759" s="5" t="n">
        <v>9.23</v>
      </c>
      <c r="J759" s="7" t="n">
        <v>0</v>
      </c>
      <c r="K759" s="5" t="n">
        <v>0</v>
      </c>
      <c r="L759" s="8" t="n">
        <v>0</v>
      </c>
      <c r="M759" s="9" t="n">
        <v>0</v>
      </c>
      <c r="N759" s="10" t="n">
        <v>0.04587156</v>
      </c>
      <c r="O759" s="5" t="n">
        <v>84.68</v>
      </c>
      <c r="P759" s="11" t="n">
        <v>1.329268</v>
      </c>
      <c r="Q759" s="7" t="n">
        <v>109</v>
      </c>
      <c r="R759" s="7" t="n">
        <v>5</v>
      </c>
      <c r="S759" s="7" t="n">
        <v>0</v>
      </c>
      <c r="T759" s="7" t="n">
        <v>1</v>
      </c>
      <c r="U759" s="7" t="n">
        <v>0</v>
      </c>
      <c r="V759" s="7" t="n">
        <v>0</v>
      </c>
    </row>
    <row r="760" customFormat="false" ht="15" hidden="false" customHeight="false" outlineLevel="0" collapsed="false">
      <c r="A760" s="4" t="s">
        <v>2610</v>
      </c>
      <c r="B760" s="4" t="str">
        <f aca="false">IF(AND(I760&gt;='Read Me &amp; Markers'!$B$18,J760&gt;='Read Me &amp; Markers'!$B$19,L760&gt;='Read Me &amp; Markers'!$B$20),"A. Proven winner",IF(AND(I760&gt;='Read Me &amp; Markers'!$B$18,J760&gt;='Read Me &amp; Markers'!$B$19,L760&gt;='Read Me &amp; Markers'!$B$21),"B. Strong performer",IF(AND(I760&gt;='Read Me &amp; Markers'!$B$22,L760&gt;='Read Me &amp; Markers'!$B$23),"C. Scale workhorse",IF(AND(I760&gt;='Read Me &amp; Markers'!$B$24,I760&lt;'Read Me &amp; Markers'!$B$18,J760&gt;='Read Me &amp; Markers'!$B$25,L760&gt;='Read Me &amp; Markers'!$B$26),"D. Promising (needs more spend)",""))))</f>
        <v/>
      </c>
      <c r="C760" s="4" t="s">
        <v>2611</v>
      </c>
      <c r="D760" s="4" t="s">
        <v>109</v>
      </c>
      <c r="E760" s="4" t="s">
        <v>979</v>
      </c>
      <c r="F760" s="4" t="s">
        <v>172</v>
      </c>
      <c r="G760" s="4" t="s">
        <v>659</v>
      </c>
      <c r="H760" s="4" t="s">
        <v>2612</v>
      </c>
      <c r="I760" s="5" t="n">
        <v>9.11</v>
      </c>
      <c r="J760" s="7" t="n">
        <v>0</v>
      </c>
      <c r="K760" s="5" t="n">
        <v>0</v>
      </c>
      <c r="L760" s="8" t="n">
        <v>0</v>
      </c>
      <c r="M760" s="9" t="n">
        <v>0</v>
      </c>
      <c r="N760" s="10" t="n">
        <v>0.01851852</v>
      </c>
      <c r="O760" s="5" t="n">
        <v>168.7</v>
      </c>
      <c r="P760" s="11" t="n">
        <v>1.125</v>
      </c>
      <c r="Q760" s="7" t="n">
        <v>54</v>
      </c>
      <c r="R760" s="7" t="n">
        <v>1</v>
      </c>
      <c r="S760" s="7" t="n">
        <v>0</v>
      </c>
      <c r="T760" s="7" t="n">
        <v>0</v>
      </c>
      <c r="U760" s="7" t="n">
        <v>49</v>
      </c>
      <c r="V760" s="7" t="n">
        <v>0</v>
      </c>
    </row>
    <row r="761" customFormat="false" ht="15" hidden="false" customHeight="false" outlineLevel="0" collapsed="false">
      <c r="A761" s="4" t="s">
        <v>2613</v>
      </c>
      <c r="B761" s="4" t="str">
        <f aca="false">IF(AND(I761&gt;='Read Me &amp; Markers'!$B$18,J761&gt;='Read Me &amp; Markers'!$B$19,L761&gt;='Read Me &amp; Markers'!$B$20),"A. Proven winner",IF(AND(I761&gt;='Read Me &amp; Markers'!$B$18,J761&gt;='Read Me &amp; Markers'!$B$19,L761&gt;='Read Me &amp; Markers'!$B$21),"B. Strong performer",IF(AND(I761&gt;='Read Me &amp; Markers'!$B$22,L761&gt;='Read Me &amp; Markers'!$B$23),"C. Scale workhorse",IF(AND(I761&gt;='Read Me &amp; Markers'!$B$24,I761&lt;'Read Me &amp; Markers'!$B$18,J761&gt;='Read Me &amp; Markers'!$B$25,L761&gt;='Read Me &amp; Markers'!$B$26),"D. Promising (needs more spend)",""))))</f>
        <v/>
      </c>
      <c r="C761" s="4" t="s">
        <v>1223</v>
      </c>
      <c r="D761" s="4" t="s">
        <v>109</v>
      </c>
      <c r="E761" s="4" t="s">
        <v>1902</v>
      </c>
      <c r="F761" s="4" t="s">
        <v>172</v>
      </c>
      <c r="G761" s="4" t="s">
        <v>588</v>
      </c>
      <c r="H761" s="4" t="s">
        <v>2614</v>
      </c>
      <c r="I761" s="5" t="n">
        <v>9.02</v>
      </c>
      <c r="J761" s="7" t="n">
        <v>0</v>
      </c>
      <c r="K761" s="5" t="n">
        <v>0</v>
      </c>
      <c r="L761" s="8" t="n">
        <v>0</v>
      </c>
      <c r="M761" s="9" t="n">
        <v>0</v>
      </c>
      <c r="N761" s="10" t="n">
        <v>0</v>
      </c>
      <c r="O761" s="5" t="n">
        <v>1288.57</v>
      </c>
      <c r="P761" s="11" t="n">
        <v>1</v>
      </c>
      <c r="Q761" s="7" t="n">
        <v>7</v>
      </c>
      <c r="R761" s="7" t="n">
        <v>0</v>
      </c>
      <c r="S761" s="7" t="n">
        <v>0</v>
      </c>
      <c r="T761" s="7" t="n">
        <v>0</v>
      </c>
      <c r="U761" s="7" t="n">
        <v>7</v>
      </c>
      <c r="V761" s="7" t="n">
        <v>1</v>
      </c>
    </row>
    <row r="762" customFormat="false" ht="15" hidden="false" customHeight="false" outlineLevel="0" collapsed="false">
      <c r="A762" s="4" t="s">
        <v>2615</v>
      </c>
      <c r="B762" s="4" t="str">
        <f aca="false">IF(AND(I762&gt;='Read Me &amp; Markers'!$B$18,J762&gt;='Read Me &amp; Markers'!$B$19,L762&gt;='Read Me &amp; Markers'!$B$20),"A. Proven winner",IF(AND(I762&gt;='Read Me &amp; Markers'!$B$18,J762&gt;='Read Me &amp; Markers'!$B$19,L762&gt;='Read Me &amp; Markers'!$B$21),"B. Strong performer",IF(AND(I762&gt;='Read Me &amp; Markers'!$B$22,L762&gt;='Read Me &amp; Markers'!$B$23),"C. Scale workhorse",IF(AND(I762&gt;='Read Me &amp; Markers'!$B$24,I762&lt;'Read Me &amp; Markers'!$B$18,J762&gt;='Read Me &amp; Markers'!$B$25,L762&gt;='Read Me &amp; Markers'!$B$26),"D. Promising (needs more spend)",""))))</f>
        <v/>
      </c>
      <c r="C762" s="4" t="s">
        <v>2616</v>
      </c>
      <c r="D762" s="4" t="s">
        <v>109</v>
      </c>
      <c r="E762" s="4" t="s">
        <v>424</v>
      </c>
      <c r="F762" s="4" t="s">
        <v>111</v>
      </c>
      <c r="G762" s="4" t="s">
        <v>425</v>
      </c>
      <c r="H762" s="4" t="s">
        <v>2617</v>
      </c>
      <c r="I762" s="5" t="n">
        <v>8.87</v>
      </c>
      <c r="J762" s="7" t="n">
        <v>0</v>
      </c>
      <c r="K762" s="5" t="n">
        <v>0</v>
      </c>
      <c r="L762" s="8" t="n">
        <v>0</v>
      </c>
      <c r="M762" s="9" t="n">
        <v>0</v>
      </c>
      <c r="N762" s="10" t="n">
        <v>0</v>
      </c>
      <c r="O762" s="5" t="n">
        <v>211.19</v>
      </c>
      <c r="P762" s="11" t="n">
        <v>1.135135</v>
      </c>
      <c r="Q762" s="7" t="n">
        <v>42</v>
      </c>
      <c r="R762" s="7" t="n">
        <v>0</v>
      </c>
      <c r="S762" s="7" t="n">
        <v>0</v>
      </c>
      <c r="T762" s="7" t="n">
        <v>0</v>
      </c>
      <c r="U762" s="7" t="n">
        <v>36</v>
      </c>
      <c r="V762" s="7" t="n">
        <v>8</v>
      </c>
    </row>
    <row r="763" customFormat="false" ht="15" hidden="false" customHeight="false" outlineLevel="0" collapsed="false">
      <c r="A763" s="4" t="s">
        <v>2618</v>
      </c>
      <c r="B763" s="4" t="str">
        <f aca="false">IF(AND(I763&gt;='Read Me &amp; Markers'!$B$18,J763&gt;='Read Me &amp; Markers'!$B$19,L763&gt;='Read Me &amp; Markers'!$B$20),"A. Proven winner",IF(AND(I763&gt;='Read Me &amp; Markers'!$B$18,J763&gt;='Read Me &amp; Markers'!$B$19,L763&gt;='Read Me &amp; Markers'!$B$21),"B. Strong performer",IF(AND(I763&gt;='Read Me &amp; Markers'!$B$22,L763&gt;='Read Me &amp; Markers'!$B$23),"C. Scale workhorse",IF(AND(I763&gt;='Read Me &amp; Markers'!$B$24,I763&lt;'Read Me &amp; Markers'!$B$18,J763&gt;='Read Me &amp; Markers'!$B$25,L763&gt;='Read Me &amp; Markers'!$B$26),"D. Promising (needs more spend)",""))))</f>
        <v/>
      </c>
      <c r="C763" s="4" t="s">
        <v>2619</v>
      </c>
      <c r="D763" s="4" t="s">
        <v>109</v>
      </c>
      <c r="E763" s="4" t="s">
        <v>2620</v>
      </c>
      <c r="F763" s="4" t="s">
        <v>111</v>
      </c>
      <c r="G763" s="4" t="s">
        <v>739</v>
      </c>
      <c r="H763" s="4" t="s">
        <v>2621</v>
      </c>
      <c r="I763" s="5" t="n">
        <v>8.86</v>
      </c>
      <c r="J763" s="7" t="n">
        <v>0</v>
      </c>
      <c r="K763" s="5" t="n">
        <v>0</v>
      </c>
      <c r="L763" s="8" t="n">
        <v>0</v>
      </c>
      <c r="M763" s="9" t="n">
        <v>0</v>
      </c>
      <c r="N763" s="10" t="n">
        <v>0</v>
      </c>
      <c r="O763" s="5" t="n">
        <v>39.38</v>
      </c>
      <c r="P763" s="11" t="n">
        <v>2.045455</v>
      </c>
      <c r="Q763" s="7" t="n">
        <v>225</v>
      </c>
      <c r="R763" s="7" t="n">
        <v>0</v>
      </c>
      <c r="S763" s="7" t="n">
        <v>0</v>
      </c>
      <c r="T763" s="7" t="n">
        <v>0</v>
      </c>
      <c r="U763" s="7" t="n">
        <v>1</v>
      </c>
      <c r="V763" s="7" t="n">
        <v>0</v>
      </c>
    </row>
    <row r="764" customFormat="false" ht="15" hidden="false" customHeight="false" outlineLevel="0" collapsed="false">
      <c r="A764" s="4" t="s">
        <v>2622</v>
      </c>
      <c r="B764" s="4" t="str">
        <f aca="false">IF(AND(I764&gt;='Read Me &amp; Markers'!$B$18,J764&gt;='Read Me &amp; Markers'!$B$19,L764&gt;='Read Me &amp; Markers'!$B$20),"A. Proven winner",IF(AND(I764&gt;='Read Me &amp; Markers'!$B$18,J764&gt;='Read Me &amp; Markers'!$B$19,L764&gt;='Read Me &amp; Markers'!$B$21),"B. Strong performer",IF(AND(I764&gt;='Read Me &amp; Markers'!$B$22,L764&gt;='Read Me &amp; Markers'!$B$23),"C. Scale workhorse",IF(AND(I764&gt;='Read Me &amp; Markers'!$B$24,I764&lt;'Read Me &amp; Markers'!$B$18,J764&gt;='Read Me &amp; Markers'!$B$25,L764&gt;='Read Me &amp; Markers'!$B$26),"D. Promising (needs more spend)",""))))</f>
        <v/>
      </c>
      <c r="C764" s="4" t="s">
        <v>1599</v>
      </c>
      <c r="D764" s="4" t="s">
        <v>109</v>
      </c>
      <c r="E764" s="4" t="s">
        <v>110</v>
      </c>
      <c r="F764" s="4" t="s">
        <v>111</v>
      </c>
      <c r="G764" s="4" t="s">
        <v>112</v>
      </c>
      <c r="H764" s="4" t="s">
        <v>2623</v>
      </c>
      <c r="I764" s="5" t="n">
        <v>8.8</v>
      </c>
      <c r="J764" s="7" t="n">
        <v>0</v>
      </c>
      <c r="K764" s="5" t="n">
        <v>0</v>
      </c>
      <c r="L764" s="8" t="n">
        <v>0</v>
      </c>
      <c r="M764" s="9" t="n">
        <v>0</v>
      </c>
      <c r="N764" s="10" t="n">
        <v>0</v>
      </c>
      <c r="O764" s="5" t="n">
        <v>86.27</v>
      </c>
      <c r="P764" s="11" t="n">
        <v>1.259259</v>
      </c>
      <c r="Q764" s="7" t="n">
        <v>102</v>
      </c>
      <c r="R764" s="7" t="n">
        <v>0</v>
      </c>
      <c r="S764" s="7" t="n">
        <v>0</v>
      </c>
      <c r="T764" s="7" t="n">
        <v>0</v>
      </c>
      <c r="U764" s="7" t="n">
        <v>0</v>
      </c>
      <c r="V764" s="7" t="n">
        <v>0</v>
      </c>
    </row>
    <row r="765" customFormat="false" ht="15" hidden="false" customHeight="false" outlineLevel="0" collapsed="false">
      <c r="A765" s="4" t="s">
        <v>2624</v>
      </c>
      <c r="B765" s="4" t="str">
        <f aca="false">IF(AND(I765&gt;='Read Me &amp; Markers'!$B$18,J765&gt;='Read Me &amp; Markers'!$B$19,L765&gt;='Read Me &amp; Markers'!$B$20),"A. Proven winner",IF(AND(I765&gt;='Read Me &amp; Markers'!$B$18,J765&gt;='Read Me &amp; Markers'!$B$19,L765&gt;='Read Me &amp; Markers'!$B$21),"B. Strong performer",IF(AND(I765&gt;='Read Me &amp; Markers'!$B$22,L765&gt;='Read Me &amp; Markers'!$B$23),"C. Scale workhorse",IF(AND(I765&gt;='Read Me &amp; Markers'!$B$24,I765&lt;'Read Me &amp; Markers'!$B$18,J765&gt;='Read Me &amp; Markers'!$B$25,L765&gt;='Read Me &amp; Markers'!$B$26),"D. Promising (needs more spend)",""))))</f>
        <v/>
      </c>
      <c r="C765" s="4" t="s">
        <v>129</v>
      </c>
      <c r="D765" s="4" t="s">
        <v>154</v>
      </c>
      <c r="E765" s="4" t="s">
        <v>2540</v>
      </c>
      <c r="F765" s="4" t="s">
        <v>253</v>
      </c>
      <c r="G765" s="4" t="s">
        <v>142</v>
      </c>
      <c r="H765" s="4" t="s">
        <v>2625</v>
      </c>
      <c r="I765" s="5" t="n">
        <v>8.8</v>
      </c>
      <c r="J765" s="7" t="n">
        <v>0</v>
      </c>
      <c r="K765" s="5" t="n">
        <v>0</v>
      </c>
      <c r="L765" s="8" t="n">
        <v>0</v>
      </c>
      <c r="M765" s="9" t="n">
        <v>0</v>
      </c>
      <c r="N765" s="10" t="n">
        <v>0.00537634</v>
      </c>
      <c r="O765" s="5" t="n">
        <v>47.31</v>
      </c>
      <c r="P765" s="11" t="n">
        <v>1.184713</v>
      </c>
      <c r="Q765" s="7" t="n">
        <v>186</v>
      </c>
      <c r="R765" s="7" t="n">
        <v>1</v>
      </c>
      <c r="S765" s="7" t="n">
        <v>0</v>
      </c>
      <c r="T765" s="7" t="n">
        <v>0</v>
      </c>
      <c r="U765" s="7" t="n">
        <v>135</v>
      </c>
      <c r="V765" s="7" t="n">
        <v>19</v>
      </c>
    </row>
    <row r="766" customFormat="false" ht="15" hidden="false" customHeight="false" outlineLevel="0" collapsed="false">
      <c r="A766" s="4" t="s">
        <v>2626</v>
      </c>
      <c r="B766" s="4" t="str">
        <f aca="false">IF(AND(I766&gt;='Read Me &amp; Markers'!$B$18,J766&gt;='Read Me &amp; Markers'!$B$19,L766&gt;='Read Me &amp; Markers'!$B$20),"A. Proven winner",IF(AND(I766&gt;='Read Me &amp; Markers'!$B$18,J766&gt;='Read Me &amp; Markers'!$B$19,L766&gt;='Read Me &amp; Markers'!$B$21),"B. Strong performer",IF(AND(I766&gt;='Read Me &amp; Markers'!$B$22,L766&gt;='Read Me &amp; Markers'!$B$23),"C. Scale workhorse",IF(AND(I766&gt;='Read Me &amp; Markers'!$B$24,I766&lt;'Read Me &amp; Markers'!$B$18,J766&gt;='Read Me &amp; Markers'!$B$25,L766&gt;='Read Me &amp; Markers'!$B$26),"D. Promising (needs more spend)",""))))</f>
        <v/>
      </c>
      <c r="C766" s="4" t="s">
        <v>129</v>
      </c>
      <c r="D766" s="4" t="s">
        <v>206</v>
      </c>
      <c r="E766" s="4" t="s">
        <v>1969</v>
      </c>
      <c r="F766" s="4" t="s">
        <v>87</v>
      </c>
      <c r="G766" s="4" t="s">
        <v>743</v>
      </c>
      <c r="H766" s="4" t="s">
        <v>2627</v>
      </c>
      <c r="I766" s="5" t="n">
        <v>8.78</v>
      </c>
      <c r="J766" s="7" t="n">
        <v>0</v>
      </c>
      <c r="K766" s="5" t="n">
        <v>0</v>
      </c>
      <c r="L766" s="8" t="n">
        <v>0</v>
      </c>
      <c r="M766" s="9" t="n">
        <v>0</v>
      </c>
      <c r="N766" s="10" t="n">
        <v>0.01960784</v>
      </c>
      <c r="O766" s="5" t="n">
        <v>172.16</v>
      </c>
      <c r="P766" s="11" t="n">
        <v>1.040816</v>
      </c>
      <c r="Q766" s="7" t="n">
        <v>51</v>
      </c>
      <c r="R766" s="7" t="n">
        <v>1</v>
      </c>
      <c r="S766" s="7" t="n">
        <v>0</v>
      </c>
      <c r="T766" s="7" t="n">
        <v>0</v>
      </c>
      <c r="U766" s="7" t="n">
        <v>44</v>
      </c>
      <c r="V766" s="7" t="n">
        <v>10</v>
      </c>
    </row>
    <row r="767" customFormat="false" ht="15" hidden="false" customHeight="false" outlineLevel="0" collapsed="false">
      <c r="A767" s="4" t="s">
        <v>2628</v>
      </c>
      <c r="B767" s="4" t="str">
        <f aca="false">IF(AND(I767&gt;='Read Me &amp; Markers'!$B$18,J767&gt;='Read Me &amp; Markers'!$B$19,L767&gt;='Read Me &amp; Markers'!$B$20),"A. Proven winner",IF(AND(I767&gt;='Read Me &amp; Markers'!$B$18,J767&gt;='Read Me &amp; Markers'!$B$19,L767&gt;='Read Me &amp; Markers'!$B$21),"B. Strong performer",IF(AND(I767&gt;='Read Me &amp; Markers'!$B$22,L767&gt;='Read Me &amp; Markers'!$B$23),"C. Scale workhorse",IF(AND(I767&gt;='Read Me &amp; Markers'!$B$24,I767&lt;'Read Me &amp; Markers'!$B$18,J767&gt;='Read Me &amp; Markers'!$B$25,L767&gt;='Read Me &amp; Markers'!$B$26),"D. Promising (needs more spend)",""))))</f>
        <v/>
      </c>
      <c r="C767" s="4" t="s">
        <v>452</v>
      </c>
      <c r="D767" s="4" t="s">
        <v>109</v>
      </c>
      <c r="E767" s="4" t="s">
        <v>979</v>
      </c>
      <c r="F767" s="4" t="s">
        <v>172</v>
      </c>
      <c r="G767" s="4" t="s">
        <v>659</v>
      </c>
      <c r="H767" s="4" t="s">
        <v>2629</v>
      </c>
      <c r="I767" s="5" t="n">
        <v>8.74</v>
      </c>
      <c r="J767" s="7" t="n">
        <v>0</v>
      </c>
      <c r="K767" s="5" t="n">
        <v>0</v>
      </c>
      <c r="L767" s="8" t="n">
        <v>0</v>
      </c>
      <c r="M767" s="9" t="n">
        <v>0</v>
      </c>
      <c r="N767" s="10" t="n">
        <v>0.05</v>
      </c>
      <c r="O767" s="5" t="n">
        <v>437</v>
      </c>
      <c r="P767" s="11" t="n">
        <v>1.052632</v>
      </c>
      <c r="Q767" s="7" t="n">
        <v>20</v>
      </c>
      <c r="R767" s="7" t="n">
        <v>1</v>
      </c>
      <c r="S767" s="7" t="n">
        <v>0</v>
      </c>
      <c r="T767" s="7" t="n">
        <v>0</v>
      </c>
      <c r="U767" s="7" t="n">
        <v>17</v>
      </c>
      <c r="V767" s="7" t="n">
        <v>5</v>
      </c>
    </row>
    <row r="768" customFormat="false" ht="15" hidden="false" customHeight="false" outlineLevel="0" collapsed="false">
      <c r="A768" s="4" t="s">
        <v>2630</v>
      </c>
      <c r="B768" s="4" t="str">
        <f aca="false">IF(AND(I768&gt;='Read Me &amp; Markers'!$B$18,J768&gt;='Read Me &amp; Markers'!$B$19,L768&gt;='Read Me &amp; Markers'!$B$20),"A. Proven winner",IF(AND(I768&gt;='Read Me &amp; Markers'!$B$18,J768&gt;='Read Me &amp; Markers'!$B$19,L768&gt;='Read Me &amp; Markers'!$B$21),"B. Strong performer",IF(AND(I768&gt;='Read Me &amp; Markers'!$B$22,L768&gt;='Read Me &amp; Markers'!$B$23),"C. Scale workhorse",IF(AND(I768&gt;='Read Me &amp; Markers'!$B$24,I768&lt;'Read Me &amp; Markers'!$B$18,J768&gt;='Read Me &amp; Markers'!$B$25,L768&gt;='Read Me &amp; Markers'!$B$26),"D. Promising (needs more spend)",""))))</f>
        <v/>
      </c>
      <c r="C768" s="4" t="s">
        <v>2631</v>
      </c>
      <c r="D768" s="4" t="s">
        <v>100</v>
      </c>
      <c r="E768" s="4" t="s">
        <v>1634</v>
      </c>
      <c r="F768" s="4" t="s">
        <v>87</v>
      </c>
      <c r="G768" s="4" t="s">
        <v>310</v>
      </c>
      <c r="H768" s="4" t="s">
        <v>2632</v>
      </c>
      <c r="I768" s="5" t="n">
        <v>8.62</v>
      </c>
      <c r="J768" s="7" t="n">
        <v>0</v>
      </c>
      <c r="K768" s="5" t="n">
        <v>0</v>
      </c>
      <c r="L768" s="8" t="n">
        <v>0</v>
      </c>
      <c r="M768" s="9" t="n">
        <v>0</v>
      </c>
      <c r="N768" s="10" t="n">
        <v>0.01449275</v>
      </c>
      <c r="O768" s="5" t="n">
        <v>62.46</v>
      </c>
      <c r="P768" s="11" t="n">
        <v>1.210526</v>
      </c>
      <c r="Q768" s="7" t="n">
        <v>138</v>
      </c>
      <c r="R768" s="7" t="n">
        <v>2</v>
      </c>
      <c r="S768" s="7" t="n">
        <v>0</v>
      </c>
      <c r="T768" s="7" t="n">
        <v>0</v>
      </c>
      <c r="U768" s="7" t="n">
        <v>95</v>
      </c>
      <c r="V768" s="7" t="n">
        <v>6</v>
      </c>
    </row>
    <row r="769" customFormat="false" ht="15" hidden="false" customHeight="false" outlineLevel="0" collapsed="false">
      <c r="A769" s="4" t="s">
        <v>2633</v>
      </c>
      <c r="B769" s="4" t="str">
        <f aca="false">IF(AND(I769&gt;='Read Me &amp; Markers'!$B$18,J769&gt;='Read Me &amp; Markers'!$B$19,L769&gt;='Read Me &amp; Markers'!$B$20),"A. Proven winner",IF(AND(I769&gt;='Read Me &amp; Markers'!$B$18,J769&gt;='Read Me &amp; Markers'!$B$19,L769&gt;='Read Me &amp; Markers'!$B$21),"B. Strong performer",IF(AND(I769&gt;='Read Me &amp; Markers'!$B$22,L769&gt;='Read Me &amp; Markers'!$B$23),"C. Scale workhorse",IF(AND(I769&gt;='Read Me &amp; Markers'!$B$24,I769&lt;'Read Me &amp; Markers'!$B$18,J769&gt;='Read Me &amp; Markers'!$B$25,L769&gt;='Read Me &amp; Markers'!$B$26),"D. Promising (needs more spend)",""))))</f>
        <v/>
      </c>
      <c r="C769" s="4" t="s">
        <v>169</v>
      </c>
      <c r="D769" s="4" t="s">
        <v>100</v>
      </c>
      <c r="E769" s="4" t="s">
        <v>1377</v>
      </c>
      <c r="F769" s="4" t="s">
        <v>87</v>
      </c>
      <c r="G769" s="4" t="s">
        <v>142</v>
      </c>
      <c r="H769" s="4" t="s">
        <v>2634</v>
      </c>
      <c r="I769" s="5" t="n">
        <v>8.6</v>
      </c>
      <c r="J769" s="7" t="n">
        <v>0</v>
      </c>
      <c r="K769" s="5" t="n">
        <v>0</v>
      </c>
      <c r="L769" s="8" t="n">
        <v>0</v>
      </c>
      <c r="M769" s="9" t="n">
        <v>0</v>
      </c>
      <c r="N769" s="10" t="n">
        <v>0.04424779</v>
      </c>
      <c r="O769" s="5" t="n">
        <v>76.11</v>
      </c>
      <c r="P769" s="11" t="n">
        <v>1.097087</v>
      </c>
      <c r="Q769" s="7" t="n">
        <v>113</v>
      </c>
      <c r="R769" s="7" t="n">
        <v>5</v>
      </c>
      <c r="S769" s="7" t="n">
        <v>0</v>
      </c>
      <c r="T769" s="7" t="n">
        <v>0</v>
      </c>
      <c r="U769" s="7" t="n">
        <v>98</v>
      </c>
      <c r="V769" s="7" t="n">
        <v>17</v>
      </c>
    </row>
    <row r="770" customFormat="false" ht="15" hidden="false" customHeight="false" outlineLevel="0" collapsed="false">
      <c r="A770" s="4" t="s">
        <v>2635</v>
      </c>
      <c r="B770" s="4" t="str">
        <f aca="false">IF(AND(I770&gt;='Read Me &amp; Markers'!$B$18,J770&gt;='Read Me &amp; Markers'!$B$19,L770&gt;='Read Me &amp; Markers'!$B$20),"A. Proven winner",IF(AND(I770&gt;='Read Me &amp; Markers'!$B$18,J770&gt;='Read Me &amp; Markers'!$B$19,L770&gt;='Read Me &amp; Markers'!$B$21),"B. Strong performer",IF(AND(I770&gt;='Read Me &amp; Markers'!$B$22,L770&gt;='Read Me &amp; Markers'!$B$23),"C. Scale workhorse",IF(AND(I770&gt;='Read Me &amp; Markers'!$B$24,I770&lt;'Read Me &amp; Markers'!$B$18,J770&gt;='Read Me &amp; Markers'!$B$25,L770&gt;='Read Me &amp; Markers'!$B$26),"D. Promising (needs more spend)",""))))</f>
        <v/>
      </c>
      <c r="C770" s="4" t="s">
        <v>1596</v>
      </c>
      <c r="D770" s="4" t="s">
        <v>109</v>
      </c>
      <c r="E770" s="4" t="s">
        <v>110</v>
      </c>
      <c r="F770" s="4" t="s">
        <v>111</v>
      </c>
      <c r="G770" s="4" t="s">
        <v>112</v>
      </c>
      <c r="H770" s="4" t="s">
        <v>2636</v>
      </c>
      <c r="I770" s="5" t="n">
        <v>8.46</v>
      </c>
      <c r="J770" s="7" t="n">
        <v>0</v>
      </c>
      <c r="K770" s="5" t="n">
        <v>0</v>
      </c>
      <c r="L770" s="8" t="n">
        <v>0</v>
      </c>
      <c r="M770" s="9" t="n">
        <v>0</v>
      </c>
      <c r="N770" s="10" t="n">
        <v>0</v>
      </c>
      <c r="O770" s="5" t="n">
        <v>72.31</v>
      </c>
      <c r="P770" s="11" t="n">
        <v>1.114286</v>
      </c>
      <c r="Q770" s="7" t="n">
        <v>117</v>
      </c>
      <c r="R770" s="7" t="n">
        <v>0</v>
      </c>
      <c r="S770" s="7" t="n">
        <v>0</v>
      </c>
      <c r="T770" s="7" t="n">
        <v>0</v>
      </c>
      <c r="U770" s="7" t="n">
        <v>0</v>
      </c>
      <c r="V770" s="7" t="n">
        <v>0</v>
      </c>
    </row>
    <row r="771" customFormat="false" ht="15" hidden="false" customHeight="false" outlineLevel="0" collapsed="false">
      <c r="A771" s="4" t="s">
        <v>2637</v>
      </c>
      <c r="B771" s="4" t="str">
        <f aca="false">IF(AND(I771&gt;='Read Me &amp; Markers'!$B$18,J771&gt;='Read Me &amp; Markers'!$B$19,L771&gt;='Read Me &amp; Markers'!$B$20),"A. Proven winner",IF(AND(I771&gt;='Read Me &amp; Markers'!$B$18,J771&gt;='Read Me &amp; Markers'!$B$19,L771&gt;='Read Me &amp; Markers'!$B$21),"B. Strong performer",IF(AND(I771&gt;='Read Me &amp; Markers'!$B$22,L771&gt;='Read Me &amp; Markers'!$B$23),"C. Scale workhorse",IF(AND(I771&gt;='Read Me &amp; Markers'!$B$24,I771&lt;'Read Me &amp; Markers'!$B$18,J771&gt;='Read Me &amp; Markers'!$B$25,L771&gt;='Read Me &amp; Markers'!$B$26),"D. Promising (needs more spend)",""))))</f>
        <v/>
      </c>
      <c r="C771" s="4" t="s">
        <v>121</v>
      </c>
      <c r="D771" s="4" t="s">
        <v>154</v>
      </c>
      <c r="E771" s="4" t="s">
        <v>2638</v>
      </c>
      <c r="F771" s="4" t="s">
        <v>253</v>
      </c>
      <c r="G771" s="4" t="s">
        <v>1085</v>
      </c>
      <c r="H771" s="4" t="s">
        <v>2639</v>
      </c>
      <c r="I771" s="5" t="n">
        <v>8.41</v>
      </c>
      <c r="J771" s="7" t="n">
        <v>0</v>
      </c>
      <c r="K771" s="5" t="n">
        <v>0</v>
      </c>
      <c r="L771" s="8" t="n">
        <v>0</v>
      </c>
      <c r="M771" s="9" t="n">
        <v>0</v>
      </c>
      <c r="N771" s="10" t="n">
        <v>0.06315789</v>
      </c>
      <c r="O771" s="5" t="n">
        <v>88.53</v>
      </c>
      <c r="P771" s="11" t="n">
        <v>1.032609</v>
      </c>
      <c r="Q771" s="7" t="n">
        <v>95</v>
      </c>
      <c r="R771" s="7" t="n">
        <v>6</v>
      </c>
      <c r="S771" s="7" t="n">
        <v>2</v>
      </c>
      <c r="T771" s="7" t="n">
        <v>0</v>
      </c>
      <c r="U771" s="7" t="n">
        <v>82</v>
      </c>
      <c r="V771" s="7" t="n">
        <v>6</v>
      </c>
    </row>
    <row r="772" customFormat="false" ht="15" hidden="false" customHeight="false" outlineLevel="0" collapsed="false">
      <c r="A772" s="4" t="s">
        <v>2640</v>
      </c>
      <c r="B772" s="4" t="str">
        <f aca="false">IF(AND(I772&gt;='Read Me &amp; Markers'!$B$18,J772&gt;='Read Me &amp; Markers'!$B$19,L772&gt;='Read Me &amp; Markers'!$B$20),"A. Proven winner",IF(AND(I772&gt;='Read Me &amp; Markers'!$B$18,J772&gt;='Read Me &amp; Markers'!$B$19,L772&gt;='Read Me &amp; Markers'!$B$21),"B. Strong performer",IF(AND(I772&gt;='Read Me &amp; Markers'!$B$22,L772&gt;='Read Me &amp; Markers'!$B$23),"C. Scale workhorse",IF(AND(I772&gt;='Read Me &amp; Markers'!$B$24,I772&lt;'Read Me &amp; Markers'!$B$18,J772&gt;='Read Me &amp; Markers'!$B$25,L772&gt;='Read Me &amp; Markers'!$B$26),"D. Promising (needs more spend)",""))))</f>
        <v/>
      </c>
      <c r="C772" s="4" t="s">
        <v>121</v>
      </c>
      <c r="D772" s="4" t="s">
        <v>100</v>
      </c>
      <c r="E772" s="4" t="s">
        <v>1064</v>
      </c>
      <c r="F772" s="4" t="s">
        <v>87</v>
      </c>
      <c r="G772" s="4" t="s">
        <v>279</v>
      </c>
      <c r="H772" s="4" t="s">
        <v>2641</v>
      </c>
      <c r="I772" s="5" t="n">
        <v>8.39</v>
      </c>
      <c r="J772" s="7" t="n">
        <v>0</v>
      </c>
      <c r="K772" s="5" t="n">
        <v>0</v>
      </c>
      <c r="L772" s="8" t="n">
        <v>0</v>
      </c>
      <c r="M772" s="9" t="n">
        <v>0</v>
      </c>
      <c r="N772" s="10" t="n">
        <v>0.03921569</v>
      </c>
      <c r="O772" s="5" t="n">
        <v>82.25</v>
      </c>
      <c r="P772" s="11" t="n">
        <v>1.0625</v>
      </c>
      <c r="Q772" s="7" t="n">
        <v>102</v>
      </c>
      <c r="R772" s="7" t="n">
        <v>4</v>
      </c>
      <c r="S772" s="7" t="n">
        <v>0</v>
      </c>
      <c r="T772" s="7" t="n">
        <v>0</v>
      </c>
      <c r="U772" s="7" t="n">
        <v>87</v>
      </c>
      <c r="V772" s="7" t="n">
        <v>6</v>
      </c>
    </row>
    <row r="773" customFormat="false" ht="15" hidden="false" customHeight="false" outlineLevel="0" collapsed="false">
      <c r="A773" s="4" t="s">
        <v>2642</v>
      </c>
      <c r="B773" s="4" t="str">
        <f aca="false">IF(AND(I773&gt;='Read Me &amp; Markers'!$B$18,J773&gt;='Read Me &amp; Markers'!$B$19,L773&gt;='Read Me &amp; Markers'!$B$20),"A. Proven winner",IF(AND(I773&gt;='Read Me &amp; Markers'!$B$18,J773&gt;='Read Me &amp; Markers'!$B$19,L773&gt;='Read Me &amp; Markers'!$B$21),"B. Strong performer",IF(AND(I773&gt;='Read Me &amp; Markers'!$B$22,L773&gt;='Read Me &amp; Markers'!$B$23),"C. Scale workhorse",IF(AND(I773&gt;='Read Me &amp; Markers'!$B$24,I773&lt;'Read Me &amp; Markers'!$B$18,J773&gt;='Read Me &amp; Markers'!$B$25,L773&gt;='Read Me &amp; Markers'!$B$26),"D. Promising (needs more spend)",""))))</f>
        <v/>
      </c>
      <c r="C773" s="4" t="s">
        <v>2643</v>
      </c>
      <c r="D773" s="4" t="s">
        <v>109</v>
      </c>
      <c r="E773" s="4" t="s">
        <v>474</v>
      </c>
      <c r="F773" s="4" t="s">
        <v>111</v>
      </c>
      <c r="G773" s="4" t="s">
        <v>475</v>
      </c>
      <c r="H773" s="4" t="s">
        <v>2644</v>
      </c>
      <c r="I773" s="5" t="n">
        <v>8.33</v>
      </c>
      <c r="J773" s="7" t="n">
        <v>0</v>
      </c>
      <c r="K773" s="5" t="n">
        <v>0</v>
      </c>
      <c r="L773" s="8" t="n">
        <v>0</v>
      </c>
      <c r="M773" s="9" t="n">
        <v>0</v>
      </c>
      <c r="N773" s="10" t="n">
        <v>0.00653595</v>
      </c>
      <c r="O773" s="5" t="n">
        <v>54.44</v>
      </c>
      <c r="P773" s="11" t="n">
        <v>1.150376</v>
      </c>
      <c r="Q773" s="7" t="n">
        <v>153</v>
      </c>
      <c r="R773" s="7" t="n">
        <v>1</v>
      </c>
      <c r="S773" s="7" t="n">
        <v>0</v>
      </c>
      <c r="T773" s="7" t="n">
        <v>0</v>
      </c>
      <c r="U773" s="7" t="n">
        <v>0</v>
      </c>
      <c r="V773" s="7" t="n">
        <v>0</v>
      </c>
    </row>
    <row r="774" customFormat="false" ht="15" hidden="false" customHeight="false" outlineLevel="0" collapsed="false">
      <c r="A774" s="4" t="s">
        <v>2645</v>
      </c>
      <c r="B774" s="4" t="str">
        <f aca="false">IF(AND(I774&gt;='Read Me &amp; Markers'!$B$18,J774&gt;='Read Me &amp; Markers'!$B$19,L774&gt;='Read Me &amp; Markers'!$B$20),"A. Proven winner",IF(AND(I774&gt;='Read Me &amp; Markers'!$B$18,J774&gt;='Read Me &amp; Markers'!$B$19,L774&gt;='Read Me &amp; Markers'!$B$21),"B. Strong performer",IF(AND(I774&gt;='Read Me &amp; Markers'!$B$22,L774&gt;='Read Me &amp; Markers'!$B$23),"C. Scale workhorse",IF(AND(I774&gt;='Read Me &amp; Markers'!$B$24,I774&lt;'Read Me &amp; Markers'!$B$18,J774&gt;='Read Me &amp; Markers'!$B$25,L774&gt;='Read Me &amp; Markers'!$B$26),"D. Promising (needs more spend)",""))))</f>
        <v/>
      </c>
      <c r="C774" s="4" t="s">
        <v>2646</v>
      </c>
      <c r="D774" s="4" t="s">
        <v>100</v>
      </c>
      <c r="E774" s="4" t="s">
        <v>1793</v>
      </c>
      <c r="F774" s="4" t="s">
        <v>253</v>
      </c>
      <c r="G774" s="4" t="s">
        <v>984</v>
      </c>
      <c r="H774" s="4" t="s">
        <v>2647</v>
      </c>
      <c r="I774" s="5" t="n">
        <v>8.29</v>
      </c>
      <c r="J774" s="7" t="n">
        <v>0</v>
      </c>
      <c r="K774" s="5" t="n">
        <v>0</v>
      </c>
      <c r="L774" s="8" t="n">
        <v>0</v>
      </c>
      <c r="M774" s="9" t="n">
        <v>0</v>
      </c>
      <c r="N774" s="10" t="n">
        <v>0</v>
      </c>
      <c r="O774" s="5" t="n">
        <v>66.32</v>
      </c>
      <c r="P774" s="11" t="n">
        <v>1.096491</v>
      </c>
      <c r="Q774" s="7" t="n">
        <v>125</v>
      </c>
      <c r="R774" s="7" t="n">
        <v>0</v>
      </c>
      <c r="S774" s="7" t="n">
        <v>0</v>
      </c>
      <c r="T774" s="7" t="n">
        <v>0</v>
      </c>
      <c r="U774" s="7" t="n">
        <v>0</v>
      </c>
      <c r="V774" s="7" t="n">
        <v>0</v>
      </c>
    </row>
    <row r="775" customFormat="false" ht="15" hidden="false" customHeight="false" outlineLevel="0" collapsed="false">
      <c r="A775" s="4" t="s">
        <v>2648</v>
      </c>
      <c r="B775" s="4" t="str">
        <f aca="false">IF(AND(I775&gt;='Read Me &amp; Markers'!$B$18,J775&gt;='Read Me &amp; Markers'!$B$19,L775&gt;='Read Me &amp; Markers'!$B$20),"A. Proven winner",IF(AND(I775&gt;='Read Me &amp; Markers'!$B$18,J775&gt;='Read Me &amp; Markers'!$B$19,L775&gt;='Read Me &amp; Markers'!$B$21),"B. Strong performer",IF(AND(I775&gt;='Read Me &amp; Markers'!$B$22,L775&gt;='Read Me &amp; Markers'!$B$23),"C. Scale workhorse",IF(AND(I775&gt;='Read Me &amp; Markers'!$B$24,I775&lt;'Read Me &amp; Markers'!$B$18,J775&gt;='Read Me &amp; Markers'!$B$25,L775&gt;='Read Me &amp; Markers'!$B$26),"D. Promising (needs more spend)",""))))</f>
        <v/>
      </c>
      <c r="C775" s="4" t="s">
        <v>129</v>
      </c>
      <c r="D775" s="4" t="s">
        <v>206</v>
      </c>
      <c r="E775" s="4" t="s">
        <v>1468</v>
      </c>
      <c r="F775" s="4" t="s">
        <v>87</v>
      </c>
      <c r="G775" s="4" t="s">
        <v>743</v>
      </c>
      <c r="H775" s="4" t="s">
        <v>2649</v>
      </c>
      <c r="I775" s="5" t="n">
        <v>8.27</v>
      </c>
      <c r="J775" s="7" t="n">
        <v>0</v>
      </c>
      <c r="K775" s="5" t="n">
        <v>0</v>
      </c>
      <c r="L775" s="8" t="n">
        <v>0</v>
      </c>
      <c r="M775" s="9" t="n">
        <v>0</v>
      </c>
      <c r="N775" s="10" t="n">
        <v>0.03846154</v>
      </c>
      <c r="O775" s="5" t="n">
        <v>79.52</v>
      </c>
      <c r="P775" s="11" t="n">
        <v>1.130435</v>
      </c>
      <c r="Q775" s="7" t="n">
        <v>104</v>
      </c>
      <c r="R775" s="7" t="n">
        <v>4</v>
      </c>
      <c r="S775" s="7" t="n">
        <v>1</v>
      </c>
      <c r="T775" s="7" t="n">
        <v>0</v>
      </c>
      <c r="U775" s="7" t="n">
        <v>86</v>
      </c>
      <c r="V775" s="7" t="n">
        <v>7</v>
      </c>
    </row>
    <row r="776" customFormat="false" ht="15" hidden="false" customHeight="false" outlineLevel="0" collapsed="false">
      <c r="A776" s="4" t="s">
        <v>2650</v>
      </c>
      <c r="B776" s="4" t="str">
        <f aca="false">IF(AND(I776&gt;='Read Me &amp; Markers'!$B$18,J776&gt;='Read Me &amp; Markers'!$B$19,L776&gt;='Read Me &amp; Markers'!$B$20),"A. Proven winner",IF(AND(I776&gt;='Read Me &amp; Markers'!$B$18,J776&gt;='Read Me &amp; Markers'!$B$19,L776&gt;='Read Me &amp; Markers'!$B$21),"B. Strong performer",IF(AND(I776&gt;='Read Me &amp; Markers'!$B$22,L776&gt;='Read Me &amp; Markers'!$B$23),"C. Scale workhorse",IF(AND(I776&gt;='Read Me &amp; Markers'!$B$24,I776&lt;'Read Me &amp; Markers'!$B$18,J776&gt;='Read Me &amp; Markers'!$B$25,L776&gt;='Read Me &amp; Markers'!$B$26),"D. Promising (needs more spend)",""))))</f>
        <v/>
      </c>
      <c r="C776" s="4" t="s">
        <v>2651</v>
      </c>
      <c r="D776" s="4" t="s">
        <v>109</v>
      </c>
      <c r="E776" s="4" t="s">
        <v>1501</v>
      </c>
      <c r="F776" s="4" t="s">
        <v>111</v>
      </c>
      <c r="G776" s="4" t="s">
        <v>1502</v>
      </c>
      <c r="H776" s="4" t="s">
        <v>2652</v>
      </c>
      <c r="I776" s="5" t="n">
        <v>8.25</v>
      </c>
      <c r="J776" s="7" t="n">
        <v>0</v>
      </c>
      <c r="K776" s="5" t="n">
        <v>0</v>
      </c>
      <c r="L776" s="8" t="n">
        <v>0</v>
      </c>
      <c r="M776" s="9" t="n">
        <v>0</v>
      </c>
      <c r="N776" s="10" t="n">
        <v>0.06060606</v>
      </c>
      <c r="O776" s="5" t="n">
        <v>250</v>
      </c>
      <c r="P776" s="11" t="n">
        <v>1.064516</v>
      </c>
      <c r="Q776" s="7" t="n">
        <v>33</v>
      </c>
      <c r="R776" s="7" t="n">
        <v>2</v>
      </c>
      <c r="S776" s="7" t="n">
        <v>0</v>
      </c>
      <c r="T776" s="7" t="n">
        <v>0</v>
      </c>
      <c r="U776" s="7" t="n">
        <v>30</v>
      </c>
      <c r="V776" s="7" t="n">
        <v>9</v>
      </c>
    </row>
    <row r="777" customFormat="false" ht="15" hidden="false" customHeight="false" outlineLevel="0" collapsed="false">
      <c r="A777" s="4" t="s">
        <v>2653</v>
      </c>
      <c r="B777" s="4" t="str">
        <f aca="false">IF(AND(I777&gt;='Read Me &amp; Markers'!$B$18,J777&gt;='Read Me &amp; Markers'!$B$19,L777&gt;='Read Me &amp; Markers'!$B$20),"A. Proven winner",IF(AND(I777&gt;='Read Me &amp; Markers'!$B$18,J777&gt;='Read Me &amp; Markers'!$B$19,L777&gt;='Read Me &amp; Markers'!$B$21),"B. Strong performer",IF(AND(I777&gt;='Read Me &amp; Markers'!$B$22,L777&gt;='Read Me &amp; Markers'!$B$23),"C. Scale workhorse",IF(AND(I777&gt;='Read Me &amp; Markers'!$B$24,I777&lt;'Read Me &amp; Markers'!$B$18,J777&gt;='Read Me &amp; Markers'!$B$25,L777&gt;='Read Me &amp; Markers'!$B$26),"D. Promising (needs more spend)",""))))</f>
        <v/>
      </c>
      <c r="C777" s="4" t="s">
        <v>2654</v>
      </c>
      <c r="D777" s="4" t="s">
        <v>1049</v>
      </c>
      <c r="E777" s="4" t="s">
        <v>1050</v>
      </c>
      <c r="F777" s="4" t="s">
        <v>253</v>
      </c>
      <c r="G777" s="4" t="s">
        <v>436</v>
      </c>
      <c r="H777" s="4" t="s">
        <v>2655</v>
      </c>
      <c r="I777" s="5" t="n">
        <v>8.23</v>
      </c>
      <c r="J777" s="7" t="n">
        <v>0</v>
      </c>
      <c r="K777" s="5" t="n">
        <v>0</v>
      </c>
      <c r="L777" s="8" t="n">
        <v>0</v>
      </c>
      <c r="M777" s="9" t="n">
        <v>0</v>
      </c>
      <c r="N777" s="10" t="n">
        <v>0.04123711</v>
      </c>
      <c r="O777" s="5" t="n">
        <v>84.85</v>
      </c>
      <c r="P777" s="11" t="n">
        <v>1.114943</v>
      </c>
      <c r="Q777" s="7" t="n">
        <v>97</v>
      </c>
      <c r="R777" s="7" t="n">
        <v>4</v>
      </c>
      <c r="S777" s="7" t="n">
        <v>0</v>
      </c>
      <c r="T777" s="7" t="n">
        <v>0</v>
      </c>
      <c r="U777" s="7" t="n">
        <v>96</v>
      </c>
      <c r="V777" s="7" t="n">
        <v>14</v>
      </c>
    </row>
    <row r="778" customFormat="false" ht="15" hidden="false" customHeight="false" outlineLevel="0" collapsed="false">
      <c r="A778" s="4" t="s">
        <v>2656</v>
      </c>
      <c r="B778" s="4" t="str">
        <f aca="false">IF(AND(I778&gt;='Read Me &amp; Markers'!$B$18,J778&gt;='Read Me &amp; Markers'!$B$19,L778&gt;='Read Me &amp; Markers'!$B$20),"A. Proven winner",IF(AND(I778&gt;='Read Me &amp; Markers'!$B$18,J778&gt;='Read Me &amp; Markers'!$B$19,L778&gt;='Read Me &amp; Markers'!$B$21),"B. Strong performer",IF(AND(I778&gt;='Read Me &amp; Markers'!$B$22,L778&gt;='Read Me &amp; Markers'!$B$23),"C. Scale workhorse",IF(AND(I778&gt;='Read Me &amp; Markers'!$B$24,I778&lt;'Read Me &amp; Markers'!$B$18,J778&gt;='Read Me &amp; Markers'!$B$25,L778&gt;='Read Me &amp; Markers'!$B$26),"D. Promising (needs more spend)",""))))</f>
        <v/>
      </c>
      <c r="C778" s="4" t="s">
        <v>2657</v>
      </c>
      <c r="D778" s="4" t="s">
        <v>109</v>
      </c>
      <c r="E778" s="4" t="s">
        <v>110</v>
      </c>
      <c r="F778" s="4" t="s">
        <v>111</v>
      </c>
      <c r="G778" s="4" t="s">
        <v>112</v>
      </c>
      <c r="H778" s="4" t="s">
        <v>2658</v>
      </c>
      <c r="I778" s="5" t="n">
        <v>8.22</v>
      </c>
      <c r="J778" s="7" t="n">
        <v>0</v>
      </c>
      <c r="K778" s="5" t="n">
        <v>0</v>
      </c>
      <c r="L778" s="8" t="n">
        <v>0</v>
      </c>
      <c r="M778" s="9" t="n">
        <v>0</v>
      </c>
      <c r="N778" s="10" t="n">
        <v>0</v>
      </c>
      <c r="O778" s="5" t="n">
        <v>49.52</v>
      </c>
      <c r="P778" s="11" t="n">
        <v>1.202899</v>
      </c>
      <c r="Q778" s="7" t="n">
        <v>166</v>
      </c>
      <c r="R778" s="7" t="n">
        <v>0</v>
      </c>
      <c r="S778" s="7" t="n">
        <v>0</v>
      </c>
      <c r="T778" s="7" t="n">
        <v>0</v>
      </c>
      <c r="U778" s="7" t="n">
        <v>0</v>
      </c>
      <c r="V778" s="7" t="n">
        <v>0</v>
      </c>
    </row>
    <row r="779" customFormat="false" ht="15" hidden="false" customHeight="false" outlineLevel="0" collapsed="false">
      <c r="A779" s="4" t="s">
        <v>2659</v>
      </c>
      <c r="B779" s="4" t="str">
        <f aca="false">IF(AND(I779&gt;='Read Me &amp; Markers'!$B$18,J779&gt;='Read Me &amp; Markers'!$B$19,L779&gt;='Read Me &amp; Markers'!$B$20),"A. Proven winner",IF(AND(I779&gt;='Read Me &amp; Markers'!$B$18,J779&gt;='Read Me &amp; Markers'!$B$19,L779&gt;='Read Me &amp; Markers'!$B$21),"B. Strong performer",IF(AND(I779&gt;='Read Me &amp; Markers'!$B$22,L779&gt;='Read Me &amp; Markers'!$B$23),"C. Scale workhorse",IF(AND(I779&gt;='Read Me &amp; Markers'!$B$24,I779&lt;'Read Me &amp; Markers'!$B$18,J779&gt;='Read Me &amp; Markers'!$B$25,L779&gt;='Read Me &amp; Markers'!$B$26),"D. Promising (needs more spend)",""))))</f>
        <v/>
      </c>
      <c r="C779" s="4" t="s">
        <v>2660</v>
      </c>
      <c r="D779" s="4" t="s">
        <v>109</v>
      </c>
      <c r="E779" s="4" t="s">
        <v>435</v>
      </c>
      <c r="F779" s="4" t="s">
        <v>111</v>
      </c>
      <c r="G779" s="4" t="s">
        <v>739</v>
      </c>
      <c r="H779" s="4" t="s">
        <v>2661</v>
      </c>
      <c r="I779" s="5" t="n">
        <v>8.17</v>
      </c>
      <c r="J779" s="7" t="n">
        <v>1</v>
      </c>
      <c r="K779" s="5" t="n">
        <v>45.95</v>
      </c>
      <c r="L779" s="8" t="n">
        <v>5.624235</v>
      </c>
      <c r="M779" s="9" t="n">
        <v>8.17</v>
      </c>
      <c r="N779" s="10" t="n">
        <v>0.02985075</v>
      </c>
      <c r="O779" s="5" t="n">
        <v>121.94</v>
      </c>
      <c r="P779" s="11" t="n">
        <v>1.288462</v>
      </c>
      <c r="Q779" s="7" t="n">
        <v>67</v>
      </c>
      <c r="R779" s="7" t="n">
        <v>2</v>
      </c>
      <c r="S779" s="7" t="n">
        <v>1</v>
      </c>
      <c r="T779" s="7" t="n">
        <v>1</v>
      </c>
      <c r="U779" s="7" t="n">
        <v>0</v>
      </c>
      <c r="V779" s="7" t="n">
        <v>0</v>
      </c>
    </row>
    <row r="780" customFormat="false" ht="15" hidden="false" customHeight="false" outlineLevel="0" collapsed="false">
      <c r="A780" s="4" t="s">
        <v>2662</v>
      </c>
      <c r="B780" s="4" t="str">
        <f aca="false">IF(AND(I780&gt;='Read Me &amp; Markers'!$B$18,J780&gt;='Read Me &amp; Markers'!$B$19,L780&gt;='Read Me &amp; Markers'!$B$20),"A. Proven winner",IF(AND(I780&gt;='Read Me &amp; Markers'!$B$18,J780&gt;='Read Me &amp; Markers'!$B$19,L780&gt;='Read Me &amp; Markers'!$B$21),"B. Strong performer",IF(AND(I780&gt;='Read Me &amp; Markers'!$B$22,L780&gt;='Read Me &amp; Markers'!$B$23),"C. Scale workhorse",IF(AND(I780&gt;='Read Me &amp; Markers'!$B$24,I780&lt;'Read Me &amp; Markers'!$B$18,J780&gt;='Read Me &amp; Markers'!$B$25,L780&gt;='Read Me &amp; Markers'!$B$26),"D. Promising (needs more spend)",""))))</f>
        <v/>
      </c>
      <c r="C780" s="4" t="s">
        <v>2663</v>
      </c>
      <c r="D780" s="4" t="s">
        <v>109</v>
      </c>
      <c r="E780" s="4" t="s">
        <v>469</v>
      </c>
      <c r="F780" s="4" t="s">
        <v>111</v>
      </c>
      <c r="G780" s="4" t="s">
        <v>470</v>
      </c>
      <c r="H780" s="4" t="s">
        <v>2664</v>
      </c>
      <c r="I780" s="5" t="n">
        <v>8.17</v>
      </c>
      <c r="J780" s="7" t="n">
        <v>0</v>
      </c>
      <c r="K780" s="5" t="n">
        <v>0</v>
      </c>
      <c r="L780" s="8" t="n">
        <v>0</v>
      </c>
      <c r="M780" s="9" t="n">
        <v>0</v>
      </c>
      <c r="N780" s="10" t="n">
        <v>0.01369863</v>
      </c>
      <c r="O780" s="5" t="n">
        <v>111.92</v>
      </c>
      <c r="P780" s="11" t="n">
        <v>1.106061</v>
      </c>
      <c r="Q780" s="7" t="n">
        <v>73</v>
      </c>
      <c r="R780" s="7" t="n">
        <v>1</v>
      </c>
      <c r="S780" s="7" t="n">
        <v>0</v>
      </c>
      <c r="T780" s="7" t="n">
        <v>0</v>
      </c>
      <c r="U780" s="7" t="n">
        <v>0</v>
      </c>
      <c r="V780" s="7" t="n">
        <v>0</v>
      </c>
    </row>
    <row r="781" customFormat="false" ht="15" hidden="false" customHeight="false" outlineLevel="0" collapsed="false">
      <c r="A781" s="4" t="s">
        <v>2665</v>
      </c>
      <c r="B781" s="4" t="str">
        <f aca="false">IF(AND(I781&gt;='Read Me &amp; Markers'!$B$18,J781&gt;='Read Me &amp; Markers'!$B$19,L781&gt;='Read Me &amp; Markers'!$B$20),"A. Proven winner",IF(AND(I781&gt;='Read Me &amp; Markers'!$B$18,J781&gt;='Read Me &amp; Markers'!$B$19,L781&gt;='Read Me &amp; Markers'!$B$21),"B. Strong performer",IF(AND(I781&gt;='Read Me &amp; Markers'!$B$22,L781&gt;='Read Me &amp; Markers'!$B$23),"C. Scale workhorse",IF(AND(I781&gt;='Read Me &amp; Markers'!$B$24,I781&lt;'Read Me &amp; Markers'!$B$18,J781&gt;='Read Me &amp; Markers'!$B$25,L781&gt;='Read Me &amp; Markers'!$B$26),"D. Promising (needs more spend)",""))))</f>
        <v/>
      </c>
      <c r="C781" s="4" t="s">
        <v>2666</v>
      </c>
      <c r="D781" s="4" t="s">
        <v>109</v>
      </c>
      <c r="E781" s="4" t="s">
        <v>1501</v>
      </c>
      <c r="F781" s="4" t="s">
        <v>111</v>
      </c>
      <c r="G781" s="4" t="s">
        <v>1502</v>
      </c>
      <c r="H781" s="4" t="s">
        <v>2667</v>
      </c>
      <c r="I781" s="5" t="n">
        <v>8.15</v>
      </c>
      <c r="J781" s="7" t="n">
        <v>0</v>
      </c>
      <c r="K781" s="5" t="n">
        <v>0</v>
      </c>
      <c r="L781" s="8" t="n">
        <v>0</v>
      </c>
      <c r="M781" s="9" t="n">
        <v>0</v>
      </c>
      <c r="N781" s="10" t="n">
        <v>0.02380952</v>
      </c>
      <c r="O781" s="5" t="n">
        <v>97.02</v>
      </c>
      <c r="P781" s="11" t="n">
        <v>1.105263</v>
      </c>
      <c r="Q781" s="7" t="n">
        <v>84</v>
      </c>
      <c r="R781" s="7" t="n">
        <v>2</v>
      </c>
      <c r="S781" s="7" t="n">
        <v>0</v>
      </c>
      <c r="T781" s="7" t="n">
        <v>0</v>
      </c>
      <c r="U781" s="7" t="n">
        <v>79</v>
      </c>
      <c r="V781" s="7" t="n">
        <v>20</v>
      </c>
    </row>
    <row r="782" customFormat="false" ht="15" hidden="false" customHeight="false" outlineLevel="0" collapsed="false">
      <c r="A782" s="4" t="s">
        <v>2668</v>
      </c>
      <c r="B782" s="4" t="str">
        <f aca="false">IF(AND(I782&gt;='Read Me &amp; Markers'!$B$18,J782&gt;='Read Me &amp; Markers'!$B$19,L782&gt;='Read Me &amp; Markers'!$B$20),"A. Proven winner",IF(AND(I782&gt;='Read Me &amp; Markers'!$B$18,J782&gt;='Read Me &amp; Markers'!$B$19,L782&gt;='Read Me &amp; Markers'!$B$21),"B. Strong performer",IF(AND(I782&gt;='Read Me &amp; Markers'!$B$22,L782&gt;='Read Me &amp; Markers'!$B$23),"C. Scale workhorse",IF(AND(I782&gt;='Read Me &amp; Markers'!$B$24,I782&lt;'Read Me &amp; Markers'!$B$18,J782&gt;='Read Me &amp; Markers'!$B$25,L782&gt;='Read Me &amp; Markers'!$B$26),"D. Promising (needs more spend)",""))))</f>
        <v/>
      </c>
      <c r="C782" s="4" t="s">
        <v>121</v>
      </c>
      <c r="D782" s="4" t="s">
        <v>100</v>
      </c>
      <c r="E782" s="4" t="s">
        <v>2449</v>
      </c>
      <c r="F782" s="4" t="s">
        <v>230</v>
      </c>
      <c r="G782" s="4" t="s">
        <v>279</v>
      </c>
      <c r="H782" s="4" t="s">
        <v>2669</v>
      </c>
      <c r="I782" s="5" t="n">
        <v>8.12</v>
      </c>
      <c r="J782" s="7" t="n">
        <v>0</v>
      </c>
      <c r="K782" s="5" t="n">
        <v>0</v>
      </c>
      <c r="L782" s="8" t="n">
        <v>0</v>
      </c>
      <c r="M782" s="9" t="n">
        <v>0</v>
      </c>
      <c r="N782" s="10" t="n">
        <v>0.14925373</v>
      </c>
      <c r="O782" s="5" t="n">
        <v>121.19</v>
      </c>
      <c r="P782" s="11" t="n">
        <v>1.080645</v>
      </c>
      <c r="Q782" s="7" t="n">
        <v>67</v>
      </c>
      <c r="R782" s="7" t="n">
        <v>10</v>
      </c>
      <c r="S782" s="7" t="n">
        <v>1</v>
      </c>
      <c r="T782" s="7" t="n">
        <v>1</v>
      </c>
      <c r="U782" s="7" t="n">
        <v>63</v>
      </c>
      <c r="V782" s="7" t="n">
        <v>14</v>
      </c>
    </row>
    <row r="783" customFormat="false" ht="15" hidden="false" customHeight="false" outlineLevel="0" collapsed="false">
      <c r="A783" s="4" t="s">
        <v>2670</v>
      </c>
      <c r="B783" s="4" t="str">
        <f aca="false">IF(AND(I783&gt;='Read Me &amp; Markers'!$B$18,J783&gt;='Read Me &amp; Markers'!$B$19,L783&gt;='Read Me &amp; Markers'!$B$20),"A. Proven winner",IF(AND(I783&gt;='Read Me &amp; Markers'!$B$18,J783&gt;='Read Me &amp; Markers'!$B$19,L783&gt;='Read Me &amp; Markers'!$B$21),"B. Strong performer",IF(AND(I783&gt;='Read Me &amp; Markers'!$B$22,L783&gt;='Read Me &amp; Markers'!$B$23),"C. Scale workhorse",IF(AND(I783&gt;='Read Me &amp; Markers'!$B$24,I783&lt;'Read Me &amp; Markers'!$B$18,J783&gt;='Read Me &amp; Markers'!$B$25,L783&gt;='Read Me &amp; Markers'!$B$26),"D. Promising (needs more spend)",""))))</f>
        <v/>
      </c>
      <c r="C783" s="4" t="s">
        <v>129</v>
      </c>
      <c r="D783" s="4" t="s">
        <v>206</v>
      </c>
      <c r="E783" s="4" t="s">
        <v>2671</v>
      </c>
      <c r="F783" s="4" t="s">
        <v>253</v>
      </c>
      <c r="G783" s="4" t="s">
        <v>1363</v>
      </c>
      <c r="H783" s="4" t="s">
        <v>2672</v>
      </c>
      <c r="I783" s="5" t="n">
        <v>7.97</v>
      </c>
      <c r="J783" s="7" t="n">
        <v>0</v>
      </c>
      <c r="K783" s="5" t="n">
        <v>0</v>
      </c>
      <c r="L783" s="8" t="n">
        <v>0</v>
      </c>
      <c r="M783" s="9" t="n">
        <v>0</v>
      </c>
      <c r="N783" s="10" t="n">
        <v>0.02531646</v>
      </c>
      <c r="O783" s="5" t="n">
        <v>100.89</v>
      </c>
      <c r="P783" s="11" t="n">
        <v>1.053333</v>
      </c>
      <c r="Q783" s="7" t="n">
        <v>79</v>
      </c>
      <c r="R783" s="7" t="n">
        <v>2</v>
      </c>
      <c r="S783" s="7" t="n">
        <v>0</v>
      </c>
      <c r="T783" s="7" t="n">
        <v>0</v>
      </c>
      <c r="U783" s="7" t="n">
        <v>67</v>
      </c>
      <c r="V783" s="7" t="n">
        <v>6</v>
      </c>
    </row>
    <row r="784" customFormat="false" ht="15" hidden="false" customHeight="false" outlineLevel="0" collapsed="false">
      <c r="A784" s="4" t="s">
        <v>2673</v>
      </c>
      <c r="B784" s="4" t="str">
        <f aca="false">IF(AND(I784&gt;='Read Me &amp; Markers'!$B$18,J784&gt;='Read Me &amp; Markers'!$B$19,L784&gt;='Read Me &amp; Markers'!$B$20),"A. Proven winner",IF(AND(I784&gt;='Read Me &amp; Markers'!$B$18,J784&gt;='Read Me &amp; Markers'!$B$19,L784&gt;='Read Me &amp; Markers'!$B$21),"B. Strong performer",IF(AND(I784&gt;='Read Me &amp; Markers'!$B$22,L784&gt;='Read Me &amp; Markers'!$B$23),"C. Scale workhorse",IF(AND(I784&gt;='Read Me &amp; Markers'!$B$24,I784&lt;'Read Me &amp; Markers'!$B$18,J784&gt;='Read Me &amp; Markers'!$B$25,L784&gt;='Read Me &amp; Markers'!$B$26),"D. Promising (needs more spend)",""))))</f>
        <v/>
      </c>
      <c r="C784" s="4" t="s">
        <v>1649</v>
      </c>
      <c r="D784" s="4" t="s">
        <v>100</v>
      </c>
      <c r="E784" s="4" t="s">
        <v>2140</v>
      </c>
      <c r="F784" s="4" t="s">
        <v>87</v>
      </c>
      <c r="G784" s="4" t="s">
        <v>310</v>
      </c>
      <c r="H784" s="4" t="s">
        <v>2674</v>
      </c>
      <c r="I784" s="5" t="n">
        <v>7.87</v>
      </c>
      <c r="J784" s="7" t="n">
        <v>0</v>
      </c>
      <c r="K784" s="5" t="n">
        <v>0</v>
      </c>
      <c r="L784" s="8" t="n">
        <v>0</v>
      </c>
      <c r="M784" s="9" t="n">
        <v>0</v>
      </c>
      <c r="N784" s="10" t="n">
        <v>0.02325581</v>
      </c>
      <c r="O784" s="5" t="n">
        <v>45.76</v>
      </c>
      <c r="P784" s="11" t="n">
        <v>1.23741</v>
      </c>
      <c r="Q784" s="7" t="n">
        <v>172</v>
      </c>
      <c r="R784" s="7" t="n">
        <v>4</v>
      </c>
      <c r="S784" s="7" t="n">
        <v>0</v>
      </c>
      <c r="T784" s="7" t="n">
        <v>1</v>
      </c>
      <c r="U784" s="7" t="n">
        <v>151</v>
      </c>
      <c r="V784" s="7" t="n">
        <v>12</v>
      </c>
    </row>
    <row r="785" customFormat="false" ht="15" hidden="false" customHeight="false" outlineLevel="0" collapsed="false">
      <c r="A785" s="4" t="s">
        <v>2675</v>
      </c>
      <c r="B785" s="4" t="str">
        <f aca="false">IF(AND(I785&gt;='Read Me &amp; Markers'!$B$18,J785&gt;='Read Me &amp; Markers'!$B$19,L785&gt;='Read Me &amp; Markers'!$B$20),"A. Proven winner",IF(AND(I785&gt;='Read Me &amp; Markers'!$B$18,J785&gt;='Read Me &amp; Markers'!$B$19,L785&gt;='Read Me &amp; Markers'!$B$21),"B. Strong performer",IF(AND(I785&gt;='Read Me &amp; Markers'!$B$22,L785&gt;='Read Me &amp; Markers'!$B$23),"C. Scale workhorse",IF(AND(I785&gt;='Read Me &amp; Markers'!$B$24,I785&lt;'Read Me &amp; Markers'!$B$18,J785&gt;='Read Me &amp; Markers'!$B$25,L785&gt;='Read Me &amp; Markers'!$B$26),"D. Promising (needs more spend)",""))))</f>
        <v/>
      </c>
      <c r="C785" s="4" t="s">
        <v>129</v>
      </c>
      <c r="D785" s="4" t="s">
        <v>100</v>
      </c>
      <c r="E785" s="4" t="s">
        <v>1843</v>
      </c>
      <c r="F785" s="4" t="s">
        <v>87</v>
      </c>
      <c r="G785" s="4" t="s">
        <v>294</v>
      </c>
      <c r="H785" s="4" t="s">
        <v>2676</v>
      </c>
      <c r="I785" s="5" t="n">
        <v>7.83</v>
      </c>
      <c r="J785" s="7" t="n">
        <v>0</v>
      </c>
      <c r="K785" s="5" t="n">
        <v>0</v>
      </c>
      <c r="L785" s="8" t="n">
        <v>0</v>
      </c>
      <c r="M785" s="9" t="n">
        <v>0</v>
      </c>
      <c r="N785" s="10" t="n">
        <v>0.03846154</v>
      </c>
      <c r="O785" s="5" t="n">
        <v>150.58</v>
      </c>
      <c r="P785" s="11" t="n">
        <v>1.181818</v>
      </c>
      <c r="Q785" s="7" t="n">
        <v>52</v>
      </c>
      <c r="R785" s="7" t="n">
        <v>2</v>
      </c>
      <c r="S785" s="7" t="n">
        <v>1</v>
      </c>
      <c r="T785" s="7" t="n">
        <v>1</v>
      </c>
      <c r="U785" s="7" t="n">
        <v>43</v>
      </c>
      <c r="V785" s="7" t="n">
        <v>3</v>
      </c>
    </row>
    <row r="786" customFormat="false" ht="15" hidden="false" customHeight="false" outlineLevel="0" collapsed="false">
      <c r="A786" s="4" t="s">
        <v>2677</v>
      </c>
      <c r="B786" s="4" t="str">
        <f aca="false">IF(AND(I786&gt;='Read Me &amp; Markers'!$B$18,J786&gt;='Read Me &amp; Markers'!$B$19,L786&gt;='Read Me &amp; Markers'!$B$20),"A. Proven winner",IF(AND(I786&gt;='Read Me &amp; Markers'!$B$18,J786&gt;='Read Me &amp; Markers'!$B$19,L786&gt;='Read Me &amp; Markers'!$B$21),"B. Strong performer",IF(AND(I786&gt;='Read Me &amp; Markers'!$B$22,L786&gt;='Read Me &amp; Markers'!$B$23),"C. Scale workhorse",IF(AND(I786&gt;='Read Me &amp; Markers'!$B$24,I786&lt;'Read Me &amp; Markers'!$B$18,J786&gt;='Read Me &amp; Markers'!$B$25,L786&gt;='Read Me &amp; Markers'!$B$26),"D. Promising (needs more spend)",""))))</f>
        <v/>
      </c>
      <c r="C786" s="4" t="s">
        <v>2678</v>
      </c>
      <c r="D786" s="4" t="s">
        <v>109</v>
      </c>
      <c r="E786" s="4" t="s">
        <v>435</v>
      </c>
      <c r="F786" s="4" t="s">
        <v>111</v>
      </c>
      <c r="G786" s="4" t="s">
        <v>500</v>
      </c>
      <c r="H786" s="4" t="s">
        <v>2679</v>
      </c>
      <c r="I786" s="5" t="n">
        <v>7.8</v>
      </c>
      <c r="J786" s="7" t="n">
        <v>0</v>
      </c>
      <c r="K786" s="5" t="n">
        <v>0</v>
      </c>
      <c r="L786" s="8" t="n">
        <v>0</v>
      </c>
      <c r="M786" s="9" t="n">
        <v>0</v>
      </c>
      <c r="N786" s="10" t="n">
        <v>0.03389831</v>
      </c>
      <c r="O786" s="5" t="n">
        <v>132.2</v>
      </c>
      <c r="P786" s="11" t="n">
        <v>1.311111</v>
      </c>
      <c r="Q786" s="7" t="n">
        <v>59</v>
      </c>
      <c r="R786" s="7" t="n">
        <v>2</v>
      </c>
      <c r="S786" s="7" t="n">
        <v>0</v>
      </c>
      <c r="T786" s="7" t="n">
        <v>0</v>
      </c>
      <c r="U786" s="7" t="n">
        <v>50</v>
      </c>
      <c r="V786" s="7" t="n">
        <v>5</v>
      </c>
    </row>
    <row r="787" customFormat="false" ht="15" hidden="false" customHeight="false" outlineLevel="0" collapsed="false">
      <c r="A787" s="4" t="s">
        <v>2680</v>
      </c>
      <c r="B787" s="4" t="str">
        <f aca="false">IF(AND(I787&gt;='Read Me &amp; Markers'!$B$18,J787&gt;='Read Me &amp; Markers'!$B$19,L787&gt;='Read Me &amp; Markers'!$B$20),"A. Proven winner",IF(AND(I787&gt;='Read Me &amp; Markers'!$B$18,J787&gt;='Read Me &amp; Markers'!$B$19,L787&gt;='Read Me &amp; Markers'!$B$21),"B. Strong performer",IF(AND(I787&gt;='Read Me &amp; Markers'!$B$22,L787&gt;='Read Me &amp; Markers'!$B$23),"C. Scale workhorse",IF(AND(I787&gt;='Read Me &amp; Markers'!$B$24,I787&lt;'Read Me &amp; Markers'!$B$18,J787&gt;='Read Me &amp; Markers'!$B$25,L787&gt;='Read Me &amp; Markers'!$B$26),"D. Promising (needs more spend)",""))))</f>
        <v/>
      </c>
      <c r="C787" s="4" t="s">
        <v>129</v>
      </c>
      <c r="D787" s="4" t="s">
        <v>100</v>
      </c>
      <c r="E787" s="4" t="s">
        <v>1269</v>
      </c>
      <c r="F787" s="4" t="s">
        <v>230</v>
      </c>
      <c r="G787" s="4" t="s">
        <v>623</v>
      </c>
      <c r="H787" s="4" t="s">
        <v>2681</v>
      </c>
      <c r="I787" s="5" t="n">
        <v>7.77</v>
      </c>
      <c r="J787" s="7" t="n">
        <v>0</v>
      </c>
      <c r="K787" s="5" t="n">
        <v>0</v>
      </c>
      <c r="L787" s="8" t="n">
        <v>0</v>
      </c>
      <c r="M787" s="9" t="n">
        <v>0</v>
      </c>
      <c r="N787" s="10" t="n">
        <v>0.04166667</v>
      </c>
      <c r="O787" s="5" t="n">
        <v>161.88</v>
      </c>
      <c r="P787" s="11" t="n">
        <v>1.043478</v>
      </c>
      <c r="Q787" s="7" t="n">
        <v>48</v>
      </c>
      <c r="R787" s="7" t="n">
        <v>2</v>
      </c>
      <c r="S787" s="7" t="n">
        <v>1</v>
      </c>
      <c r="T787" s="7" t="n">
        <v>0</v>
      </c>
      <c r="U787" s="7" t="n">
        <v>39</v>
      </c>
      <c r="V787" s="7" t="n">
        <v>6</v>
      </c>
    </row>
    <row r="788" customFormat="false" ht="15" hidden="false" customHeight="false" outlineLevel="0" collapsed="false">
      <c r="A788" s="4" t="s">
        <v>2682</v>
      </c>
      <c r="B788" s="4" t="str">
        <f aca="false">IF(AND(I788&gt;='Read Me &amp; Markers'!$B$18,J788&gt;='Read Me &amp; Markers'!$B$19,L788&gt;='Read Me &amp; Markers'!$B$20),"A. Proven winner",IF(AND(I788&gt;='Read Me &amp; Markers'!$B$18,J788&gt;='Read Me &amp; Markers'!$B$19,L788&gt;='Read Me &amp; Markers'!$B$21),"B. Strong performer",IF(AND(I788&gt;='Read Me &amp; Markers'!$B$22,L788&gt;='Read Me &amp; Markers'!$B$23),"C. Scale workhorse",IF(AND(I788&gt;='Read Me &amp; Markers'!$B$24,I788&lt;'Read Me &amp; Markers'!$B$18,J788&gt;='Read Me &amp; Markers'!$B$25,L788&gt;='Read Me &amp; Markers'!$B$26),"D. Promising (needs more spend)",""))))</f>
        <v/>
      </c>
      <c r="C788" s="4" t="s">
        <v>169</v>
      </c>
      <c r="D788" s="4" t="s">
        <v>100</v>
      </c>
      <c r="E788" s="4" t="s">
        <v>2361</v>
      </c>
      <c r="F788" s="4" t="s">
        <v>87</v>
      </c>
      <c r="G788" s="4" t="s">
        <v>623</v>
      </c>
      <c r="H788" s="4" t="s">
        <v>2683</v>
      </c>
      <c r="I788" s="5" t="n">
        <v>7.76</v>
      </c>
      <c r="J788" s="7" t="n">
        <v>0</v>
      </c>
      <c r="K788" s="5" t="n">
        <v>0</v>
      </c>
      <c r="L788" s="8" t="n">
        <v>0</v>
      </c>
      <c r="M788" s="9" t="n">
        <v>0</v>
      </c>
      <c r="N788" s="10" t="n">
        <v>0.02666667</v>
      </c>
      <c r="O788" s="5" t="n">
        <v>103.47</v>
      </c>
      <c r="P788" s="11" t="n">
        <v>1.013514</v>
      </c>
      <c r="Q788" s="7" t="n">
        <v>75</v>
      </c>
      <c r="R788" s="7" t="n">
        <v>2</v>
      </c>
      <c r="S788" s="7" t="n">
        <v>0</v>
      </c>
      <c r="T788" s="7" t="n">
        <v>0</v>
      </c>
      <c r="U788" s="7" t="n">
        <v>66</v>
      </c>
      <c r="V788" s="7" t="n">
        <v>16</v>
      </c>
    </row>
    <row r="789" customFormat="false" ht="15" hidden="false" customHeight="false" outlineLevel="0" collapsed="false">
      <c r="A789" s="4" t="s">
        <v>2684</v>
      </c>
      <c r="B789" s="4" t="str">
        <f aca="false">IF(AND(I789&gt;='Read Me &amp; Markers'!$B$18,J789&gt;='Read Me &amp; Markers'!$B$19,L789&gt;='Read Me &amp; Markers'!$B$20),"A. Proven winner",IF(AND(I789&gt;='Read Me &amp; Markers'!$B$18,J789&gt;='Read Me &amp; Markers'!$B$19,L789&gt;='Read Me &amp; Markers'!$B$21),"B. Strong performer",IF(AND(I789&gt;='Read Me &amp; Markers'!$B$22,L789&gt;='Read Me &amp; Markers'!$B$23),"C. Scale workhorse",IF(AND(I789&gt;='Read Me &amp; Markers'!$B$24,I789&lt;'Read Me &amp; Markers'!$B$18,J789&gt;='Read Me &amp; Markers'!$B$25,L789&gt;='Read Me &amp; Markers'!$B$26),"D. Promising (needs more spend)",""))))</f>
        <v/>
      </c>
      <c r="C789" s="4" t="s">
        <v>169</v>
      </c>
      <c r="D789" s="4" t="s">
        <v>154</v>
      </c>
      <c r="E789" s="4" t="s">
        <v>1092</v>
      </c>
      <c r="F789" s="4" t="s">
        <v>253</v>
      </c>
      <c r="G789" s="4" t="s">
        <v>1093</v>
      </c>
      <c r="H789" s="4" t="s">
        <v>2685</v>
      </c>
      <c r="I789" s="5" t="n">
        <v>7.76</v>
      </c>
      <c r="J789" s="7" t="n">
        <v>0</v>
      </c>
      <c r="K789" s="5" t="n">
        <v>0</v>
      </c>
      <c r="L789" s="8" t="n">
        <v>0</v>
      </c>
      <c r="M789" s="9" t="n">
        <v>0</v>
      </c>
      <c r="N789" s="10" t="n">
        <v>0.075</v>
      </c>
      <c r="O789" s="5" t="n">
        <v>97</v>
      </c>
      <c r="P789" s="11" t="n">
        <v>1.176471</v>
      </c>
      <c r="Q789" s="7" t="n">
        <v>80</v>
      </c>
      <c r="R789" s="7" t="n">
        <v>6</v>
      </c>
      <c r="S789" s="7" t="n">
        <v>0</v>
      </c>
      <c r="T789" s="7" t="n">
        <v>0</v>
      </c>
      <c r="U789" s="7" t="n">
        <v>54</v>
      </c>
      <c r="V789" s="7" t="n">
        <v>14</v>
      </c>
    </row>
    <row r="790" customFormat="false" ht="15" hidden="false" customHeight="false" outlineLevel="0" collapsed="false">
      <c r="A790" s="4" t="s">
        <v>2686</v>
      </c>
      <c r="B790" s="4" t="str">
        <f aca="false">IF(AND(I790&gt;='Read Me &amp; Markers'!$B$18,J790&gt;='Read Me &amp; Markers'!$B$19,L790&gt;='Read Me &amp; Markers'!$B$20),"A. Proven winner",IF(AND(I790&gt;='Read Me &amp; Markers'!$B$18,J790&gt;='Read Me &amp; Markers'!$B$19,L790&gt;='Read Me &amp; Markers'!$B$21),"B. Strong performer",IF(AND(I790&gt;='Read Me &amp; Markers'!$B$22,L790&gt;='Read Me &amp; Markers'!$B$23),"C. Scale workhorse",IF(AND(I790&gt;='Read Me &amp; Markers'!$B$24,I790&lt;'Read Me &amp; Markers'!$B$18,J790&gt;='Read Me &amp; Markers'!$B$25,L790&gt;='Read Me &amp; Markers'!$B$26),"D. Promising (needs more spend)",""))))</f>
        <v/>
      </c>
      <c r="C790" s="4" t="s">
        <v>307</v>
      </c>
      <c r="D790" s="4" t="s">
        <v>154</v>
      </c>
      <c r="E790" s="4" t="s">
        <v>2422</v>
      </c>
      <c r="F790" s="4" t="s">
        <v>87</v>
      </c>
      <c r="G790" s="4" t="s">
        <v>156</v>
      </c>
      <c r="H790" s="4" t="s">
        <v>2687</v>
      </c>
      <c r="I790" s="5" t="n">
        <v>7.64</v>
      </c>
      <c r="J790" s="7" t="n">
        <v>0</v>
      </c>
      <c r="K790" s="5" t="n">
        <v>0</v>
      </c>
      <c r="L790" s="8" t="n">
        <v>0</v>
      </c>
      <c r="M790" s="9" t="n">
        <v>0</v>
      </c>
      <c r="N790" s="10" t="n">
        <v>0.01357466</v>
      </c>
      <c r="O790" s="5" t="n">
        <v>34.57</v>
      </c>
      <c r="P790" s="11" t="n">
        <v>1.262857</v>
      </c>
      <c r="Q790" s="7" t="n">
        <v>221</v>
      </c>
      <c r="R790" s="7" t="n">
        <v>3</v>
      </c>
      <c r="S790" s="7" t="n">
        <v>0</v>
      </c>
      <c r="T790" s="7" t="n">
        <v>0</v>
      </c>
      <c r="U790" s="7" t="n">
        <v>157</v>
      </c>
      <c r="V790" s="7" t="n">
        <v>12</v>
      </c>
    </row>
    <row r="791" customFormat="false" ht="15" hidden="false" customHeight="false" outlineLevel="0" collapsed="false">
      <c r="A791" s="4" t="s">
        <v>2688</v>
      </c>
      <c r="B791" s="4" t="str">
        <f aca="false">IF(AND(I791&gt;='Read Me &amp; Markers'!$B$18,J791&gt;='Read Me &amp; Markers'!$B$19,L791&gt;='Read Me &amp; Markers'!$B$20),"A. Proven winner",IF(AND(I791&gt;='Read Me &amp; Markers'!$B$18,J791&gt;='Read Me &amp; Markers'!$B$19,L791&gt;='Read Me &amp; Markers'!$B$21),"B. Strong performer",IF(AND(I791&gt;='Read Me &amp; Markers'!$B$22,L791&gt;='Read Me &amp; Markers'!$B$23),"C. Scale workhorse",IF(AND(I791&gt;='Read Me &amp; Markers'!$B$24,I791&lt;'Read Me &amp; Markers'!$B$18,J791&gt;='Read Me &amp; Markers'!$B$25,L791&gt;='Read Me &amp; Markers'!$B$26),"D. Promising (needs more spend)",""))))</f>
        <v/>
      </c>
      <c r="C791" s="4" t="s">
        <v>169</v>
      </c>
      <c r="D791" s="4" t="s">
        <v>206</v>
      </c>
      <c r="E791" s="4" t="s">
        <v>2671</v>
      </c>
      <c r="F791" s="4" t="s">
        <v>253</v>
      </c>
      <c r="G791" s="4" t="s">
        <v>1363</v>
      </c>
      <c r="H791" s="4" t="s">
        <v>2689</v>
      </c>
      <c r="I791" s="5" t="n">
        <v>7.61</v>
      </c>
      <c r="J791" s="7" t="n">
        <v>0</v>
      </c>
      <c r="K791" s="5" t="n">
        <v>0</v>
      </c>
      <c r="L791" s="8" t="n">
        <v>0</v>
      </c>
      <c r="M791" s="9" t="n">
        <v>0</v>
      </c>
      <c r="N791" s="10" t="n">
        <v>0</v>
      </c>
      <c r="O791" s="5" t="n">
        <v>195.13</v>
      </c>
      <c r="P791" s="11" t="n">
        <v>1.083333</v>
      </c>
      <c r="Q791" s="7" t="n">
        <v>39</v>
      </c>
      <c r="R791" s="7" t="n">
        <v>0</v>
      </c>
      <c r="S791" s="7" t="n">
        <v>0</v>
      </c>
      <c r="T791" s="7" t="n">
        <v>0</v>
      </c>
      <c r="U791" s="7" t="n">
        <v>37</v>
      </c>
      <c r="V791" s="7" t="n">
        <v>3</v>
      </c>
    </row>
    <row r="792" customFormat="false" ht="15" hidden="false" customHeight="false" outlineLevel="0" collapsed="false">
      <c r="A792" s="4" t="s">
        <v>2690</v>
      </c>
      <c r="B792" s="4" t="str">
        <f aca="false">IF(AND(I792&gt;='Read Me &amp; Markers'!$B$18,J792&gt;='Read Me &amp; Markers'!$B$19,L792&gt;='Read Me &amp; Markers'!$B$20),"A. Proven winner",IF(AND(I792&gt;='Read Me &amp; Markers'!$B$18,J792&gt;='Read Me &amp; Markers'!$B$19,L792&gt;='Read Me &amp; Markers'!$B$21),"B. Strong performer",IF(AND(I792&gt;='Read Me &amp; Markers'!$B$22,L792&gt;='Read Me &amp; Markers'!$B$23),"C. Scale workhorse",IF(AND(I792&gt;='Read Me &amp; Markers'!$B$24,I792&lt;'Read Me &amp; Markers'!$B$18,J792&gt;='Read Me &amp; Markers'!$B$25,L792&gt;='Read Me &amp; Markers'!$B$26),"D. Promising (needs more spend)",""))))</f>
        <v/>
      </c>
      <c r="C792" s="4" t="s">
        <v>121</v>
      </c>
      <c r="D792" s="4" t="s">
        <v>206</v>
      </c>
      <c r="E792" s="4" t="s">
        <v>702</v>
      </c>
      <c r="F792" s="4" t="s">
        <v>230</v>
      </c>
      <c r="G792" s="4" t="s">
        <v>208</v>
      </c>
      <c r="H792" s="4" t="s">
        <v>2691</v>
      </c>
      <c r="I792" s="5" t="n">
        <v>7.58</v>
      </c>
      <c r="J792" s="7" t="n">
        <v>0</v>
      </c>
      <c r="K792" s="5" t="n">
        <v>0</v>
      </c>
      <c r="L792" s="8" t="n">
        <v>0</v>
      </c>
      <c r="M792" s="9" t="n">
        <v>0</v>
      </c>
      <c r="N792" s="10" t="n">
        <v>0</v>
      </c>
      <c r="O792" s="5" t="n">
        <v>76.57</v>
      </c>
      <c r="P792" s="11" t="n">
        <v>1.164706</v>
      </c>
      <c r="Q792" s="7" t="n">
        <v>99</v>
      </c>
      <c r="R792" s="7" t="n">
        <v>0</v>
      </c>
      <c r="S792" s="7" t="n">
        <v>0</v>
      </c>
      <c r="T792" s="7" t="n">
        <v>0</v>
      </c>
      <c r="U792" s="7" t="n">
        <v>73</v>
      </c>
      <c r="V792" s="7" t="n">
        <v>2</v>
      </c>
    </row>
    <row r="793" customFormat="false" ht="15" hidden="false" customHeight="false" outlineLevel="0" collapsed="false">
      <c r="A793" s="4" t="s">
        <v>2692</v>
      </c>
      <c r="B793" s="4" t="str">
        <f aca="false">IF(AND(I793&gt;='Read Me &amp; Markers'!$B$18,J793&gt;='Read Me &amp; Markers'!$B$19,L793&gt;='Read Me &amp; Markers'!$B$20),"A. Proven winner",IF(AND(I793&gt;='Read Me &amp; Markers'!$B$18,J793&gt;='Read Me &amp; Markers'!$B$19,L793&gt;='Read Me &amp; Markers'!$B$21),"B. Strong performer",IF(AND(I793&gt;='Read Me &amp; Markers'!$B$22,L793&gt;='Read Me &amp; Markers'!$B$23),"C. Scale workhorse",IF(AND(I793&gt;='Read Me &amp; Markers'!$B$24,I793&lt;'Read Me &amp; Markers'!$B$18,J793&gt;='Read Me &amp; Markers'!$B$25,L793&gt;='Read Me &amp; Markers'!$B$26),"D. Promising (needs more spend)",""))))</f>
        <v/>
      </c>
      <c r="C793" s="4" t="s">
        <v>2693</v>
      </c>
      <c r="D793" s="4" t="s">
        <v>109</v>
      </c>
      <c r="E793" s="4" t="s">
        <v>979</v>
      </c>
      <c r="F793" s="4" t="s">
        <v>172</v>
      </c>
      <c r="G793" s="4" t="s">
        <v>659</v>
      </c>
      <c r="H793" s="4" t="s">
        <v>2694</v>
      </c>
      <c r="I793" s="5" t="n">
        <v>7.53</v>
      </c>
      <c r="J793" s="7" t="n">
        <v>0</v>
      </c>
      <c r="K793" s="5" t="n">
        <v>0</v>
      </c>
      <c r="L793" s="8" t="n">
        <v>0</v>
      </c>
      <c r="M793" s="9" t="n">
        <v>0</v>
      </c>
      <c r="N793" s="10" t="n">
        <v>0.13461538</v>
      </c>
      <c r="O793" s="5" t="n">
        <v>144.81</v>
      </c>
      <c r="P793" s="11" t="n">
        <v>1.083333</v>
      </c>
      <c r="Q793" s="7" t="n">
        <v>52</v>
      </c>
      <c r="R793" s="7" t="n">
        <v>7</v>
      </c>
      <c r="S793" s="7" t="n">
        <v>0</v>
      </c>
      <c r="T793" s="7" t="n">
        <v>0</v>
      </c>
      <c r="U793" s="7" t="n">
        <v>50</v>
      </c>
      <c r="V793" s="7" t="n">
        <v>7</v>
      </c>
    </row>
    <row r="794" customFormat="false" ht="15" hidden="false" customHeight="false" outlineLevel="0" collapsed="false">
      <c r="A794" s="4" t="s">
        <v>2695</v>
      </c>
      <c r="B794" s="4" t="str">
        <f aca="false">IF(AND(I794&gt;='Read Me &amp; Markers'!$B$18,J794&gt;='Read Me &amp; Markers'!$B$19,L794&gt;='Read Me &amp; Markers'!$B$20),"A. Proven winner",IF(AND(I794&gt;='Read Me &amp; Markers'!$B$18,J794&gt;='Read Me &amp; Markers'!$B$19,L794&gt;='Read Me &amp; Markers'!$B$21),"B. Strong performer",IF(AND(I794&gt;='Read Me &amp; Markers'!$B$22,L794&gt;='Read Me &amp; Markers'!$B$23),"C. Scale workhorse",IF(AND(I794&gt;='Read Me &amp; Markers'!$B$24,I794&lt;'Read Me &amp; Markers'!$B$18,J794&gt;='Read Me &amp; Markers'!$B$25,L794&gt;='Read Me &amp; Markers'!$B$26),"D. Promising (needs more spend)",""))))</f>
        <v/>
      </c>
      <c r="C794" s="4" t="s">
        <v>2696</v>
      </c>
      <c r="D794" s="4" t="s">
        <v>109</v>
      </c>
      <c r="E794" s="4" t="s">
        <v>979</v>
      </c>
      <c r="F794" s="4" t="s">
        <v>172</v>
      </c>
      <c r="G794" s="4" t="s">
        <v>659</v>
      </c>
      <c r="H794" s="4" t="s">
        <v>2697</v>
      </c>
      <c r="I794" s="5" t="n">
        <v>7.44</v>
      </c>
      <c r="J794" s="7" t="n">
        <v>0</v>
      </c>
      <c r="K794" s="5" t="n">
        <v>0</v>
      </c>
      <c r="L794" s="8" t="n">
        <v>0</v>
      </c>
      <c r="M794" s="9" t="n">
        <v>0</v>
      </c>
      <c r="N794" s="10" t="n">
        <v>0.07692308</v>
      </c>
      <c r="O794" s="5" t="n">
        <v>286.15</v>
      </c>
      <c r="P794" s="11" t="n">
        <v>1.083333</v>
      </c>
      <c r="Q794" s="7" t="n">
        <v>26</v>
      </c>
      <c r="R794" s="7" t="n">
        <v>2</v>
      </c>
      <c r="S794" s="7" t="n">
        <v>0</v>
      </c>
      <c r="T794" s="7" t="n">
        <v>0</v>
      </c>
      <c r="U794" s="7" t="n">
        <v>25</v>
      </c>
      <c r="V794" s="7" t="n">
        <v>4</v>
      </c>
    </row>
    <row r="795" customFormat="false" ht="15" hidden="false" customHeight="false" outlineLevel="0" collapsed="false">
      <c r="A795" s="4" t="s">
        <v>2698</v>
      </c>
      <c r="B795" s="4" t="str">
        <f aca="false">IF(AND(I795&gt;='Read Me &amp; Markers'!$B$18,J795&gt;='Read Me &amp; Markers'!$B$19,L795&gt;='Read Me &amp; Markers'!$B$20),"A. Proven winner",IF(AND(I795&gt;='Read Me &amp; Markers'!$B$18,J795&gt;='Read Me &amp; Markers'!$B$19,L795&gt;='Read Me &amp; Markers'!$B$21),"B. Strong performer",IF(AND(I795&gt;='Read Me &amp; Markers'!$B$22,L795&gt;='Read Me &amp; Markers'!$B$23),"C. Scale workhorse",IF(AND(I795&gt;='Read Me &amp; Markers'!$B$24,I795&lt;'Read Me &amp; Markers'!$B$18,J795&gt;='Read Me &amp; Markers'!$B$25,L795&gt;='Read Me &amp; Markers'!$B$26),"D. Promising (needs more spend)",""))))</f>
        <v/>
      </c>
      <c r="C795" s="4" t="s">
        <v>1361</v>
      </c>
      <c r="D795" s="4" t="s">
        <v>206</v>
      </c>
      <c r="E795" s="4" t="s">
        <v>2699</v>
      </c>
      <c r="F795" s="4" t="s">
        <v>253</v>
      </c>
      <c r="G795" s="4" t="s">
        <v>1363</v>
      </c>
      <c r="H795" s="4" t="s">
        <v>2700</v>
      </c>
      <c r="I795" s="5" t="n">
        <v>7.42</v>
      </c>
      <c r="J795" s="7" t="n">
        <v>0</v>
      </c>
      <c r="K795" s="5" t="n">
        <v>0</v>
      </c>
      <c r="L795" s="8" t="n">
        <v>0</v>
      </c>
      <c r="M795" s="9" t="n">
        <v>0</v>
      </c>
      <c r="N795" s="10" t="n">
        <v>0.00552486</v>
      </c>
      <c r="O795" s="5" t="n">
        <v>40.99</v>
      </c>
      <c r="P795" s="11" t="n">
        <v>1.256944</v>
      </c>
      <c r="Q795" s="7" t="n">
        <v>181</v>
      </c>
      <c r="R795" s="7" t="n">
        <v>1</v>
      </c>
      <c r="S795" s="7" t="n">
        <v>1</v>
      </c>
      <c r="T795" s="7" t="n">
        <v>1</v>
      </c>
      <c r="U795" s="7" t="n">
        <v>0</v>
      </c>
      <c r="V795" s="7" t="n">
        <v>0</v>
      </c>
    </row>
    <row r="796" customFormat="false" ht="15" hidden="false" customHeight="false" outlineLevel="0" collapsed="false">
      <c r="A796" s="4" t="s">
        <v>2701</v>
      </c>
      <c r="B796" s="4" t="str">
        <f aca="false">IF(AND(I796&gt;='Read Me &amp; Markers'!$B$18,J796&gt;='Read Me &amp; Markers'!$B$19,L796&gt;='Read Me &amp; Markers'!$B$20),"A. Proven winner",IF(AND(I796&gt;='Read Me &amp; Markers'!$B$18,J796&gt;='Read Me &amp; Markers'!$B$19,L796&gt;='Read Me &amp; Markers'!$B$21),"B. Strong performer",IF(AND(I796&gt;='Read Me &amp; Markers'!$B$22,L796&gt;='Read Me &amp; Markers'!$B$23),"C. Scale workhorse",IF(AND(I796&gt;='Read Me &amp; Markers'!$B$24,I796&lt;'Read Me &amp; Markers'!$B$18,J796&gt;='Read Me &amp; Markers'!$B$25,L796&gt;='Read Me &amp; Markers'!$B$26),"D. Promising (needs more spend)",""))))</f>
        <v/>
      </c>
      <c r="C796" s="4" t="s">
        <v>2702</v>
      </c>
      <c r="D796" s="4" t="s">
        <v>109</v>
      </c>
      <c r="E796" s="4" t="s">
        <v>2040</v>
      </c>
      <c r="F796" s="4" t="s">
        <v>111</v>
      </c>
      <c r="G796" s="4" t="s">
        <v>286</v>
      </c>
      <c r="H796" s="4" t="s">
        <v>2703</v>
      </c>
      <c r="I796" s="5" t="n">
        <v>7.37</v>
      </c>
      <c r="J796" s="7" t="n">
        <v>0</v>
      </c>
      <c r="K796" s="5" t="n">
        <v>0</v>
      </c>
      <c r="L796" s="8" t="n">
        <v>0</v>
      </c>
      <c r="M796" s="9" t="n">
        <v>0</v>
      </c>
      <c r="N796" s="10" t="n">
        <v>0.01129944</v>
      </c>
      <c r="O796" s="5" t="n">
        <v>41.64</v>
      </c>
      <c r="P796" s="11" t="n">
        <v>1.255319</v>
      </c>
      <c r="Q796" s="7" t="n">
        <v>177</v>
      </c>
      <c r="R796" s="7" t="n">
        <v>2</v>
      </c>
      <c r="S796" s="7" t="n">
        <v>0</v>
      </c>
      <c r="T796" s="7" t="n">
        <v>0</v>
      </c>
      <c r="U796" s="7" t="n">
        <v>1</v>
      </c>
      <c r="V796" s="7" t="n">
        <v>0</v>
      </c>
    </row>
    <row r="797" customFormat="false" ht="15" hidden="false" customHeight="false" outlineLevel="0" collapsed="false">
      <c r="A797" s="4" t="s">
        <v>2704</v>
      </c>
      <c r="B797" s="4" t="str">
        <f aca="false">IF(AND(I797&gt;='Read Me &amp; Markers'!$B$18,J797&gt;='Read Me &amp; Markers'!$B$19,L797&gt;='Read Me &amp; Markers'!$B$20),"A. Proven winner",IF(AND(I797&gt;='Read Me &amp; Markers'!$B$18,J797&gt;='Read Me &amp; Markers'!$B$19,L797&gt;='Read Me &amp; Markers'!$B$21),"B. Strong performer",IF(AND(I797&gt;='Read Me &amp; Markers'!$B$22,L797&gt;='Read Me &amp; Markers'!$B$23),"C. Scale workhorse",IF(AND(I797&gt;='Read Me &amp; Markers'!$B$24,I797&lt;'Read Me &amp; Markers'!$B$18,J797&gt;='Read Me &amp; Markers'!$B$25,L797&gt;='Read Me &amp; Markers'!$B$26),"D. Promising (needs more spend)",""))))</f>
        <v/>
      </c>
      <c r="C797" s="4" t="s">
        <v>121</v>
      </c>
      <c r="D797" s="4" t="s">
        <v>100</v>
      </c>
      <c r="E797" s="4" t="s">
        <v>2705</v>
      </c>
      <c r="F797" s="4" t="s">
        <v>172</v>
      </c>
      <c r="G797" s="4" t="s">
        <v>1729</v>
      </c>
      <c r="H797" s="4" t="s">
        <v>2706</v>
      </c>
      <c r="I797" s="5" t="n">
        <v>7.34</v>
      </c>
      <c r="J797" s="7" t="n">
        <v>0</v>
      </c>
      <c r="K797" s="5" t="n">
        <v>0</v>
      </c>
      <c r="L797" s="8" t="n">
        <v>0</v>
      </c>
      <c r="M797" s="9" t="n">
        <v>0</v>
      </c>
      <c r="N797" s="10" t="n">
        <v>0.02083333</v>
      </c>
      <c r="O797" s="5" t="n">
        <v>76.46</v>
      </c>
      <c r="P797" s="11" t="n">
        <v>1.142857</v>
      </c>
      <c r="Q797" s="7" t="n">
        <v>96</v>
      </c>
      <c r="R797" s="7" t="n">
        <v>2</v>
      </c>
      <c r="S797" s="7" t="n">
        <v>0</v>
      </c>
      <c r="T797" s="7" t="n">
        <v>0</v>
      </c>
      <c r="U797" s="7" t="n">
        <v>86</v>
      </c>
      <c r="V797" s="7" t="n">
        <v>4</v>
      </c>
    </row>
    <row r="798" customFormat="false" ht="15" hidden="false" customHeight="false" outlineLevel="0" collapsed="false">
      <c r="A798" s="4" t="s">
        <v>2707</v>
      </c>
      <c r="B798" s="4" t="str">
        <f aca="false">IF(AND(I798&gt;='Read Me &amp; Markers'!$B$18,J798&gt;='Read Me &amp; Markers'!$B$19,L798&gt;='Read Me &amp; Markers'!$B$20),"A. Proven winner",IF(AND(I798&gt;='Read Me &amp; Markers'!$B$18,J798&gt;='Read Me &amp; Markers'!$B$19,L798&gt;='Read Me &amp; Markers'!$B$21),"B. Strong performer",IF(AND(I798&gt;='Read Me &amp; Markers'!$B$22,L798&gt;='Read Me &amp; Markers'!$B$23),"C. Scale workhorse",IF(AND(I798&gt;='Read Me &amp; Markers'!$B$24,I798&lt;'Read Me &amp; Markers'!$B$18,J798&gt;='Read Me &amp; Markers'!$B$25,L798&gt;='Read Me &amp; Markers'!$B$26),"D. Promising (needs more spend)",""))))</f>
        <v/>
      </c>
      <c r="C798" s="4" t="s">
        <v>2708</v>
      </c>
      <c r="D798" s="4" t="s">
        <v>109</v>
      </c>
      <c r="E798" s="4" t="s">
        <v>429</v>
      </c>
      <c r="F798" s="4" t="s">
        <v>111</v>
      </c>
      <c r="G798" s="4" t="s">
        <v>431</v>
      </c>
      <c r="H798" s="4" t="s">
        <v>2709</v>
      </c>
      <c r="I798" s="5" t="n">
        <v>7.32</v>
      </c>
      <c r="J798" s="7" t="n">
        <v>0</v>
      </c>
      <c r="K798" s="5" t="n">
        <v>0</v>
      </c>
      <c r="L798" s="8" t="n">
        <v>0</v>
      </c>
      <c r="M798" s="9" t="n">
        <v>0</v>
      </c>
      <c r="N798" s="10" t="n">
        <v>0.01777778</v>
      </c>
      <c r="O798" s="5" t="n">
        <v>32.53</v>
      </c>
      <c r="P798" s="11" t="n">
        <v>1.076555</v>
      </c>
      <c r="Q798" s="7" t="n">
        <v>225</v>
      </c>
      <c r="R798" s="7" t="n">
        <v>4</v>
      </c>
      <c r="S798" s="7" t="n">
        <v>0</v>
      </c>
      <c r="T798" s="7" t="n">
        <v>0</v>
      </c>
      <c r="U798" s="7" t="n">
        <v>213</v>
      </c>
      <c r="V798" s="7" t="n">
        <v>13</v>
      </c>
    </row>
    <row r="799" customFormat="false" ht="15" hidden="false" customHeight="false" outlineLevel="0" collapsed="false">
      <c r="A799" s="4" t="s">
        <v>2710</v>
      </c>
      <c r="B799" s="4" t="str">
        <f aca="false">IF(AND(I799&gt;='Read Me &amp; Markers'!$B$18,J799&gt;='Read Me &amp; Markers'!$B$19,L799&gt;='Read Me &amp; Markers'!$B$20),"A. Proven winner",IF(AND(I799&gt;='Read Me &amp; Markers'!$B$18,J799&gt;='Read Me &amp; Markers'!$B$19,L799&gt;='Read Me &amp; Markers'!$B$21),"B. Strong performer",IF(AND(I799&gt;='Read Me &amp; Markers'!$B$22,L799&gt;='Read Me &amp; Markers'!$B$23),"C. Scale workhorse",IF(AND(I799&gt;='Read Me &amp; Markers'!$B$24,I799&lt;'Read Me &amp; Markers'!$B$18,J799&gt;='Read Me &amp; Markers'!$B$25,L799&gt;='Read Me &amp; Markers'!$B$26),"D. Promising (needs more spend)",""))))</f>
        <v/>
      </c>
      <c r="C799" s="4" t="s">
        <v>129</v>
      </c>
      <c r="D799" s="4" t="s">
        <v>206</v>
      </c>
      <c r="E799" s="4" t="s">
        <v>754</v>
      </c>
      <c r="F799" s="4" t="s">
        <v>87</v>
      </c>
      <c r="G799" s="4" t="s">
        <v>208</v>
      </c>
      <c r="H799" s="4" t="s">
        <v>2711</v>
      </c>
      <c r="I799" s="5" t="n">
        <v>7.29</v>
      </c>
      <c r="J799" s="7" t="n">
        <v>0</v>
      </c>
      <c r="K799" s="5" t="n">
        <v>0</v>
      </c>
      <c r="L799" s="8" t="n">
        <v>0</v>
      </c>
      <c r="M799" s="9" t="n">
        <v>0</v>
      </c>
      <c r="N799" s="10" t="n">
        <v>0.01449275</v>
      </c>
      <c r="O799" s="5" t="n">
        <v>105.65</v>
      </c>
      <c r="P799" s="11" t="n">
        <v>1.095238</v>
      </c>
      <c r="Q799" s="7" t="n">
        <v>69</v>
      </c>
      <c r="R799" s="7" t="n">
        <v>1</v>
      </c>
      <c r="S799" s="7" t="n">
        <v>0</v>
      </c>
      <c r="T799" s="7" t="n">
        <v>0</v>
      </c>
      <c r="U799" s="7" t="n">
        <v>60</v>
      </c>
      <c r="V799" s="7" t="n">
        <v>10</v>
      </c>
    </row>
    <row r="800" customFormat="false" ht="15" hidden="false" customHeight="false" outlineLevel="0" collapsed="false">
      <c r="A800" s="4" t="s">
        <v>2712</v>
      </c>
      <c r="B800" s="4" t="str">
        <f aca="false">IF(AND(I800&gt;='Read Me &amp; Markers'!$B$18,J800&gt;='Read Me &amp; Markers'!$B$19,L800&gt;='Read Me &amp; Markers'!$B$20),"A. Proven winner",IF(AND(I800&gt;='Read Me &amp; Markers'!$B$18,J800&gt;='Read Me &amp; Markers'!$B$19,L800&gt;='Read Me &amp; Markers'!$B$21),"B. Strong performer",IF(AND(I800&gt;='Read Me &amp; Markers'!$B$22,L800&gt;='Read Me &amp; Markers'!$B$23),"C. Scale workhorse",IF(AND(I800&gt;='Read Me &amp; Markers'!$B$24,I800&lt;'Read Me &amp; Markers'!$B$18,J800&gt;='Read Me &amp; Markers'!$B$25,L800&gt;='Read Me &amp; Markers'!$B$26),"D. Promising (needs more spend)",""))))</f>
        <v/>
      </c>
      <c r="C800" s="4" t="s">
        <v>2713</v>
      </c>
      <c r="D800" s="4" t="s">
        <v>109</v>
      </c>
      <c r="E800" s="4" t="s">
        <v>2714</v>
      </c>
      <c r="F800" s="4" t="s">
        <v>111</v>
      </c>
      <c r="G800" s="4" t="s">
        <v>286</v>
      </c>
      <c r="H800" s="4" t="s">
        <v>2715</v>
      </c>
      <c r="I800" s="5" t="n">
        <v>7.27</v>
      </c>
      <c r="J800" s="7" t="n">
        <v>0</v>
      </c>
      <c r="K800" s="5" t="n">
        <v>0</v>
      </c>
      <c r="L800" s="8" t="n">
        <v>0</v>
      </c>
      <c r="M800" s="9" t="n">
        <v>0</v>
      </c>
      <c r="N800" s="10" t="n">
        <v>0</v>
      </c>
      <c r="O800" s="5" t="n">
        <v>75.73</v>
      </c>
      <c r="P800" s="11" t="n">
        <v>1.315068</v>
      </c>
      <c r="Q800" s="7" t="n">
        <v>96</v>
      </c>
      <c r="R800" s="7" t="n">
        <v>0</v>
      </c>
      <c r="S800" s="7" t="n">
        <v>0</v>
      </c>
      <c r="T800" s="7" t="n">
        <v>0</v>
      </c>
      <c r="U800" s="7" t="n">
        <v>74</v>
      </c>
      <c r="V800" s="7" t="n">
        <v>11</v>
      </c>
    </row>
    <row r="801" customFormat="false" ht="15" hidden="false" customHeight="false" outlineLevel="0" collapsed="false">
      <c r="A801" s="4" t="s">
        <v>2716</v>
      </c>
      <c r="B801" s="4" t="str">
        <f aca="false">IF(AND(I801&gt;='Read Me &amp; Markers'!$B$18,J801&gt;='Read Me &amp; Markers'!$B$19,L801&gt;='Read Me &amp; Markers'!$B$20),"A. Proven winner",IF(AND(I801&gt;='Read Me &amp; Markers'!$B$18,J801&gt;='Read Me &amp; Markers'!$B$19,L801&gt;='Read Me &amp; Markers'!$B$21),"B. Strong performer",IF(AND(I801&gt;='Read Me &amp; Markers'!$B$22,L801&gt;='Read Me &amp; Markers'!$B$23),"C. Scale workhorse",IF(AND(I801&gt;='Read Me &amp; Markers'!$B$24,I801&lt;'Read Me &amp; Markers'!$B$18,J801&gt;='Read Me &amp; Markers'!$B$25,L801&gt;='Read Me &amp; Markers'!$B$26),"D. Promising (needs more spend)",""))))</f>
        <v/>
      </c>
      <c r="C801" s="4" t="s">
        <v>2717</v>
      </c>
      <c r="D801" s="4" t="s">
        <v>109</v>
      </c>
      <c r="E801" s="4" t="s">
        <v>429</v>
      </c>
      <c r="F801" s="4" t="s">
        <v>111</v>
      </c>
      <c r="G801" s="4" t="s">
        <v>431</v>
      </c>
      <c r="H801" s="4" t="s">
        <v>2718</v>
      </c>
      <c r="I801" s="5" t="n">
        <v>7.24</v>
      </c>
      <c r="J801" s="7" t="n">
        <v>0</v>
      </c>
      <c r="K801" s="5" t="n">
        <v>0</v>
      </c>
      <c r="L801" s="8" t="n">
        <v>0</v>
      </c>
      <c r="M801" s="9" t="n">
        <v>0</v>
      </c>
      <c r="N801" s="10" t="n">
        <v>0.02</v>
      </c>
      <c r="O801" s="5" t="n">
        <v>72.4</v>
      </c>
      <c r="P801" s="11" t="n">
        <v>1.098901</v>
      </c>
      <c r="Q801" s="7" t="n">
        <v>100</v>
      </c>
      <c r="R801" s="7" t="n">
        <v>2</v>
      </c>
      <c r="S801" s="7" t="n">
        <v>0</v>
      </c>
      <c r="T801" s="7" t="n">
        <v>0</v>
      </c>
      <c r="U801" s="7" t="n">
        <v>95</v>
      </c>
      <c r="V801" s="7" t="n">
        <v>15</v>
      </c>
    </row>
    <row r="802" customFormat="false" ht="15" hidden="false" customHeight="false" outlineLevel="0" collapsed="false">
      <c r="A802" s="4" t="s">
        <v>2719</v>
      </c>
      <c r="B802" s="4" t="str">
        <f aca="false">IF(AND(I802&gt;='Read Me &amp; Markers'!$B$18,J802&gt;='Read Me &amp; Markers'!$B$19,L802&gt;='Read Me &amp; Markers'!$B$20),"A. Proven winner",IF(AND(I802&gt;='Read Me &amp; Markers'!$B$18,J802&gt;='Read Me &amp; Markers'!$B$19,L802&gt;='Read Me &amp; Markers'!$B$21),"B. Strong performer",IF(AND(I802&gt;='Read Me &amp; Markers'!$B$22,L802&gt;='Read Me &amp; Markers'!$B$23),"C. Scale workhorse",IF(AND(I802&gt;='Read Me &amp; Markers'!$B$24,I802&lt;'Read Me &amp; Markers'!$B$18,J802&gt;='Read Me &amp; Markers'!$B$25,L802&gt;='Read Me &amp; Markers'!$B$26),"D. Promising (needs more spend)",""))))</f>
        <v/>
      </c>
      <c r="C802" s="4" t="s">
        <v>2720</v>
      </c>
      <c r="D802" s="4" t="s">
        <v>109</v>
      </c>
      <c r="E802" s="4" t="s">
        <v>482</v>
      </c>
      <c r="F802" s="4" t="s">
        <v>111</v>
      </c>
      <c r="G802" s="4" t="s">
        <v>483</v>
      </c>
      <c r="H802" s="4" t="s">
        <v>2721</v>
      </c>
      <c r="I802" s="5" t="n">
        <v>7.23</v>
      </c>
      <c r="J802" s="7" t="n">
        <v>0</v>
      </c>
      <c r="K802" s="5" t="n">
        <v>0</v>
      </c>
      <c r="L802" s="8" t="n">
        <v>0</v>
      </c>
      <c r="M802" s="9" t="n">
        <v>0</v>
      </c>
      <c r="N802" s="10" t="n">
        <v>0.02083333</v>
      </c>
      <c r="O802" s="5" t="n">
        <v>150.63</v>
      </c>
      <c r="P802" s="11" t="n">
        <v>1.2</v>
      </c>
      <c r="Q802" s="7" t="n">
        <v>48</v>
      </c>
      <c r="R802" s="7" t="n">
        <v>1</v>
      </c>
      <c r="S802" s="7" t="n">
        <v>0</v>
      </c>
      <c r="T802" s="7" t="n">
        <v>0</v>
      </c>
      <c r="U802" s="7" t="n">
        <v>46</v>
      </c>
      <c r="V802" s="7" t="n">
        <v>16</v>
      </c>
    </row>
    <row r="803" customFormat="false" ht="15" hidden="false" customHeight="false" outlineLevel="0" collapsed="false">
      <c r="A803" s="4" t="s">
        <v>2722</v>
      </c>
      <c r="B803" s="4" t="str">
        <f aca="false">IF(AND(I803&gt;='Read Me &amp; Markers'!$B$18,J803&gt;='Read Me &amp; Markers'!$B$19,L803&gt;='Read Me &amp; Markers'!$B$20),"A. Proven winner",IF(AND(I803&gt;='Read Me &amp; Markers'!$B$18,J803&gt;='Read Me &amp; Markers'!$B$19,L803&gt;='Read Me &amp; Markers'!$B$21),"B. Strong performer",IF(AND(I803&gt;='Read Me &amp; Markers'!$B$22,L803&gt;='Read Me &amp; Markers'!$B$23),"C. Scale workhorse",IF(AND(I803&gt;='Read Me &amp; Markers'!$B$24,I803&lt;'Read Me &amp; Markers'!$B$18,J803&gt;='Read Me &amp; Markers'!$B$25,L803&gt;='Read Me &amp; Markers'!$B$26),"D. Promising (needs more spend)",""))))</f>
        <v/>
      </c>
      <c r="C803" s="4" t="s">
        <v>129</v>
      </c>
      <c r="D803" s="4" t="s">
        <v>154</v>
      </c>
      <c r="E803" s="4" t="s">
        <v>2723</v>
      </c>
      <c r="F803" s="4" t="s">
        <v>87</v>
      </c>
      <c r="G803" s="4" t="s">
        <v>1093</v>
      </c>
      <c r="H803" s="4" t="s">
        <v>2724</v>
      </c>
      <c r="I803" s="5" t="n">
        <v>7.18</v>
      </c>
      <c r="J803" s="7" t="n">
        <v>0</v>
      </c>
      <c r="K803" s="5" t="n">
        <v>0</v>
      </c>
      <c r="L803" s="8" t="n">
        <v>0</v>
      </c>
      <c r="M803" s="9" t="n">
        <v>0</v>
      </c>
      <c r="N803" s="10" t="n">
        <v>0.03333333</v>
      </c>
      <c r="O803" s="5" t="n">
        <v>79.78</v>
      </c>
      <c r="P803" s="11" t="n">
        <v>1.153846</v>
      </c>
      <c r="Q803" s="7" t="n">
        <v>90</v>
      </c>
      <c r="R803" s="7" t="n">
        <v>3</v>
      </c>
      <c r="S803" s="7" t="n">
        <v>1</v>
      </c>
      <c r="T803" s="7" t="n">
        <v>1</v>
      </c>
      <c r="U803" s="7" t="n">
        <v>62</v>
      </c>
      <c r="V803" s="7" t="n">
        <v>8</v>
      </c>
    </row>
    <row r="804" customFormat="false" ht="15" hidden="false" customHeight="false" outlineLevel="0" collapsed="false">
      <c r="A804" s="4" t="s">
        <v>2725</v>
      </c>
      <c r="B804" s="4" t="str">
        <f aca="false">IF(AND(I804&gt;='Read Me &amp; Markers'!$B$18,J804&gt;='Read Me &amp; Markers'!$B$19,L804&gt;='Read Me &amp; Markers'!$B$20),"A. Proven winner",IF(AND(I804&gt;='Read Me &amp; Markers'!$B$18,J804&gt;='Read Me &amp; Markers'!$B$19,L804&gt;='Read Me &amp; Markers'!$B$21),"B. Strong performer",IF(AND(I804&gt;='Read Me &amp; Markers'!$B$22,L804&gt;='Read Me &amp; Markers'!$B$23),"C. Scale workhorse",IF(AND(I804&gt;='Read Me &amp; Markers'!$B$24,I804&lt;'Read Me &amp; Markers'!$B$18,J804&gt;='Read Me &amp; Markers'!$B$25,L804&gt;='Read Me &amp; Markers'!$B$26),"D. Promising (needs more spend)",""))))</f>
        <v/>
      </c>
      <c r="C804" s="4" t="s">
        <v>2726</v>
      </c>
      <c r="D804" s="4" t="s">
        <v>100</v>
      </c>
      <c r="E804" s="4" t="s">
        <v>2727</v>
      </c>
      <c r="F804" s="4" t="s">
        <v>253</v>
      </c>
      <c r="G804" s="4" t="s">
        <v>984</v>
      </c>
      <c r="H804" s="4" t="s">
        <v>2728</v>
      </c>
      <c r="I804" s="5" t="n">
        <v>7.16</v>
      </c>
      <c r="J804" s="7" t="n">
        <v>0</v>
      </c>
      <c r="K804" s="5" t="n">
        <v>0</v>
      </c>
      <c r="L804" s="8" t="n">
        <v>0</v>
      </c>
      <c r="M804" s="9" t="n">
        <v>0</v>
      </c>
      <c r="N804" s="10" t="n">
        <v>0.03508772</v>
      </c>
      <c r="O804" s="5" t="n">
        <v>125.61</v>
      </c>
      <c r="P804" s="11" t="n">
        <v>1.163265</v>
      </c>
      <c r="Q804" s="7" t="n">
        <v>57</v>
      </c>
      <c r="R804" s="7" t="n">
        <v>2</v>
      </c>
      <c r="S804" s="7" t="n">
        <v>0</v>
      </c>
      <c r="T804" s="7" t="n">
        <v>0</v>
      </c>
      <c r="U804" s="7" t="n">
        <v>0</v>
      </c>
      <c r="V804" s="7" t="n">
        <v>0</v>
      </c>
    </row>
    <row r="805" customFormat="false" ht="15" hidden="false" customHeight="false" outlineLevel="0" collapsed="false">
      <c r="A805" s="4" t="s">
        <v>2729</v>
      </c>
      <c r="B805" s="4" t="str">
        <f aca="false">IF(AND(I805&gt;='Read Me &amp; Markers'!$B$18,J805&gt;='Read Me &amp; Markers'!$B$19,L805&gt;='Read Me &amp; Markers'!$B$20),"A. Proven winner",IF(AND(I805&gt;='Read Me &amp; Markers'!$B$18,J805&gt;='Read Me &amp; Markers'!$B$19,L805&gt;='Read Me &amp; Markers'!$B$21),"B. Strong performer",IF(AND(I805&gt;='Read Me &amp; Markers'!$B$22,L805&gt;='Read Me &amp; Markers'!$B$23),"C. Scale workhorse",IF(AND(I805&gt;='Read Me &amp; Markers'!$B$24,I805&lt;'Read Me &amp; Markers'!$B$18,J805&gt;='Read Me &amp; Markers'!$B$25,L805&gt;='Read Me &amp; Markers'!$B$26),"D. Promising (needs more spend)",""))))</f>
        <v/>
      </c>
      <c r="C805" s="4" t="s">
        <v>2730</v>
      </c>
      <c r="D805" s="4" t="s">
        <v>109</v>
      </c>
      <c r="E805" s="4" t="s">
        <v>435</v>
      </c>
      <c r="F805" s="4" t="s">
        <v>111</v>
      </c>
      <c r="G805" s="4" t="s">
        <v>500</v>
      </c>
      <c r="H805" s="4" t="s">
        <v>2731</v>
      </c>
      <c r="I805" s="5" t="n">
        <v>6.93</v>
      </c>
      <c r="J805" s="7" t="n">
        <v>0</v>
      </c>
      <c r="K805" s="5" t="n">
        <v>0</v>
      </c>
      <c r="L805" s="8" t="n">
        <v>0</v>
      </c>
      <c r="M805" s="9" t="n">
        <v>0</v>
      </c>
      <c r="N805" s="10" t="n">
        <v>0.015625</v>
      </c>
      <c r="O805" s="5" t="n">
        <v>108.28</v>
      </c>
      <c r="P805" s="11" t="n">
        <v>1.163636</v>
      </c>
      <c r="Q805" s="7" t="n">
        <v>64</v>
      </c>
      <c r="R805" s="7" t="n">
        <v>1</v>
      </c>
      <c r="S805" s="7" t="n">
        <v>0</v>
      </c>
      <c r="T805" s="7" t="n">
        <v>0</v>
      </c>
      <c r="U805" s="7" t="n">
        <v>62</v>
      </c>
      <c r="V805" s="7" t="n">
        <v>6</v>
      </c>
    </row>
    <row r="806" customFormat="false" ht="15" hidden="false" customHeight="false" outlineLevel="0" collapsed="false">
      <c r="A806" s="4" t="s">
        <v>2732</v>
      </c>
      <c r="B806" s="4" t="str">
        <f aca="false">IF(AND(I806&gt;='Read Me &amp; Markers'!$B$18,J806&gt;='Read Me &amp; Markers'!$B$19,L806&gt;='Read Me &amp; Markers'!$B$20),"A. Proven winner",IF(AND(I806&gt;='Read Me &amp; Markers'!$B$18,J806&gt;='Read Me &amp; Markers'!$B$19,L806&gt;='Read Me &amp; Markers'!$B$21),"B. Strong performer",IF(AND(I806&gt;='Read Me &amp; Markers'!$B$22,L806&gt;='Read Me &amp; Markers'!$B$23),"C. Scale workhorse",IF(AND(I806&gt;='Read Me &amp; Markers'!$B$24,I806&lt;'Read Me &amp; Markers'!$B$18,J806&gt;='Read Me &amp; Markers'!$B$25,L806&gt;='Read Me &amp; Markers'!$B$26),"D. Promising (needs more spend)",""))))</f>
        <v/>
      </c>
      <c r="C806" s="4" t="s">
        <v>121</v>
      </c>
      <c r="D806" s="4" t="s">
        <v>100</v>
      </c>
      <c r="E806" s="4" t="s">
        <v>1332</v>
      </c>
      <c r="F806" s="4" t="s">
        <v>253</v>
      </c>
      <c r="G806" s="4" t="s">
        <v>254</v>
      </c>
      <c r="H806" s="4" t="s">
        <v>2733</v>
      </c>
      <c r="I806" s="5" t="n">
        <v>6.92</v>
      </c>
      <c r="J806" s="7" t="n">
        <v>0</v>
      </c>
      <c r="K806" s="5" t="n">
        <v>0</v>
      </c>
      <c r="L806" s="8" t="n">
        <v>0</v>
      </c>
      <c r="M806" s="9" t="n">
        <v>0</v>
      </c>
      <c r="N806" s="10" t="n">
        <v>0.10869565</v>
      </c>
      <c r="O806" s="5" t="n">
        <v>150.43</v>
      </c>
      <c r="P806" s="11" t="n">
        <v>1.022222</v>
      </c>
      <c r="Q806" s="7" t="n">
        <v>46</v>
      </c>
      <c r="R806" s="7" t="n">
        <v>5</v>
      </c>
      <c r="S806" s="7" t="n">
        <v>0</v>
      </c>
      <c r="T806" s="7" t="n">
        <v>2</v>
      </c>
      <c r="U806" s="7" t="n">
        <v>42</v>
      </c>
      <c r="V806" s="7" t="n">
        <v>12</v>
      </c>
    </row>
    <row r="807" customFormat="false" ht="15" hidden="false" customHeight="false" outlineLevel="0" collapsed="false">
      <c r="A807" s="4" t="s">
        <v>2734</v>
      </c>
      <c r="B807" s="4" t="str">
        <f aca="false">IF(AND(I807&gt;='Read Me &amp; Markers'!$B$18,J807&gt;='Read Me &amp; Markers'!$B$19,L807&gt;='Read Me &amp; Markers'!$B$20),"A. Proven winner",IF(AND(I807&gt;='Read Me &amp; Markers'!$B$18,J807&gt;='Read Me &amp; Markers'!$B$19,L807&gt;='Read Me &amp; Markers'!$B$21),"B. Strong performer",IF(AND(I807&gt;='Read Me &amp; Markers'!$B$22,L807&gt;='Read Me &amp; Markers'!$B$23),"C. Scale workhorse",IF(AND(I807&gt;='Read Me &amp; Markers'!$B$24,I807&lt;'Read Me &amp; Markers'!$B$18,J807&gt;='Read Me &amp; Markers'!$B$25,L807&gt;='Read Me &amp; Markers'!$B$26),"D. Promising (needs more spend)",""))))</f>
        <v/>
      </c>
      <c r="C807" s="4" t="s">
        <v>2735</v>
      </c>
      <c r="D807" s="4" t="s">
        <v>100</v>
      </c>
      <c r="E807" s="4" t="s">
        <v>2727</v>
      </c>
      <c r="F807" s="4" t="s">
        <v>253</v>
      </c>
      <c r="G807" s="4" t="s">
        <v>984</v>
      </c>
      <c r="H807" s="4" t="s">
        <v>2736</v>
      </c>
      <c r="I807" s="5" t="n">
        <v>6.91</v>
      </c>
      <c r="J807" s="7" t="n">
        <v>0</v>
      </c>
      <c r="K807" s="5" t="n">
        <v>0</v>
      </c>
      <c r="L807" s="8" t="n">
        <v>0</v>
      </c>
      <c r="M807" s="9" t="n">
        <v>0</v>
      </c>
      <c r="N807" s="10" t="n">
        <v>0.02666667</v>
      </c>
      <c r="O807" s="5" t="n">
        <v>92.13</v>
      </c>
      <c r="P807" s="11" t="n">
        <v>1.153846</v>
      </c>
      <c r="Q807" s="7" t="n">
        <v>75</v>
      </c>
      <c r="R807" s="7" t="n">
        <v>2</v>
      </c>
      <c r="S807" s="7" t="n">
        <v>0</v>
      </c>
      <c r="T807" s="7" t="n">
        <v>0</v>
      </c>
      <c r="U807" s="7" t="n">
        <v>0</v>
      </c>
      <c r="V807" s="7" t="n">
        <v>0</v>
      </c>
    </row>
    <row r="808" customFormat="false" ht="15" hidden="false" customHeight="false" outlineLevel="0" collapsed="false">
      <c r="A808" s="4" t="s">
        <v>2737</v>
      </c>
      <c r="B808" s="4" t="str">
        <f aca="false">IF(AND(I808&gt;='Read Me &amp; Markers'!$B$18,J808&gt;='Read Me &amp; Markers'!$B$19,L808&gt;='Read Me &amp; Markers'!$B$20),"A. Proven winner",IF(AND(I808&gt;='Read Me &amp; Markers'!$B$18,J808&gt;='Read Me &amp; Markers'!$B$19,L808&gt;='Read Me &amp; Markers'!$B$21),"B. Strong performer",IF(AND(I808&gt;='Read Me &amp; Markers'!$B$22,L808&gt;='Read Me &amp; Markers'!$B$23),"C. Scale workhorse",IF(AND(I808&gt;='Read Me &amp; Markers'!$B$24,I808&lt;'Read Me &amp; Markers'!$B$18,J808&gt;='Read Me &amp; Markers'!$B$25,L808&gt;='Read Me &amp; Markers'!$B$26),"D. Promising (needs more spend)",""))))</f>
        <v/>
      </c>
      <c r="C808" s="4" t="s">
        <v>2738</v>
      </c>
      <c r="D808" s="4" t="s">
        <v>100</v>
      </c>
      <c r="E808" s="4" t="s">
        <v>1634</v>
      </c>
      <c r="F808" s="4" t="s">
        <v>87</v>
      </c>
      <c r="G808" s="4" t="s">
        <v>310</v>
      </c>
      <c r="H808" s="4" t="s">
        <v>2739</v>
      </c>
      <c r="I808" s="5" t="n">
        <v>6.88</v>
      </c>
      <c r="J808" s="7" t="n">
        <v>0</v>
      </c>
      <c r="K808" s="5" t="n">
        <v>0</v>
      </c>
      <c r="L808" s="8" t="n">
        <v>0</v>
      </c>
      <c r="M808" s="9" t="n">
        <v>0</v>
      </c>
      <c r="N808" s="10" t="n">
        <v>0.03030303</v>
      </c>
      <c r="O808" s="5" t="n">
        <v>69.49</v>
      </c>
      <c r="P808" s="11" t="n">
        <v>1.164706</v>
      </c>
      <c r="Q808" s="7" t="n">
        <v>99</v>
      </c>
      <c r="R808" s="7" t="n">
        <v>3</v>
      </c>
      <c r="S808" s="7" t="n">
        <v>0</v>
      </c>
      <c r="T808" s="7" t="n">
        <v>0</v>
      </c>
      <c r="U808" s="7" t="n">
        <v>77</v>
      </c>
      <c r="V808" s="7" t="n">
        <v>3</v>
      </c>
    </row>
    <row r="809" customFormat="false" ht="15" hidden="false" customHeight="false" outlineLevel="0" collapsed="false">
      <c r="A809" s="4" t="s">
        <v>2740</v>
      </c>
      <c r="B809" s="4" t="str">
        <f aca="false">IF(AND(I809&gt;='Read Me &amp; Markers'!$B$18,J809&gt;='Read Me &amp; Markers'!$B$19,L809&gt;='Read Me &amp; Markers'!$B$20),"A. Proven winner",IF(AND(I809&gt;='Read Me &amp; Markers'!$B$18,J809&gt;='Read Me &amp; Markers'!$B$19,L809&gt;='Read Me &amp; Markers'!$B$21),"B. Strong performer",IF(AND(I809&gt;='Read Me &amp; Markers'!$B$22,L809&gt;='Read Me &amp; Markers'!$B$23),"C. Scale workhorse",IF(AND(I809&gt;='Read Me &amp; Markers'!$B$24,I809&lt;'Read Me &amp; Markers'!$B$18,J809&gt;='Read Me &amp; Markers'!$B$25,L809&gt;='Read Me &amp; Markers'!$B$26),"D. Promising (needs more spend)",""))))</f>
        <v/>
      </c>
      <c r="C809" s="4" t="s">
        <v>2741</v>
      </c>
      <c r="D809" s="4" t="s">
        <v>109</v>
      </c>
      <c r="E809" s="4" t="s">
        <v>2573</v>
      </c>
      <c r="F809" s="4" t="s">
        <v>111</v>
      </c>
      <c r="G809" s="4" t="s">
        <v>2574</v>
      </c>
      <c r="H809" s="4" t="s">
        <v>2742</v>
      </c>
      <c r="I809" s="5" t="n">
        <v>6.88</v>
      </c>
      <c r="J809" s="7" t="n">
        <v>0</v>
      </c>
      <c r="K809" s="5" t="n">
        <v>0</v>
      </c>
      <c r="L809" s="8" t="n">
        <v>0</v>
      </c>
      <c r="M809" s="9" t="n">
        <v>0</v>
      </c>
      <c r="N809" s="10" t="n">
        <v>0.09836066</v>
      </c>
      <c r="O809" s="5" t="n">
        <v>112.79</v>
      </c>
      <c r="P809" s="11" t="n">
        <v>1.173077</v>
      </c>
      <c r="Q809" s="7" t="n">
        <v>61</v>
      </c>
      <c r="R809" s="7" t="n">
        <v>6</v>
      </c>
      <c r="S809" s="7" t="n">
        <v>1</v>
      </c>
      <c r="T809" s="7" t="n">
        <v>0</v>
      </c>
      <c r="U809" s="7" t="n">
        <v>53</v>
      </c>
      <c r="V809" s="7" t="n">
        <v>15</v>
      </c>
    </row>
    <row r="810" customFormat="false" ht="15" hidden="false" customHeight="false" outlineLevel="0" collapsed="false">
      <c r="A810" s="4" t="s">
        <v>2743</v>
      </c>
      <c r="B810" s="4" t="str">
        <f aca="false">IF(AND(I810&gt;='Read Me &amp; Markers'!$B$18,J810&gt;='Read Me &amp; Markers'!$B$19,L810&gt;='Read Me &amp; Markers'!$B$20),"A. Proven winner",IF(AND(I810&gt;='Read Me &amp; Markers'!$B$18,J810&gt;='Read Me &amp; Markers'!$B$19,L810&gt;='Read Me &amp; Markers'!$B$21),"B. Strong performer",IF(AND(I810&gt;='Read Me &amp; Markers'!$B$22,L810&gt;='Read Me &amp; Markers'!$B$23),"C. Scale workhorse",IF(AND(I810&gt;='Read Me &amp; Markers'!$B$24,I810&lt;'Read Me &amp; Markers'!$B$18,J810&gt;='Read Me &amp; Markers'!$B$25,L810&gt;='Read Me &amp; Markers'!$B$26),"D. Promising (needs more spend)",""))))</f>
        <v/>
      </c>
      <c r="C810" s="4" t="s">
        <v>121</v>
      </c>
      <c r="D810" s="4" t="s">
        <v>100</v>
      </c>
      <c r="E810" s="4" t="s">
        <v>2589</v>
      </c>
      <c r="F810" s="4" t="s">
        <v>87</v>
      </c>
      <c r="G810" s="4" t="s">
        <v>279</v>
      </c>
      <c r="H810" s="4" t="s">
        <v>2744</v>
      </c>
      <c r="I810" s="5" t="n">
        <v>6.78</v>
      </c>
      <c r="J810" s="7" t="n">
        <v>0</v>
      </c>
      <c r="K810" s="5" t="n">
        <v>0</v>
      </c>
      <c r="L810" s="8" t="n">
        <v>0</v>
      </c>
      <c r="M810" s="9" t="n">
        <v>0</v>
      </c>
      <c r="N810" s="10" t="n">
        <v>0.01136364</v>
      </c>
      <c r="O810" s="5" t="n">
        <v>77.05</v>
      </c>
      <c r="P810" s="11" t="n">
        <v>1.023256</v>
      </c>
      <c r="Q810" s="7" t="n">
        <v>88</v>
      </c>
      <c r="R810" s="7" t="n">
        <v>1</v>
      </c>
      <c r="S810" s="7" t="n">
        <v>0</v>
      </c>
      <c r="T810" s="7" t="n">
        <v>0</v>
      </c>
      <c r="U810" s="7" t="n">
        <v>79</v>
      </c>
      <c r="V810" s="7" t="n">
        <v>10</v>
      </c>
    </row>
    <row r="811" customFormat="false" ht="15" hidden="false" customHeight="false" outlineLevel="0" collapsed="false">
      <c r="A811" s="4" t="s">
        <v>2745</v>
      </c>
      <c r="B811" s="4" t="str">
        <f aca="false">IF(AND(I811&gt;='Read Me &amp; Markers'!$B$18,J811&gt;='Read Me &amp; Markers'!$B$19,L811&gt;='Read Me &amp; Markers'!$B$20),"A. Proven winner",IF(AND(I811&gt;='Read Me &amp; Markers'!$B$18,J811&gt;='Read Me &amp; Markers'!$B$19,L811&gt;='Read Me &amp; Markers'!$B$21),"B. Strong performer",IF(AND(I811&gt;='Read Me &amp; Markers'!$B$22,L811&gt;='Read Me &amp; Markers'!$B$23),"C. Scale workhorse",IF(AND(I811&gt;='Read Me &amp; Markers'!$B$24,I811&lt;'Read Me &amp; Markers'!$B$18,J811&gt;='Read Me &amp; Markers'!$B$25,L811&gt;='Read Me &amp; Markers'!$B$26),"D. Promising (needs more spend)",""))))</f>
        <v/>
      </c>
      <c r="C811" s="4" t="s">
        <v>169</v>
      </c>
      <c r="D811" s="4" t="s">
        <v>206</v>
      </c>
      <c r="E811" s="4" t="s">
        <v>252</v>
      </c>
      <c r="F811" s="4" t="s">
        <v>253</v>
      </c>
      <c r="G811" s="4" t="s">
        <v>254</v>
      </c>
      <c r="H811" s="4" t="s">
        <v>2746</v>
      </c>
      <c r="I811" s="5" t="n">
        <v>6.77</v>
      </c>
      <c r="J811" s="7" t="n">
        <v>0</v>
      </c>
      <c r="K811" s="5" t="n">
        <v>0</v>
      </c>
      <c r="L811" s="8" t="n">
        <v>0</v>
      </c>
      <c r="M811" s="9" t="n">
        <v>0</v>
      </c>
      <c r="N811" s="10" t="n">
        <v>0.04255319</v>
      </c>
      <c r="O811" s="5" t="n">
        <v>144.04</v>
      </c>
      <c r="P811" s="11" t="n">
        <v>1.044444</v>
      </c>
      <c r="Q811" s="7" t="n">
        <v>47</v>
      </c>
      <c r="R811" s="7" t="n">
        <v>2</v>
      </c>
      <c r="S811" s="7" t="n">
        <v>0</v>
      </c>
      <c r="T811" s="7" t="n">
        <v>0</v>
      </c>
      <c r="U811" s="7" t="n">
        <v>44</v>
      </c>
      <c r="V811" s="7" t="n">
        <v>21</v>
      </c>
    </row>
    <row r="812" customFormat="false" ht="15" hidden="false" customHeight="false" outlineLevel="0" collapsed="false">
      <c r="A812" s="4" t="s">
        <v>2747</v>
      </c>
      <c r="B812" s="4" t="str">
        <f aca="false">IF(AND(I812&gt;='Read Me &amp; Markers'!$B$18,J812&gt;='Read Me &amp; Markers'!$B$19,L812&gt;='Read Me &amp; Markers'!$B$20),"A. Proven winner",IF(AND(I812&gt;='Read Me &amp; Markers'!$B$18,J812&gt;='Read Me &amp; Markers'!$B$19,L812&gt;='Read Me &amp; Markers'!$B$21),"B. Strong performer",IF(AND(I812&gt;='Read Me &amp; Markers'!$B$22,L812&gt;='Read Me &amp; Markers'!$B$23),"C. Scale workhorse",IF(AND(I812&gt;='Read Me &amp; Markers'!$B$24,I812&lt;'Read Me &amp; Markers'!$B$18,J812&gt;='Read Me &amp; Markers'!$B$25,L812&gt;='Read Me &amp; Markers'!$B$26),"D. Promising (needs more spend)",""))))</f>
        <v/>
      </c>
      <c r="C812" s="4" t="s">
        <v>321</v>
      </c>
      <c r="D812" s="4" t="s">
        <v>100</v>
      </c>
      <c r="E812" s="4" t="s">
        <v>1142</v>
      </c>
      <c r="F812" s="4" t="s">
        <v>87</v>
      </c>
      <c r="G812" s="4" t="s">
        <v>310</v>
      </c>
      <c r="H812" s="4" t="s">
        <v>2748</v>
      </c>
      <c r="I812" s="5" t="n">
        <v>6.75</v>
      </c>
      <c r="J812" s="7" t="n">
        <v>0</v>
      </c>
      <c r="K812" s="5" t="n">
        <v>0</v>
      </c>
      <c r="L812" s="8" t="n">
        <v>0</v>
      </c>
      <c r="M812" s="9" t="n">
        <v>0</v>
      </c>
      <c r="N812" s="10" t="n">
        <v>0.06</v>
      </c>
      <c r="O812" s="5" t="n">
        <v>135</v>
      </c>
      <c r="P812" s="11" t="n">
        <v>1.086957</v>
      </c>
      <c r="Q812" s="7" t="n">
        <v>50</v>
      </c>
      <c r="R812" s="7" t="n">
        <v>3</v>
      </c>
      <c r="S812" s="7" t="n">
        <v>0</v>
      </c>
      <c r="T812" s="7" t="n">
        <v>0</v>
      </c>
      <c r="U812" s="7" t="n">
        <v>47</v>
      </c>
      <c r="V812" s="7" t="n">
        <v>3</v>
      </c>
    </row>
    <row r="813" customFormat="false" ht="15" hidden="false" customHeight="false" outlineLevel="0" collapsed="false">
      <c r="A813" s="4" t="s">
        <v>2749</v>
      </c>
      <c r="B813" s="4" t="str">
        <f aca="false">IF(AND(I813&gt;='Read Me &amp; Markers'!$B$18,J813&gt;='Read Me &amp; Markers'!$B$19,L813&gt;='Read Me &amp; Markers'!$B$20),"A. Proven winner",IF(AND(I813&gt;='Read Me &amp; Markers'!$B$18,J813&gt;='Read Me &amp; Markers'!$B$19,L813&gt;='Read Me &amp; Markers'!$B$21),"B. Strong performer",IF(AND(I813&gt;='Read Me &amp; Markers'!$B$22,L813&gt;='Read Me &amp; Markers'!$B$23),"C. Scale workhorse",IF(AND(I813&gt;='Read Me &amp; Markers'!$B$24,I813&lt;'Read Me &amp; Markers'!$B$18,J813&gt;='Read Me &amp; Markers'!$B$25,L813&gt;='Read Me &amp; Markers'!$B$26),"D. Promising (needs more spend)",""))))</f>
        <v/>
      </c>
      <c r="C813" s="4" t="s">
        <v>169</v>
      </c>
      <c r="D813" s="4" t="s">
        <v>100</v>
      </c>
      <c r="E813" s="4" t="s">
        <v>708</v>
      </c>
      <c r="F813" s="4" t="s">
        <v>87</v>
      </c>
      <c r="G813" s="4" t="s">
        <v>294</v>
      </c>
      <c r="H813" s="4" t="s">
        <v>2750</v>
      </c>
      <c r="I813" s="5" t="n">
        <v>6.69</v>
      </c>
      <c r="J813" s="7" t="n">
        <v>0</v>
      </c>
      <c r="K813" s="5" t="n">
        <v>0</v>
      </c>
      <c r="L813" s="8" t="n">
        <v>0</v>
      </c>
      <c r="M813" s="9" t="n">
        <v>0</v>
      </c>
      <c r="N813" s="10" t="n">
        <v>0.01762115</v>
      </c>
      <c r="O813" s="5" t="n">
        <v>29.47</v>
      </c>
      <c r="P813" s="11" t="n">
        <v>1.289773</v>
      </c>
      <c r="Q813" s="7" t="n">
        <v>227</v>
      </c>
      <c r="R813" s="7" t="n">
        <v>4</v>
      </c>
      <c r="S813" s="7" t="n">
        <v>0</v>
      </c>
      <c r="T813" s="7" t="n">
        <v>0</v>
      </c>
      <c r="U813" s="7" t="n">
        <v>159</v>
      </c>
      <c r="V813" s="7" t="n">
        <v>3</v>
      </c>
    </row>
    <row r="814" customFormat="false" ht="15" hidden="false" customHeight="false" outlineLevel="0" collapsed="false">
      <c r="A814" s="4" t="s">
        <v>2751</v>
      </c>
      <c r="B814" s="4" t="str">
        <f aca="false">IF(AND(I814&gt;='Read Me &amp; Markers'!$B$18,J814&gt;='Read Me &amp; Markers'!$B$19,L814&gt;='Read Me &amp; Markers'!$B$20),"A. Proven winner",IF(AND(I814&gt;='Read Me &amp; Markers'!$B$18,J814&gt;='Read Me &amp; Markers'!$B$19,L814&gt;='Read Me &amp; Markers'!$B$21),"B. Strong performer",IF(AND(I814&gt;='Read Me &amp; Markers'!$B$22,L814&gt;='Read Me &amp; Markers'!$B$23),"C. Scale workhorse",IF(AND(I814&gt;='Read Me &amp; Markers'!$B$24,I814&lt;'Read Me &amp; Markers'!$B$18,J814&gt;='Read Me &amp; Markers'!$B$25,L814&gt;='Read Me &amp; Markers'!$B$26),"D. Promising (needs more spend)",""))))</f>
        <v/>
      </c>
      <c r="C814" s="4" t="s">
        <v>129</v>
      </c>
      <c r="D814" s="4" t="s">
        <v>100</v>
      </c>
      <c r="E814" s="4" t="s">
        <v>2521</v>
      </c>
      <c r="F814" s="4" t="s">
        <v>230</v>
      </c>
      <c r="G814" s="4" t="s">
        <v>254</v>
      </c>
      <c r="H814" s="4" t="s">
        <v>2752</v>
      </c>
      <c r="I814" s="5" t="n">
        <v>6.61</v>
      </c>
      <c r="J814" s="7" t="n">
        <v>0</v>
      </c>
      <c r="K814" s="5" t="n">
        <v>0</v>
      </c>
      <c r="L814" s="8" t="n">
        <v>0</v>
      </c>
      <c r="M814" s="9" t="n">
        <v>0</v>
      </c>
      <c r="N814" s="10" t="n">
        <v>0.03389831</v>
      </c>
      <c r="O814" s="5" t="n">
        <v>112.03</v>
      </c>
      <c r="P814" s="11" t="n">
        <v>1.072727</v>
      </c>
      <c r="Q814" s="7" t="n">
        <v>59</v>
      </c>
      <c r="R814" s="7" t="n">
        <v>2</v>
      </c>
      <c r="S814" s="7" t="n">
        <v>0</v>
      </c>
      <c r="T814" s="7" t="n">
        <v>0</v>
      </c>
      <c r="U814" s="7" t="n">
        <v>43</v>
      </c>
      <c r="V814" s="7" t="n">
        <v>5</v>
      </c>
    </row>
    <row r="815" customFormat="false" ht="15" hidden="false" customHeight="false" outlineLevel="0" collapsed="false">
      <c r="A815" s="4" t="s">
        <v>2753</v>
      </c>
      <c r="B815" s="4" t="str">
        <f aca="false">IF(AND(I815&gt;='Read Me &amp; Markers'!$B$18,J815&gt;='Read Me &amp; Markers'!$B$19,L815&gt;='Read Me &amp; Markers'!$B$20),"A. Proven winner",IF(AND(I815&gt;='Read Me &amp; Markers'!$B$18,J815&gt;='Read Me &amp; Markers'!$B$19,L815&gt;='Read Me &amp; Markers'!$B$21),"B. Strong performer",IF(AND(I815&gt;='Read Me &amp; Markers'!$B$22,L815&gt;='Read Me &amp; Markers'!$B$23),"C. Scale workhorse",IF(AND(I815&gt;='Read Me &amp; Markers'!$B$24,I815&lt;'Read Me &amp; Markers'!$B$18,J815&gt;='Read Me &amp; Markers'!$B$25,L815&gt;='Read Me &amp; Markers'!$B$26),"D. Promising (needs more spend)",""))))</f>
        <v/>
      </c>
      <c r="C815" s="4" t="s">
        <v>169</v>
      </c>
      <c r="D815" s="4" t="s">
        <v>154</v>
      </c>
      <c r="E815" s="4" t="s">
        <v>2754</v>
      </c>
      <c r="F815" s="4" t="s">
        <v>253</v>
      </c>
      <c r="G815" s="4" t="s">
        <v>1877</v>
      </c>
      <c r="H815" s="4" t="s">
        <v>2755</v>
      </c>
      <c r="I815" s="5" t="n">
        <v>6.58</v>
      </c>
      <c r="J815" s="7" t="n">
        <v>0</v>
      </c>
      <c r="K815" s="5" t="n">
        <v>0</v>
      </c>
      <c r="L815" s="8" t="n">
        <v>0</v>
      </c>
      <c r="M815" s="9" t="n">
        <v>0</v>
      </c>
      <c r="N815" s="10" t="n">
        <v>0.01685393</v>
      </c>
      <c r="O815" s="5" t="n">
        <v>36.97</v>
      </c>
      <c r="P815" s="11" t="n">
        <v>1.328358</v>
      </c>
      <c r="Q815" s="7" t="n">
        <v>178</v>
      </c>
      <c r="R815" s="7" t="n">
        <v>3</v>
      </c>
      <c r="S815" s="7" t="n">
        <v>0</v>
      </c>
      <c r="T815" s="7" t="n">
        <v>0</v>
      </c>
      <c r="U815" s="7" t="n">
        <v>116</v>
      </c>
      <c r="V815" s="7" t="n">
        <v>10</v>
      </c>
    </row>
    <row r="816" customFormat="false" ht="15" hidden="false" customHeight="false" outlineLevel="0" collapsed="false">
      <c r="A816" s="4" t="s">
        <v>2756</v>
      </c>
      <c r="B816" s="4" t="str">
        <f aca="false">IF(AND(I816&gt;='Read Me &amp; Markers'!$B$18,J816&gt;='Read Me &amp; Markers'!$B$19,L816&gt;='Read Me &amp; Markers'!$B$20),"A. Proven winner",IF(AND(I816&gt;='Read Me &amp; Markers'!$B$18,J816&gt;='Read Me &amp; Markers'!$B$19,L816&gt;='Read Me &amp; Markers'!$B$21),"B. Strong performer",IF(AND(I816&gt;='Read Me &amp; Markers'!$B$22,L816&gt;='Read Me &amp; Markers'!$B$23),"C. Scale workhorse",IF(AND(I816&gt;='Read Me &amp; Markers'!$B$24,I816&lt;'Read Me &amp; Markers'!$B$18,J816&gt;='Read Me &amp; Markers'!$B$25,L816&gt;='Read Me &amp; Markers'!$B$26),"D. Promising (needs more spend)",""))))</f>
        <v/>
      </c>
      <c r="C816" s="4" t="s">
        <v>2757</v>
      </c>
      <c r="D816" s="4" t="s">
        <v>528</v>
      </c>
      <c r="E816" s="4" t="s">
        <v>1075</v>
      </c>
      <c r="F816" s="4" t="s">
        <v>230</v>
      </c>
      <c r="G816" s="4" t="s">
        <v>378</v>
      </c>
      <c r="H816" s="4" t="s">
        <v>2758</v>
      </c>
      <c r="I816" s="5" t="n">
        <v>6.57</v>
      </c>
      <c r="J816" s="7" t="n">
        <v>0</v>
      </c>
      <c r="K816" s="5" t="n">
        <v>0</v>
      </c>
      <c r="L816" s="8" t="n">
        <v>0</v>
      </c>
      <c r="M816" s="9" t="n">
        <v>0</v>
      </c>
      <c r="N816" s="10" t="n">
        <v>0.08928571</v>
      </c>
      <c r="O816" s="5" t="n">
        <v>117.32</v>
      </c>
      <c r="P816" s="11" t="n">
        <v>1.037037</v>
      </c>
      <c r="Q816" s="7" t="n">
        <v>56</v>
      </c>
      <c r="R816" s="7" t="n">
        <v>5</v>
      </c>
      <c r="S816" s="7" t="n">
        <v>0</v>
      </c>
      <c r="T816" s="7" t="n">
        <v>0</v>
      </c>
      <c r="U816" s="7" t="n">
        <v>50</v>
      </c>
      <c r="V816" s="7" t="n">
        <v>4</v>
      </c>
    </row>
    <row r="817" customFormat="false" ht="15" hidden="false" customHeight="false" outlineLevel="0" collapsed="false">
      <c r="A817" s="4" t="s">
        <v>2759</v>
      </c>
      <c r="B817" s="4" t="str">
        <f aca="false">IF(AND(I817&gt;='Read Me &amp; Markers'!$B$18,J817&gt;='Read Me &amp; Markers'!$B$19,L817&gt;='Read Me &amp; Markers'!$B$20),"A. Proven winner",IF(AND(I817&gt;='Read Me &amp; Markers'!$B$18,J817&gt;='Read Me &amp; Markers'!$B$19,L817&gt;='Read Me &amp; Markers'!$B$21),"B. Strong performer",IF(AND(I817&gt;='Read Me &amp; Markers'!$B$22,L817&gt;='Read Me &amp; Markers'!$B$23),"C. Scale workhorse",IF(AND(I817&gt;='Read Me &amp; Markers'!$B$24,I817&lt;'Read Me &amp; Markers'!$B$18,J817&gt;='Read Me &amp; Markers'!$B$25,L817&gt;='Read Me &amp; Markers'!$B$26),"D. Promising (needs more spend)",""))))</f>
        <v/>
      </c>
      <c r="C817" s="4" t="s">
        <v>1255</v>
      </c>
      <c r="D817" s="4" t="s">
        <v>109</v>
      </c>
      <c r="E817" s="4" t="s">
        <v>469</v>
      </c>
      <c r="F817" s="4" t="s">
        <v>172</v>
      </c>
      <c r="G817" s="4" t="s">
        <v>470</v>
      </c>
      <c r="H817" s="4" t="s">
        <v>2760</v>
      </c>
      <c r="I817" s="5" t="n">
        <v>6.54</v>
      </c>
      <c r="J817" s="7" t="n">
        <v>0</v>
      </c>
      <c r="K817" s="5" t="n">
        <v>0</v>
      </c>
      <c r="L817" s="8" t="n">
        <v>0</v>
      </c>
      <c r="M817" s="9" t="n">
        <v>0</v>
      </c>
      <c r="N817" s="10" t="n">
        <v>0</v>
      </c>
      <c r="O817" s="5" t="n">
        <v>82.78</v>
      </c>
      <c r="P817" s="11" t="n">
        <v>1.053333</v>
      </c>
      <c r="Q817" s="7" t="n">
        <v>79</v>
      </c>
      <c r="R817" s="7" t="n">
        <v>0</v>
      </c>
      <c r="S817" s="7" t="n">
        <v>0</v>
      </c>
      <c r="T817" s="7" t="n">
        <v>0</v>
      </c>
      <c r="U817" s="7" t="n">
        <v>57</v>
      </c>
      <c r="V817" s="7" t="n">
        <v>12</v>
      </c>
    </row>
    <row r="818" customFormat="false" ht="15" hidden="false" customHeight="false" outlineLevel="0" collapsed="false">
      <c r="A818" s="4" t="s">
        <v>2761</v>
      </c>
      <c r="B818" s="4" t="str">
        <f aca="false">IF(AND(I818&gt;='Read Me &amp; Markers'!$B$18,J818&gt;='Read Me &amp; Markers'!$B$19,L818&gt;='Read Me &amp; Markers'!$B$20),"A. Proven winner",IF(AND(I818&gt;='Read Me &amp; Markers'!$B$18,J818&gt;='Read Me &amp; Markers'!$B$19,L818&gt;='Read Me &amp; Markers'!$B$21),"B. Strong performer",IF(AND(I818&gt;='Read Me &amp; Markers'!$B$22,L818&gt;='Read Me &amp; Markers'!$B$23),"C. Scale workhorse",IF(AND(I818&gt;='Read Me &amp; Markers'!$B$24,I818&lt;'Read Me &amp; Markers'!$B$18,J818&gt;='Read Me &amp; Markers'!$B$25,L818&gt;='Read Me &amp; Markers'!$B$26),"D. Promising (needs more spend)",""))))</f>
        <v/>
      </c>
      <c r="C818" s="4" t="s">
        <v>169</v>
      </c>
      <c r="D818" s="4" t="s">
        <v>100</v>
      </c>
      <c r="E818" s="4" t="s">
        <v>2762</v>
      </c>
      <c r="F818" s="4" t="s">
        <v>230</v>
      </c>
      <c r="G818" s="4" t="s">
        <v>102</v>
      </c>
      <c r="H818" s="4" t="s">
        <v>2763</v>
      </c>
      <c r="I818" s="5" t="n">
        <v>6.52</v>
      </c>
      <c r="J818" s="7" t="n">
        <v>0</v>
      </c>
      <c r="K818" s="5" t="n">
        <v>0</v>
      </c>
      <c r="L818" s="8" t="n">
        <v>0</v>
      </c>
      <c r="M818" s="9" t="n">
        <v>0</v>
      </c>
      <c r="N818" s="10" t="n">
        <v>0.05128205</v>
      </c>
      <c r="O818" s="5" t="n">
        <v>83.59</v>
      </c>
      <c r="P818" s="11" t="n">
        <v>1.04</v>
      </c>
      <c r="Q818" s="7" t="n">
        <v>78</v>
      </c>
      <c r="R818" s="7" t="n">
        <v>4</v>
      </c>
      <c r="S818" s="7" t="n">
        <v>0</v>
      </c>
      <c r="T818" s="7" t="n">
        <v>0</v>
      </c>
      <c r="U818" s="7" t="n">
        <v>66</v>
      </c>
      <c r="V818" s="7" t="n">
        <v>5</v>
      </c>
    </row>
    <row r="819" customFormat="false" ht="15" hidden="false" customHeight="false" outlineLevel="0" collapsed="false">
      <c r="A819" s="4" t="s">
        <v>2764</v>
      </c>
      <c r="B819" s="4" t="str">
        <f aca="false">IF(AND(I819&gt;='Read Me &amp; Markers'!$B$18,J819&gt;='Read Me &amp; Markers'!$B$19,L819&gt;='Read Me &amp; Markers'!$B$20),"A. Proven winner",IF(AND(I819&gt;='Read Me &amp; Markers'!$B$18,J819&gt;='Read Me &amp; Markers'!$B$19,L819&gt;='Read Me &amp; Markers'!$B$21),"B. Strong performer",IF(AND(I819&gt;='Read Me &amp; Markers'!$B$22,L819&gt;='Read Me &amp; Markers'!$B$23),"C. Scale workhorse",IF(AND(I819&gt;='Read Me &amp; Markers'!$B$24,I819&lt;'Read Me &amp; Markers'!$B$18,J819&gt;='Read Me &amp; Markers'!$B$25,L819&gt;='Read Me &amp; Markers'!$B$26),"D. Promising (needs more spend)",""))))</f>
        <v/>
      </c>
      <c r="C819" s="4" t="s">
        <v>129</v>
      </c>
      <c r="D819" s="4" t="s">
        <v>154</v>
      </c>
      <c r="E819" s="4" t="s">
        <v>2765</v>
      </c>
      <c r="F819" s="4" t="s">
        <v>87</v>
      </c>
      <c r="G819" s="4" t="s">
        <v>1711</v>
      </c>
      <c r="H819" s="4" t="s">
        <v>2766</v>
      </c>
      <c r="I819" s="5" t="n">
        <v>6.52</v>
      </c>
      <c r="J819" s="7" t="n">
        <v>0</v>
      </c>
      <c r="K819" s="5" t="n">
        <v>0</v>
      </c>
      <c r="L819" s="8" t="n">
        <v>0</v>
      </c>
      <c r="M819" s="9" t="n">
        <v>0</v>
      </c>
      <c r="N819" s="10" t="n">
        <v>0.03278689</v>
      </c>
      <c r="O819" s="5" t="n">
        <v>106.89</v>
      </c>
      <c r="P819" s="11" t="n">
        <v>1.109091</v>
      </c>
      <c r="Q819" s="7" t="n">
        <v>61</v>
      </c>
      <c r="R819" s="7" t="n">
        <v>2</v>
      </c>
      <c r="S819" s="7" t="n">
        <v>0</v>
      </c>
      <c r="T819" s="7" t="n">
        <v>0</v>
      </c>
      <c r="U819" s="7" t="n">
        <v>48</v>
      </c>
      <c r="V819" s="7" t="n">
        <v>4</v>
      </c>
    </row>
    <row r="820" customFormat="false" ht="15" hidden="false" customHeight="false" outlineLevel="0" collapsed="false">
      <c r="A820" s="4" t="s">
        <v>2767</v>
      </c>
      <c r="B820" s="4" t="str">
        <f aca="false">IF(AND(I820&gt;='Read Me &amp; Markers'!$B$18,J820&gt;='Read Me &amp; Markers'!$B$19,L820&gt;='Read Me &amp; Markers'!$B$20),"A. Proven winner",IF(AND(I820&gt;='Read Me &amp; Markers'!$B$18,J820&gt;='Read Me &amp; Markers'!$B$19,L820&gt;='Read Me &amp; Markers'!$B$21),"B. Strong performer",IF(AND(I820&gt;='Read Me &amp; Markers'!$B$22,L820&gt;='Read Me &amp; Markers'!$B$23),"C. Scale workhorse",IF(AND(I820&gt;='Read Me &amp; Markers'!$B$24,I820&lt;'Read Me &amp; Markers'!$B$18,J820&gt;='Read Me &amp; Markers'!$B$25,L820&gt;='Read Me &amp; Markers'!$B$26),"D. Promising (needs more spend)",""))))</f>
        <v/>
      </c>
      <c r="C820" s="4" t="s">
        <v>2768</v>
      </c>
      <c r="D820" s="4" t="s">
        <v>109</v>
      </c>
      <c r="E820" s="4" t="s">
        <v>1654</v>
      </c>
      <c r="F820" s="4" t="s">
        <v>172</v>
      </c>
      <c r="G820" s="4" t="s">
        <v>317</v>
      </c>
      <c r="H820" s="4" t="s">
        <v>2769</v>
      </c>
      <c r="I820" s="5" t="n">
        <v>6.44</v>
      </c>
      <c r="J820" s="7" t="n">
        <v>0</v>
      </c>
      <c r="K820" s="5" t="n">
        <v>0</v>
      </c>
      <c r="L820" s="8" t="n">
        <v>0</v>
      </c>
      <c r="M820" s="9" t="n">
        <v>0</v>
      </c>
      <c r="N820" s="10" t="n">
        <v>0.01666667</v>
      </c>
      <c r="O820" s="5" t="n">
        <v>107.33</v>
      </c>
      <c r="P820" s="11" t="n">
        <v>1.333333</v>
      </c>
      <c r="Q820" s="7" t="n">
        <v>60</v>
      </c>
      <c r="R820" s="7" t="n">
        <v>1</v>
      </c>
      <c r="S820" s="7" t="n">
        <v>0</v>
      </c>
      <c r="T820" s="7" t="n">
        <v>0</v>
      </c>
      <c r="U820" s="7" t="n">
        <v>0</v>
      </c>
      <c r="V820" s="7" t="n">
        <v>0</v>
      </c>
    </row>
    <row r="821" customFormat="false" ht="15" hidden="false" customHeight="false" outlineLevel="0" collapsed="false">
      <c r="A821" s="4" t="s">
        <v>2770</v>
      </c>
      <c r="B821" s="4" t="str">
        <f aca="false">IF(AND(I821&gt;='Read Me &amp; Markers'!$B$18,J821&gt;='Read Me &amp; Markers'!$B$19,L821&gt;='Read Me &amp; Markers'!$B$20),"A. Proven winner",IF(AND(I821&gt;='Read Me &amp; Markers'!$B$18,J821&gt;='Read Me &amp; Markers'!$B$19,L821&gt;='Read Me &amp; Markers'!$B$21),"B. Strong performer",IF(AND(I821&gt;='Read Me &amp; Markers'!$B$22,L821&gt;='Read Me &amp; Markers'!$B$23),"C. Scale workhorse",IF(AND(I821&gt;='Read Me &amp; Markers'!$B$24,I821&lt;'Read Me &amp; Markers'!$B$18,J821&gt;='Read Me &amp; Markers'!$B$25,L821&gt;='Read Me &amp; Markers'!$B$26),"D. Promising (needs more spend)",""))))</f>
        <v/>
      </c>
      <c r="C821" s="4" t="s">
        <v>2771</v>
      </c>
      <c r="D821" s="4" t="s">
        <v>109</v>
      </c>
      <c r="E821" s="4" t="s">
        <v>110</v>
      </c>
      <c r="F821" s="4" t="s">
        <v>111</v>
      </c>
      <c r="G821" s="4" t="s">
        <v>112</v>
      </c>
      <c r="H821" s="4" t="s">
        <v>2772</v>
      </c>
      <c r="I821" s="5" t="n">
        <v>6.35</v>
      </c>
      <c r="J821" s="7" t="n">
        <v>0</v>
      </c>
      <c r="K821" s="5" t="n">
        <v>0</v>
      </c>
      <c r="L821" s="8" t="n">
        <v>0</v>
      </c>
      <c r="M821" s="9" t="n">
        <v>0</v>
      </c>
      <c r="N821" s="10" t="n">
        <v>0.01234568</v>
      </c>
      <c r="O821" s="5" t="n">
        <v>78.4</v>
      </c>
      <c r="P821" s="11" t="n">
        <v>1.109589</v>
      </c>
      <c r="Q821" s="7" t="n">
        <v>81</v>
      </c>
      <c r="R821" s="7" t="n">
        <v>1</v>
      </c>
      <c r="S821" s="7" t="n">
        <v>0</v>
      </c>
      <c r="T821" s="7" t="n">
        <v>0</v>
      </c>
      <c r="U821" s="7" t="n">
        <v>0</v>
      </c>
      <c r="V821" s="7" t="n">
        <v>0</v>
      </c>
    </row>
    <row r="822" customFormat="false" ht="15" hidden="false" customHeight="false" outlineLevel="0" collapsed="false">
      <c r="A822" s="4" t="s">
        <v>2773</v>
      </c>
      <c r="B822" s="4" t="str">
        <f aca="false">IF(AND(I822&gt;='Read Me &amp; Markers'!$B$18,J822&gt;='Read Me &amp; Markers'!$B$19,L822&gt;='Read Me &amp; Markers'!$B$20),"A. Proven winner",IF(AND(I822&gt;='Read Me &amp; Markers'!$B$18,J822&gt;='Read Me &amp; Markers'!$B$19,L822&gt;='Read Me &amp; Markers'!$B$21),"B. Strong performer",IF(AND(I822&gt;='Read Me &amp; Markers'!$B$22,L822&gt;='Read Me &amp; Markers'!$B$23),"C. Scale workhorse",IF(AND(I822&gt;='Read Me &amp; Markers'!$B$24,I822&lt;'Read Me &amp; Markers'!$B$18,J822&gt;='Read Me &amp; Markers'!$B$25,L822&gt;='Read Me &amp; Markers'!$B$26),"D. Promising (needs more spend)",""))))</f>
        <v/>
      </c>
      <c r="C822" s="4" t="s">
        <v>169</v>
      </c>
      <c r="D822" s="4" t="s">
        <v>154</v>
      </c>
      <c r="E822" s="4" t="s">
        <v>2774</v>
      </c>
      <c r="F822" s="4" t="s">
        <v>253</v>
      </c>
      <c r="G822" s="4" t="s">
        <v>88</v>
      </c>
      <c r="H822" s="4" t="s">
        <v>2775</v>
      </c>
      <c r="I822" s="5" t="n">
        <v>6.21</v>
      </c>
      <c r="J822" s="7" t="n">
        <v>0</v>
      </c>
      <c r="K822" s="5" t="n">
        <v>0</v>
      </c>
      <c r="L822" s="8" t="n">
        <v>0</v>
      </c>
      <c r="M822" s="9" t="n">
        <v>0</v>
      </c>
      <c r="N822" s="10" t="n">
        <v>0.02521008</v>
      </c>
      <c r="O822" s="5" t="n">
        <v>52.18</v>
      </c>
      <c r="P822" s="11" t="n">
        <v>1.307692</v>
      </c>
      <c r="Q822" s="7" t="n">
        <v>119</v>
      </c>
      <c r="R822" s="7" t="n">
        <v>3</v>
      </c>
      <c r="S822" s="7" t="n">
        <v>0</v>
      </c>
      <c r="T822" s="7" t="n">
        <v>0</v>
      </c>
      <c r="U822" s="7" t="n">
        <v>65</v>
      </c>
      <c r="V822" s="7" t="n">
        <v>6</v>
      </c>
    </row>
    <row r="823" customFormat="false" ht="15" hidden="false" customHeight="false" outlineLevel="0" collapsed="false">
      <c r="A823" s="4" t="s">
        <v>2776</v>
      </c>
      <c r="B823" s="4" t="str">
        <f aca="false">IF(AND(I823&gt;='Read Me &amp; Markers'!$B$18,J823&gt;='Read Me &amp; Markers'!$B$19,L823&gt;='Read Me &amp; Markers'!$B$20),"A. Proven winner",IF(AND(I823&gt;='Read Me &amp; Markers'!$B$18,J823&gt;='Read Me &amp; Markers'!$B$19,L823&gt;='Read Me &amp; Markers'!$B$21),"B. Strong performer",IF(AND(I823&gt;='Read Me &amp; Markers'!$B$22,L823&gt;='Read Me &amp; Markers'!$B$23),"C. Scale workhorse",IF(AND(I823&gt;='Read Me &amp; Markers'!$B$24,I823&lt;'Read Me &amp; Markers'!$B$18,J823&gt;='Read Me &amp; Markers'!$B$25,L823&gt;='Read Me &amp; Markers'!$B$26),"D. Promising (needs more spend)",""))))</f>
        <v/>
      </c>
      <c r="C823" s="4" t="s">
        <v>2777</v>
      </c>
      <c r="D823" s="4" t="s">
        <v>109</v>
      </c>
      <c r="E823" s="4" t="s">
        <v>2778</v>
      </c>
      <c r="F823" s="4" t="s">
        <v>111</v>
      </c>
      <c r="G823" s="4" t="s">
        <v>286</v>
      </c>
      <c r="H823" s="4" t="s">
        <v>2779</v>
      </c>
      <c r="I823" s="5" t="n">
        <v>6</v>
      </c>
      <c r="J823" s="7" t="n">
        <v>0</v>
      </c>
      <c r="K823" s="5" t="n">
        <v>0</v>
      </c>
      <c r="L823" s="8" t="n">
        <v>0</v>
      </c>
      <c r="M823" s="9" t="n">
        <v>0</v>
      </c>
      <c r="N823" s="10" t="n">
        <v>0.02314815</v>
      </c>
      <c r="O823" s="5" t="n">
        <v>27.78</v>
      </c>
      <c r="P823" s="11" t="n">
        <v>1.553957</v>
      </c>
      <c r="Q823" s="7" t="n">
        <v>216</v>
      </c>
      <c r="R823" s="7" t="n">
        <v>5</v>
      </c>
      <c r="S823" s="7" t="n">
        <v>0</v>
      </c>
      <c r="T823" s="7" t="n">
        <v>0</v>
      </c>
      <c r="U823" s="7" t="n">
        <v>0</v>
      </c>
      <c r="V823" s="7" t="n">
        <v>0</v>
      </c>
    </row>
    <row r="824" customFormat="false" ht="15" hidden="false" customHeight="false" outlineLevel="0" collapsed="false">
      <c r="A824" s="4" t="s">
        <v>2780</v>
      </c>
      <c r="B824" s="4" t="str">
        <f aca="false">IF(AND(I824&gt;='Read Me &amp; Markers'!$B$18,J824&gt;='Read Me &amp; Markers'!$B$19,L824&gt;='Read Me &amp; Markers'!$B$20),"A. Proven winner",IF(AND(I824&gt;='Read Me &amp; Markers'!$B$18,J824&gt;='Read Me &amp; Markers'!$B$19,L824&gt;='Read Me &amp; Markers'!$B$21),"B. Strong performer",IF(AND(I824&gt;='Read Me &amp; Markers'!$B$22,L824&gt;='Read Me &amp; Markers'!$B$23),"C. Scale workhorse",IF(AND(I824&gt;='Read Me &amp; Markers'!$B$24,I824&lt;'Read Me &amp; Markers'!$B$18,J824&gt;='Read Me &amp; Markers'!$B$25,L824&gt;='Read Me &amp; Markers'!$B$26),"D. Promising (needs more spend)",""))))</f>
        <v/>
      </c>
      <c r="C824" s="4" t="s">
        <v>129</v>
      </c>
      <c r="D824" s="4" t="s">
        <v>100</v>
      </c>
      <c r="E824" s="4" t="s">
        <v>1052</v>
      </c>
      <c r="F824" s="4" t="s">
        <v>87</v>
      </c>
      <c r="G824" s="4" t="s">
        <v>342</v>
      </c>
      <c r="H824" s="4" t="s">
        <v>2781</v>
      </c>
      <c r="I824" s="5" t="n">
        <v>5.98</v>
      </c>
      <c r="J824" s="7" t="n">
        <v>0</v>
      </c>
      <c r="K824" s="5" t="n">
        <v>0</v>
      </c>
      <c r="L824" s="8" t="n">
        <v>0</v>
      </c>
      <c r="M824" s="9" t="n">
        <v>0</v>
      </c>
      <c r="N824" s="10" t="n">
        <v>0.06382979</v>
      </c>
      <c r="O824" s="5" t="n">
        <v>127.23</v>
      </c>
      <c r="P824" s="11" t="n">
        <v>1</v>
      </c>
      <c r="Q824" s="7" t="n">
        <v>47</v>
      </c>
      <c r="R824" s="7" t="n">
        <v>3</v>
      </c>
      <c r="S824" s="7" t="n">
        <v>0</v>
      </c>
      <c r="T824" s="7" t="n">
        <v>0</v>
      </c>
      <c r="U824" s="7" t="n">
        <v>45</v>
      </c>
      <c r="V824" s="7" t="n">
        <v>10</v>
      </c>
    </row>
    <row r="825" customFormat="false" ht="15" hidden="false" customHeight="false" outlineLevel="0" collapsed="false">
      <c r="A825" s="4" t="s">
        <v>2782</v>
      </c>
      <c r="B825" s="4" t="str">
        <f aca="false">IF(AND(I825&gt;='Read Me &amp; Markers'!$B$18,J825&gt;='Read Me &amp; Markers'!$B$19,L825&gt;='Read Me &amp; Markers'!$B$20),"A. Proven winner",IF(AND(I825&gt;='Read Me &amp; Markers'!$B$18,J825&gt;='Read Me &amp; Markers'!$B$19,L825&gt;='Read Me &amp; Markers'!$B$21),"B. Strong performer",IF(AND(I825&gt;='Read Me &amp; Markers'!$B$22,L825&gt;='Read Me &amp; Markers'!$B$23),"C. Scale workhorse",IF(AND(I825&gt;='Read Me &amp; Markers'!$B$24,I825&lt;'Read Me &amp; Markers'!$B$18,J825&gt;='Read Me &amp; Markers'!$B$25,L825&gt;='Read Me &amp; Markers'!$B$26),"D. Promising (needs more spend)",""))))</f>
        <v/>
      </c>
      <c r="C825" s="4" t="s">
        <v>2783</v>
      </c>
      <c r="D825" s="4" t="s">
        <v>109</v>
      </c>
      <c r="E825" s="4" t="s">
        <v>1501</v>
      </c>
      <c r="F825" s="4" t="s">
        <v>111</v>
      </c>
      <c r="G825" s="4" t="s">
        <v>1502</v>
      </c>
      <c r="H825" s="4" t="s">
        <v>2784</v>
      </c>
      <c r="I825" s="5" t="n">
        <v>5.88</v>
      </c>
      <c r="J825" s="7" t="n">
        <v>0</v>
      </c>
      <c r="K825" s="5" t="n">
        <v>0</v>
      </c>
      <c r="L825" s="8" t="n">
        <v>0</v>
      </c>
      <c r="M825" s="9" t="n">
        <v>0</v>
      </c>
      <c r="N825" s="10" t="n">
        <v>0.06122449</v>
      </c>
      <c r="O825" s="5" t="n">
        <v>120</v>
      </c>
      <c r="P825" s="11" t="n">
        <v>1.139535</v>
      </c>
      <c r="Q825" s="7" t="n">
        <v>49</v>
      </c>
      <c r="R825" s="7" t="n">
        <v>3</v>
      </c>
      <c r="S825" s="7" t="n">
        <v>0</v>
      </c>
      <c r="T825" s="7" t="n">
        <v>0</v>
      </c>
      <c r="U825" s="7" t="n">
        <v>46</v>
      </c>
      <c r="V825" s="7" t="n">
        <v>10</v>
      </c>
    </row>
    <row r="826" customFormat="false" ht="15" hidden="false" customHeight="false" outlineLevel="0" collapsed="false">
      <c r="A826" s="4" t="s">
        <v>2785</v>
      </c>
      <c r="B826" s="4" t="str">
        <f aca="false">IF(AND(I826&gt;='Read Me &amp; Markers'!$B$18,J826&gt;='Read Me &amp; Markers'!$B$19,L826&gt;='Read Me &amp; Markers'!$B$20),"A. Proven winner",IF(AND(I826&gt;='Read Me &amp; Markers'!$B$18,J826&gt;='Read Me &amp; Markers'!$B$19,L826&gt;='Read Me &amp; Markers'!$B$21),"B. Strong performer",IF(AND(I826&gt;='Read Me &amp; Markers'!$B$22,L826&gt;='Read Me &amp; Markers'!$B$23),"C. Scale workhorse",IF(AND(I826&gt;='Read Me &amp; Markers'!$B$24,I826&lt;'Read Me &amp; Markers'!$B$18,J826&gt;='Read Me &amp; Markers'!$B$25,L826&gt;='Read Me &amp; Markers'!$B$26),"D. Promising (needs more spend)",""))))</f>
        <v/>
      </c>
      <c r="C826" s="4" t="s">
        <v>2786</v>
      </c>
      <c r="D826" s="4" t="s">
        <v>1049</v>
      </c>
      <c r="E826" s="4" t="s">
        <v>1050</v>
      </c>
      <c r="F826" s="4" t="s">
        <v>253</v>
      </c>
      <c r="G826" s="4" t="s">
        <v>436</v>
      </c>
      <c r="H826" s="4" t="s">
        <v>466</v>
      </c>
      <c r="I826" s="5" t="n">
        <v>5.82</v>
      </c>
      <c r="J826" s="7" t="n">
        <v>0</v>
      </c>
      <c r="K826" s="5" t="n">
        <v>0</v>
      </c>
      <c r="L826" s="8" t="n">
        <v>0</v>
      </c>
      <c r="M826" s="9" t="n">
        <v>0</v>
      </c>
      <c r="N826" s="10" t="n">
        <v>0.09803922</v>
      </c>
      <c r="O826" s="5" t="n">
        <v>114.12</v>
      </c>
      <c r="P826" s="11" t="n">
        <v>1.0625</v>
      </c>
      <c r="Q826" s="7" t="n">
        <v>51</v>
      </c>
      <c r="R826" s="7" t="n">
        <v>5</v>
      </c>
      <c r="S826" s="7" t="n">
        <v>0</v>
      </c>
      <c r="T826" s="7" t="n">
        <v>0</v>
      </c>
      <c r="U826" s="7" t="n">
        <v>49</v>
      </c>
      <c r="V826" s="7" t="n">
        <v>9</v>
      </c>
    </row>
    <row r="827" customFormat="false" ht="15" hidden="false" customHeight="false" outlineLevel="0" collapsed="false">
      <c r="A827" s="4" t="s">
        <v>2787</v>
      </c>
      <c r="B827" s="4" t="str">
        <f aca="false">IF(AND(I827&gt;='Read Me &amp; Markers'!$B$18,J827&gt;='Read Me &amp; Markers'!$B$19,L827&gt;='Read Me &amp; Markers'!$B$20),"A. Proven winner",IF(AND(I827&gt;='Read Me &amp; Markers'!$B$18,J827&gt;='Read Me &amp; Markers'!$B$19,L827&gt;='Read Me &amp; Markers'!$B$21),"B. Strong performer",IF(AND(I827&gt;='Read Me &amp; Markers'!$B$22,L827&gt;='Read Me &amp; Markers'!$B$23),"C. Scale workhorse",IF(AND(I827&gt;='Read Me &amp; Markers'!$B$24,I827&lt;'Read Me &amp; Markers'!$B$18,J827&gt;='Read Me &amp; Markers'!$B$25,L827&gt;='Read Me &amp; Markers'!$B$26),"D. Promising (needs more spend)",""))))</f>
        <v/>
      </c>
      <c r="C827" s="4" t="s">
        <v>129</v>
      </c>
      <c r="D827" s="4" t="s">
        <v>154</v>
      </c>
      <c r="E827" s="4" t="s">
        <v>1932</v>
      </c>
      <c r="F827" s="4" t="s">
        <v>253</v>
      </c>
      <c r="G827" s="4" t="s">
        <v>102</v>
      </c>
      <c r="H827" s="4" t="s">
        <v>2788</v>
      </c>
      <c r="I827" s="5" t="n">
        <v>5.81</v>
      </c>
      <c r="J827" s="7" t="n">
        <v>0</v>
      </c>
      <c r="K827" s="5" t="n">
        <v>0</v>
      </c>
      <c r="L827" s="8" t="n">
        <v>0</v>
      </c>
      <c r="M827" s="9" t="n">
        <v>0</v>
      </c>
      <c r="N827" s="10" t="n">
        <v>0.01869159</v>
      </c>
      <c r="O827" s="5" t="n">
        <v>54.3</v>
      </c>
      <c r="P827" s="11" t="n">
        <v>1.289157</v>
      </c>
      <c r="Q827" s="7" t="n">
        <v>107</v>
      </c>
      <c r="R827" s="7" t="n">
        <v>2</v>
      </c>
      <c r="S827" s="7" t="n">
        <v>1</v>
      </c>
      <c r="T827" s="7" t="n">
        <v>1</v>
      </c>
      <c r="U827" s="7" t="n">
        <v>75</v>
      </c>
      <c r="V827" s="7" t="n">
        <v>5</v>
      </c>
    </row>
    <row r="828" customFormat="false" ht="15" hidden="false" customHeight="false" outlineLevel="0" collapsed="false">
      <c r="A828" s="4" t="s">
        <v>2789</v>
      </c>
      <c r="B828" s="4" t="str">
        <f aca="false">IF(AND(I828&gt;='Read Me &amp; Markers'!$B$18,J828&gt;='Read Me &amp; Markers'!$B$19,L828&gt;='Read Me &amp; Markers'!$B$20),"A. Proven winner",IF(AND(I828&gt;='Read Me &amp; Markers'!$B$18,J828&gt;='Read Me &amp; Markers'!$B$19,L828&gt;='Read Me &amp; Markers'!$B$21),"B. Strong performer",IF(AND(I828&gt;='Read Me &amp; Markers'!$B$22,L828&gt;='Read Me &amp; Markers'!$B$23),"C. Scale workhorse",IF(AND(I828&gt;='Read Me &amp; Markers'!$B$24,I828&lt;'Read Me &amp; Markers'!$B$18,J828&gt;='Read Me &amp; Markers'!$B$25,L828&gt;='Read Me &amp; Markers'!$B$26),"D. Promising (needs more spend)",""))))</f>
        <v/>
      </c>
      <c r="C828" s="4" t="s">
        <v>121</v>
      </c>
      <c r="D828" s="4" t="s">
        <v>100</v>
      </c>
      <c r="E828" s="4" t="s">
        <v>2790</v>
      </c>
      <c r="F828" s="4" t="s">
        <v>87</v>
      </c>
      <c r="G828" s="4" t="s">
        <v>142</v>
      </c>
      <c r="H828" s="4" t="s">
        <v>2791</v>
      </c>
      <c r="I828" s="5" t="n">
        <v>5.75</v>
      </c>
      <c r="J828" s="7" t="n">
        <v>0</v>
      </c>
      <c r="K828" s="5" t="n">
        <v>0</v>
      </c>
      <c r="L828" s="8" t="n">
        <v>0</v>
      </c>
      <c r="M828" s="9" t="n">
        <v>0</v>
      </c>
      <c r="N828" s="10" t="n">
        <v>0</v>
      </c>
      <c r="O828" s="5" t="n">
        <v>110.58</v>
      </c>
      <c r="P828" s="11" t="n">
        <v>1.083333</v>
      </c>
      <c r="Q828" s="7" t="n">
        <v>52</v>
      </c>
      <c r="R828" s="7" t="n">
        <v>0</v>
      </c>
      <c r="S828" s="7" t="n">
        <v>0</v>
      </c>
      <c r="T828" s="7" t="n">
        <v>0</v>
      </c>
      <c r="U828" s="7" t="n">
        <v>37</v>
      </c>
      <c r="V828" s="7" t="n">
        <v>2</v>
      </c>
    </row>
    <row r="829" customFormat="false" ht="15" hidden="false" customHeight="false" outlineLevel="0" collapsed="false">
      <c r="A829" s="4" t="s">
        <v>2792</v>
      </c>
      <c r="B829" s="4" t="str">
        <f aca="false">IF(AND(I829&gt;='Read Me &amp; Markers'!$B$18,J829&gt;='Read Me &amp; Markers'!$B$19,L829&gt;='Read Me &amp; Markers'!$B$20),"A. Proven winner",IF(AND(I829&gt;='Read Me &amp; Markers'!$B$18,J829&gt;='Read Me &amp; Markers'!$B$19,L829&gt;='Read Me &amp; Markers'!$B$21),"B. Strong performer",IF(AND(I829&gt;='Read Me &amp; Markers'!$B$22,L829&gt;='Read Me &amp; Markers'!$B$23),"C. Scale workhorse",IF(AND(I829&gt;='Read Me &amp; Markers'!$B$24,I829&lt;'Read Me &amp; Markers'!$B$18,J829&gt;='Read Me &amp; Markers'!$B$25,L829&gt;='Read Me &amp; Markers'!$B$26),"D. Promising (needs more spend)",""))))</f>
        <v/>
      </c>
      <c r="C829" s="4" t="s">
        <v>2793</v>
      </c>
      <c r="D829" s="4" t="s">
        <v>109</v>
      </c>
      <c r="E829" s="4" t="s">
        <v>2019</v>
      </c>
      <c r="F829" s="4" t="s">
        <v>172</v>
      </c>
      <c r="G829" s="4" t="s">
        <v>317</v>
      </c>
      <c r="H829" s="4" t="s">
        <v>2794</v>
      </c>
      <c r="I829" s="5" t="n">
        <v>5.72</v>
      </c>
      <c r="J829" s="7" t="n">
        <v>0</v>
      </c>
      <c r="K829" s="5" t="n">
        <v>0</v>
      </c>
      <c r="L829" s="8" t="n">
        <v>0</v>
      </c>
      <c r="M829" s="9" t="n">
        <v>0</v>
      </c>
      <c r="N829" s="10" t="n">
        <v>0.02325581</v>
      </c>
      <c r="O829" s="5" t="n">
        <v>133.02</v>
      </c>
      <c r="P829" s="11" t="n">
        <v>1.02381</v>
      </c>
      <c r="Q829" s="7" t="n">
        <v>43</v>
      </c>
      <c r="R829" s="7" t="n">
        <v>1</v>
      </c>
      <c r="S829" s="7" t="n">
        <v>0</v>
      </c>
      <c r="T829" s="7" t="n">
        <v>0</v>
      </c>
      <c r="U829" s="7" t="n">
        <v>30</v>
      </c>
      <c r="V829" s="7" t="n">
        <v>6</v>
      </c>
    </row>
    <row r="830" customFormat="false" ht="15" hidden="false" customHeight="false" outlineLevel="0" collapsed="false">
      <c r="A830" s="4" t="s">
        <v>2795</v>
      </c>
      <c r="B830" s="4" t="str">
        <f aca="false">IF(AND(I830&gt;='Read Me &amp; Markers'!$B$18,J830&gt;='Read Me &amp; Markers'!$B$19,L830&gt;='Read Me &amp; Markers'!$B$20),"A. Proven winner",IF(AND(I830&gt;='Read Me &amp; Markers'!$B$18,J830&gt;='Read Me &amp; Markers'!$B$19,L830&gt;='Read Me &amp; Markers'!$B$21),"B. Strong performer",IF(AND(I830&gt;='Read Me &amp; Markers'!$B$22,L830&gt;='Read Me &amp; Markers'!$B$23),"C. Scale workhorse",IF(AND(I830&gt;='Read Me &amp; Markers'!$B$24,I830&lt;'Read Me &amp; Markers'!$B$18,J830&gt;='Read Me &amp; Markers'!$B$25,L830&gt;='Read Me &amp; Markers'!$B$26),"D. Promising (needs more spend)",""))))</f>
        <v/>
      </c>
      <c r="C830" s="4" t="s">
        <v>98</v>
      </c>
      <c r="D830" s="4" t="s">
        <v>100</v>
      </c>
      <c r="E830" s="4" t="s">
        <v>2547</v>
      </c>
      <c r="F830" s="4" t="s">
        <v>253</v>
      </c>
      <c r="G830" s="4" t="s">
        <v>650</v>
      </c>
      <c r="H830" s="4" t="s">
        <v>2796</v>
      </c>
      <c r="I830" s="5" t="n">
        <v>5.7</v>
      </c>
      <c r="J830" s="7" t="n">
        <v>0</v>
      </c>
      <c r="K830" s="5" t="n">
        <v>0</v>
      </c>
      <c r="L830" s="8" t="n">
        <v>0</v>
      </c>
      <c r="M830" s="9" t="n">
        <v>0</v>
      </c>
      <c r="N830" s="10" t="n">
        <v>0.05434783</v>
      </c>
      <c r="O830" s="5" t="n">
        <v>61.96</v>
      </c>
      <c r="P830" s="11" t="n">
        <v>1.210526</v>
      </c>
      <c r="Q830" s="7" t="n">
        <v>92</v>
      </c>
      <c r="R830" s="7" t="n">
        <v>5</v>
      </c>
      <c r="S830" s="7" t="n">
        <v>0</v>
      </c>
      <c r="T830" s="7" t="n">
        <v>0</v>
      </c>
      <c r="U830" s="7" t="n">
        <v>88</v>
      </c>
      <c r="V830" s="7" t="n">
        <v>16</v>
      </c>
    </row>
    <row r="831" customFormat="false" ht="15" hidden="false" customHeight="false" outlineLevel="0" collapsed="false">
      <c r="A831" s="4" t="s">
        <v>2797</v>
      </c>
      <c r="B831" s="4" t="str">
        <f aca="false">IF(AND(I831&gt;='Read Me &amp; Markers'!$B$18,J831&gt;='Read Me &amp; Markers'!$B$19,L831&gt;='Read Me &amp; Markers'!$B$20),"A. Proven winner",IF(AND(I831&gt;='Read Me &amp; Markers'!$B$18,J831&gt;='Read Me &amp; Markers'!$B$19,L831&gt;='Read Me &amp; Markers'!$B$21),"B. Strong performer",IF(AND(I831&gt;='Read Me &amp; Markers'!$B$22,L831&gt;='Read Me &amp; Markers'!$B$23),"C. Scale workhorse",IF(AND(I831&gt;='Read Me &amp; Markers'!$B$24,I831&lt;'Read Me &amp; Markers'!$B$18,J831&gt;='Read Me &amp; Markers'!$B$25,L831&gt;='Read Me &amp; Markers'!$B$26),"D. Promising (needs more spend)",""))))</f>
        <v/>
      </c>
      <c r="C831" s="4" t="s">
        <v>2798</v>
      </c>
      <c r="D831" s="4" t="s">
        <v>109</v>
      </c>
      <c r="E831" s="4" t="s">
        <v>1936</v>
      </c>
      <c r="F831" s="4" t="s">
        <v>111</v>
      </c>
      <c r="G831" s="4" t="s">
        <v>1937</v>
      </c>
      <c r="H831" s="4" t="s">
        <v>2799</v>
      </c>
      <c r="I831" s="5" t="n">
        <v>5.65</v>
      </c>
      <c r="J831" s="7" t="n">
        <v>0</v>
      </c>
      <c r="K831" s="5" t="n">
        <v>0</v>
      </c>
      <c r="L831" s="8" t="n">
        <v>0</v>
      </c>
      <c r="M831" s="9" t="n">
        <v>0</v>
      </c>
      <c r="N831" s="10" t="n">
        <v>0</v>
      </c>
      <c r="O831" s="5" t="n">
        <v>113</v>
      </c>
      <c r="P831" s="11" t="n">
        <v>1.612903</v>
      </c>
      <c r="Q831" s="7" t="n">
        <v>50</v>
      </c>
      <c r="R831" s="7" t="n">
        <v>0</v>
      </c>
      <c r="S831" s="7" t="n">
        <v>0</v>
      </c>
      <c r="T831" s="7" t="n">
        <v>0</v>
      </c>
      <c r="U831" s="7" t="n">
        <v>2</v>
      </c>
      <c r="V831" s="7" t="n">
        <v>0</v>
      </c>
    </row>
    <row r="832" customFormat="false" ht="15" hidden="false" customHeight="false" outlineLevel="0" collapsed="false">
      <c r="A832" s="4" t="s">
        <v>2800</v>
      </c>
      <c r="B832" s="4" t="str">
        <f aca="false">IF(AND(I832&gt;='Read Me &amp; Markers'!$B$18,J832&gt;='Read Me &amp; Markers'!$B$19,L832&gt;='Read Me &amp; Markers'!$B$20),"A. Proven winner",IF(AND(I832&gt;='Read Me &amp; Markers'!$B$18,J832&gt;='Read Me &amp; Markers'!$B$19,L832&gt;='Read Me &amp; Markers'!$B$21),"B. Strong performer",IF(AND(I832&gt;='Read Me &amp; Markers'!$B$22,L832&gt;='Read Me &amp; Markers'!$B$23),"C. Scale workhorse",IF(AND(I832&gt;='Read Me &amp; Markers'!$B$24,I832&lt;'Read Me &amp; Markers'!$B$18,J832&gt;='Read Me &amp; Markers'!$B$25,L832&gt;='Read Me &amp; Markers'!$B$26),"D. Promising (needs more spend)",""))))</f>
        <v/>
      </c>
      <c r="C832" s="4" t="s">
        <v>2801</v>
      </c>
      <c r="D832" s="4" t="s">
        <v>1204</v>
      </c>
      <c r="E832" s="4" t="s">
        <v>2188</v>
      </c>
      <c r="F832" s="4" t="s">
        <v>253</v>
      </c>
      <c r="G832" s="4" t="s">
        <v>1206</v>
      </c>
      <c r="H832" s="4" t="s">
        <v>2802</v>
      </c>
      <c r="I832" s="5" t="n">
        <v>5.6</v>
      </c>
      <c r="J832" s="7" t="n">
        <v>0</v>
      </c>
      <c r="K832" s="5" t="n">
        <v>0</v>
      </c>
      <c r="L832" s="8" t="n">
        <v>0</v>
      </c>
      <c r="M832" s="9" t="n">
        <v>0</v>
      </c>
      <c r="N832" s="10" t="n">
        <v>0</v>
      </c>
      <c r="O832" s="5" t="n">
        <v>164.71</v>
      </c>
      <c r="P832" s="11" t="n">
        <v>1.096774</v>
      </c>
      <c r="Q832" s="7" t="n">
        <v>34</v>
      </c>
      <c r="R832" s="7" t="n">
        <v>0</v>
      </c>
      <c r="S832" s="7" t="n">
        <v>0</v>
      </c>
      <c r="T832" s="7" t="n">
        <v>0</v>
      </c>
      <c r="U832" s="7" t="n">
        <v>33</v>
      </c>
      <c r="V832" s="7" t="n">
        <v>4</v>
      </c>
    </row>
    <row r="833" customFormat="false" ht="15" hidden="false" customHeight="false" outlineLevel="0" collapsed="false">
      <c r="A833" s="4" t="s">
        <v>2803</v>
      </c>
      <c r="B833" s="4" t="str">
        <f aca="false">IF(AND(I833&gt;='Read Me &amp; Markers'!$B$18,J833&gt;='Read Me &amp; Markers'!$B$19,L833&gt;='Read Me &amp; Markers'!$B$20),"A. Proven winner",IF(AND(I833&gt;='Read Me &amp; Markers'!$B$18,J833&gt;='Read Me &amp; Markers'!$B$19,L833&gt;='Read Me &amp; Markers'!$B$21),"B. Strong performer",IF(AND(I833&gt;='Read Me &amp; Markers'!$B$22,L833&gt;='Read Me &amp; Markers'!$B$23),"C. Scale workhorse",IF(AND(I833&gt;='Read Me &amp; Markers'!$B$24,I833&lt;'Read Me &amp; Markers'!$B$18,J833&gt;='Read Me &amp; Markers'!$B$25,L833&gt;='Read Me &amp; Markers'!$B$26),"D. Promising (needs more spend)",""))))</f>
        <v/>
      </c>
      <c r="C833" s="4" t="s">
        <v>121</v>
      </c>
      <c r="D833" s="4" t="s">
        <v>206</v>
      </c>
      <c r="E833" s="4" t="s">
        <v>818</v>
      </c>
      <c r="F833" s="4" t="s">
        <v>230</v>
      </c>
      <c r="G833" s="4" t="s">
        <v>254</v>
      </c>
      <c r="H833" s="4" t="s">
        <v>2804</v>
      </c>
      <c r="I833" s="5" t="n">
        <v>5.58</v>
      </c>
      <c r="J833" s="7" t="n">
        <v>0</v>
      </c>
      <c r="K833" s="5" t="n">
        <v>0</v>
      </c>
      <c r="L833" s="8" t="n">
        <v>0</v>
      </c>
      <c r="M833" s="9" t="n">
        <v>0</v>
      </c>
      <c r="N833" s="10" t="n">
        <v>0.02173913</v>
      </c>
      <c r="O833" s="5" t="n">
        <v>121.3</v>
      </c>
      <c r="P833" s="11" t="n">
        <v>1.022222</v>
      </c>
      <c r="Q833" s="7" t="n">
        <v>46</v>
      </c>
      <c r="R833" s="7" t="n">
        <v>1</v>
      </c>
      <c r="S833" s="7" t="n">
        <v>0</v>
      </c>
      <c r="T833" s="7" t="n">
        <v>0</v>
      </c>
      <c r="U833" s="7" t="n">
        <v>35</v>
      </c>
      <c r="V833" s="7" t="n">
        <v>2</v>
      </c>
    </row>
    <row r="834" customFormat="false" ht="15" hidden="false" customHeight="false" outlineLevel="0" collapsed="false">
      <c r="A834" s="4" t="s">
        <v>2805</v>
      </c>
      <c r="B834" s="4" t="str">
        <f aca="false">IF(AND(I834&gt;='Read Me &amp; Markers'!$B$18,J834&gt;='Read Me &amp; Markers'!$B$19,L834&gt;='Read Me &amp; Markers'!$B$20),"A. Proven winner",IF(AND(I834&gt;='Read Me &amp; Markers'!$B$18,J834&gt;='Read Me &amp; Markers'!$B$19,L834&gt;='Read Me &amp; Markers'!$B$21),"B. Strong performer",IF(AND(I834&gt;='Read Me &amp; Markers'!$B$22,L834&gt;='Read Me &amp; Markers'!$B$23),"C. Scale workhorse",IF(AND(I834&gt;='Read Me &amp; Markers'!$B$24,I834&lt;'Read Me &amp; Markers'!$B$18,J834&gt;='Read Me &amp; Markers'!$B$25,L834&gt;='Read Me &amp; Markers'!$B$26),"D. Promising (needs more spend)",""))))</f>
        <v/>
      </c>
      <c r="C834" s="4" t="s">
        <v>121</v>
      </c>
      <c r="D834" s="4" t="s">
        <v>206</v>
      </c>
      <c r="E834" s="4" t="s">
        <v>632</v>
      </c>
      <c r="F834" s="4" t="s">
        <v>230</v>
      </c>
      <c r="G834" s="4" t="s">
        <v>254</v>
      </c>
      <c r="H834" s="4" t="s">
        <v>2806</v>
      </c>
      <c r="I834" s="5" t="n">
        <v>5.56</v>
      </c>
      <c r="J834" s="7" t="n">
        <v>0</v>
      </c>
      <c r="K834" s="5" t="n">
        <v>0</v>
      </c>
      <c r="L834" s="8" t="n">
        <v>0</v>
      </c>
      <c r="M834" s="9" t="n">
        <v>0</v>
      </c>
      <c r="N834" s="10" t="n">
        <v>0.04545455</v>
      </c>
      <c r="O834" s="5" t="n">
        <v>126.36</v>
      </c>
      <c r="P834" s="11" t="n">
        <v>1.023256</v>
      </c>
      <c r="Q834" s="7" t="n">
        <v>44</v>
      </c>
      <c r="R834" s="7" t="n">
        <v>2</v>
      </c>
      <c r="S834" s="7" t="n">
        <v>0</v>
      </c>
      <c r="T834" s="7" t="n">
        <v>0</v>
      </c>
      <c r="U834" s="7" t="n">
        <v>32</v>
      </c>
      <c r="V834" s="7" t="n">
        <v>1</v>
      </c>
    </row>
    <row r="835" customFormat="false" ht="15" hidden="false" customHeight="false" outlineLevel="0" collapsed="false">
      <c r="A835" s="4" t="s">
        <v>2807</v>
      </c>
      <c r="B835" s="4" t="str">
        <f aca="false">IF(AND(I835&gt;='Read Me &amp; Markers'!$B$18,J835&gt;='Read Me &amp; Markers'!$B$19,L835&gt;='Read Me &amp; Markers'!$B$20),"A. Proven winner",IF(AND(I835&gt;='Read Me &amp; Markers'!$B$18,J835&gt;='Read Me &amp; Markers'!$B$19,L835&gt;='Read Me &amp; Markers'!$B$21),"B. Strong performer",IF(AND(I835&gt;='Read Me &amp; Markers'!$B$22,L835&gt;='Read Me &amp; Markers'!$B$23),"C. Scale workhorse",IF(AND(I835&gt;='Read Me &amp; Markers'!$B$24,I835&lt;'Read Me &amp; Markers'!$B$18,J835&gt;='Read Me &amp; Markers'!$B$25,L835&gt;='Read Me &amp; Markers'!$B$26),"D. Promising (needs more spend)",""))))</f>
        <v/>
      </c>
      <c r="C835" s="4" t="s">
        <v>2808</v>
      </c>
      <c r="D835" s="4" t="s">
        <v>109</v>
      </c>
      <c r="E835" s="4" t="s">
        <v>435</v>
      </c>
      <c r="F835" s="4" t="s">
        <v>111</v>
      </c>
      <c r="G835" s="4" t="s">
        <v>500</v>
      </c>
      <c r="H835" s="4" t="s">
        <v>2809</v>
      </c>
      <c r="I835" s="5" t="n">
        <v>5.53</v>
      </c>
      <c r="J835" s="7" t="n">
        <v>0</v>
      </c>
      <c r="K835" s="5" t="n">
        <v>0</v>
      </c>
      <c r="L835" s="8" t="n">
        <v>0</v>
      </c>
      <c r="M835" s="9" t="n">
        <v>0</v>
      </c>
      <c r="N835" s="10" t="n">
        <v>0.05</v>
      </c>
      <c r="O835" s="5" t="n">
        <v>138.25</v>
      </c>
      <c r="P835" s="11" t="n">
        <v>1.081081</v>
      </c>
      <c r="Q835" s="7" t="n">
        <v>40</v>
      </c>
      <c r="R835" s="7" t="n">
        <v>2</v>
      </c>
      <c r="S835" s="7" t="n">
        <v>0</v>
      </c>
      <c r="T835" s="7" t="n">
        <v>0</v>
      </c>
      <c r="U835" s="7" t="n">
        <v>37</v>
      </c>
      <c r="V835" s="7" t="n">
        <v>10</v>
      </c>
    </row>
    <row r="836" customFormat="false" ht="15" hidden="false" customHeight="false" outlineLevel="0" collapsed="false">
      <c r="A836" s="4" t="s">
        <v>2810</v>
      </c>
      <c r="B836" s="4" t="str">
        <f aca="false">IF(AND(I836&gt;='Read Me &amp; Markers'!$B$18,J836&gt;='Read Me &amp; Markers'!$B$19,L836&gt;='Read Me &amp; Markers'!$B$20),"A. Proven winner",IF(AND(I836&gt;='Read Me &amp; Markers'!$B$18,J836&gt;='Read Me &amp; Markers'!$B$19,L836&gt;='Read Me &amp; Markers'!$B$21),"B. Strong performer",IF(AND(I836&gt;='Read Me &amp; Markers'!$B$22,L836&gt;='Read Me &amp; Markers'!$B$23),"C. Scale workhorse",IF(AND(I836&gt;='Read Me &amp; Markers'!$B$24,I836&lt;'Read Me &amp; Markers'!$B$18,J836&gt;='Read Me &amp; Markers'!$B$25,L836&gt;='Read Me &amp; Markers'!$B$26),"D. Promising (needs more spend)",""))))</f>
        <v/>
      </c>
      <c r="C836" s="4" t="s">
        <v>2811</v>
      </c>
      <c r="D836" s="4" t="s">
        <v>109</v>
      </c>
      <c r="E836" s="4" t="s">
        <v>474</v>
      </c>
      <c r="F836" s="4" t="s">
        <v>111</v>
      </c>
      <c r="G836" s="4" t="s">
        <v>475</v>
      </c>
      <c r="H836" s="4" t="s">
        <v>2812</v>
      </c>
      <c r="I836" s="5" t="n">
        <v>5.51</v>
      </c>
      <c r="J836" s="7" t="n">
        <v>0</v>
      </c>
      <c r="K836" s="5" t="n">
        <v>0</v>
      </c>
      <c r="L836" s="8" t="n">
        <v>0</v>
      </c>
      <c r="M836" s="9" t="n">
        <v>0</v>
      </c>
      <c r="N836" s="10" t="n">
        <v>0.03947368</v>
      </c>
      <c r="O836" s="5" t="n">
        <v>72.5</v>
      </c>
      <c r="P836" s="11" t="n">
        <v>1.206349</v>
      </c>
      <c r="Q836" s="7" t="n">
        <v>76</v>
      </c>
      <c r="R836" s="7" t="n">
        <v>3</v>
      </c>
      <c r="S836" s="7" t="n">
        <v>0</v>
      </c>
      <c r="T836" s="7" t="n">
        <v>0</v>
      </c>
      <c r="U836" s="7" t="n">
        <v>0</v>
      </c>
      <c r="V836" s="7" t="n">
        <v>0</v>
      </c>
    </row>
    <row r="837" customFormat="false" ht="15" hidden="false" customHeight="false" outlineLevel="0" collapsed="false">
      <c r="A837" s="4" t="s">
        <v>2813</v>
      </c>
      <c r="B837" s="4" t="str">
        <f aca="false">IF(AND(I837&gt;='Read Me &amp; Markers'!$B$18,J837&gt;='Read Me &amp; Markers'!$B$19,L837&gt;='Read Me &amp; Markers'!$B$20),"A. Proven winner",IF(AND(I837&gt;='Read Me &amp; Markers'!$B$18,J837&gt;='Read Me &amp; Markers'!$B$19,L837&gt;='Read Me &amp; Markers'!$B$21),"B. Strong performer",IF(AND(I837&gt;='Read Me &amp; Markers'!$B$22,L837&gt;='Read Me &amp; Markers'!$B$23),"C. Scale workhorse",IF(AND(I837&gt;='Read Me &amp; Markers'!$B$24,I837&lt;'Read Me &amp; Markers'!$B$18,J837&gt;='Read Me &amp; Markers'!$B$25,L837&gt;='Read Me &amp; Markers'!$B$26),"D. Promising (needs more spend)",""))))</f>
        <v/>
      </c>
      <c r="C837" s="4" t="s">
        <v>2814</v>
      </c>
      <c r="D837" s="4" t="s">
        <v>109</v>
      </c>
      <c r="E837" s="4" t="s">
        <v>435</v>
      </c>
      <c r="F837" s="4" t="s">
        <v>111</v>
      </c>
      <c r="G837" s="4" t="s">
        <v>436</v>
      </c>
      <c r="H837" s="4" t="s">
        <v>2815</v>
      </c>
      <c r="I837" s="5" t="n">
        <v>5.44</v>
      </c>
      <c r="J837" s="7" t="n">
        <v>0</v>
      </c>
      <c r="K837" s="5" t="n">
        <v>0</v>
      </c>
      <c r="L837" s="8" t="n">
        <v>0</v>
      </c>
      <c r="M837" s="9" t="n">
        <v>0</v>
      </c>
      <c r="N837" s="10" t="n">
        <v>0.02941176</v>
      </c>
      <c r="O837" s="5" t="n">
        <v>160</v>
      </c>
      <c r="P837" s="11" t="n">
        <v>1.096774</v>
      </c>
      <c r="Q837" s="7" t="n">
        <v>34</v>
      </c>
      <c r="R837" s="7" t="n">
        <v>1</v>
      </c>
      <c r="S837" s="7" t="n">
        <v>0</v>
      </c>
      <c r="T837" s="7" t="n">
        <v>0</v>
      </c>
      <c r="U837" s="7" t="n">
        <v>32</v>
      </c>
      <c r="V837" s="7" t="n">
        <v>6</v>
      </c>
    </row>
    <row r="838" customFormat="false" ht="15" hidden="false" customHeight="false" outlineLevel="0" collapsed="false">
      <c r="A838" s="4" t="s">
        <v>2816</v>
      </c>
      <c r="B838" s="4" t="str">
        <f aca="false">IF(AND(I838&gt;='Read Me &amp; Markers'!$B$18,J838&gt;='Read Me &amp; Markers'!$B$19,L838&gt;='Read Me &amp; Markers'!$B$20),"A. Proven winner",IF(AND(I838&gt;='Read Me &amp; Markers'!$B$18,J838&gt;='Read Me &amp; Markers'!$B$19,L838&gt;='Read Me &amp; Markers'!$B$21),"B. Strong performer",IF(AND(I838&gt;='Read Me &amp; Markers'!$B$22,L838&gt;='Read Me &amp; Markers'!$B$23),"C. Scale workhorse",IF(AND(I838&gt;='Read Me &amp; Markers'!$B$24,I838&lt;'Read Me &amp; Markers'!$B$18,J838&gt;='Read Me &amp; Markers'!$B$25,L838&gt;='Read Me &amp; Markers'!$B$26),"D. Promising (needs more spend)",""))))</f>
        <v/>
      </c>
      <c r="C838" s="4" t="s">
        <v>2817</v>
      </c>
      <c r="D838" s="4" t="s">
        <v>109</v>
      </c>
      <c r="E838" s="4" t="s">
        <v>435</v>
      </c>
      <c r="F838" s="4" t="s">
        <v>111</v>
      </c>
      <c r="G838" s="4" t="s">
        <v>436</v>
      </c>
      <c r="H838" s="4" t="s">
        <v>2818</v>
      </c>
      <c r="I838" s="5" t="n">
        <v>5.43</v>
      </c>
      <c r="J838" s="7" t="n">
        <v>0</v>
      </c>
      <c r="K838" s="5" t="n">
        <v>0</v>
      </c>
      <c r="L838" s="8" t="n">
        <v>0</v>
      </c>
      <c r="M838" s="9" t="n">
        <v>0</v>
      </c>
      <c r="N838" s="10" t="n">
        <v>0.03125</v>
      </c>
      <c r="O838" s="5" t="n">
        <v>169.69</v>
      </c>
      <c r="P838" s="11" t="n">
        <v>1.032258</v>
      </c>
      <c r="Q838" s="7" t="n">
        <v>32</v>
      </c>
      <c r="R838" s="7" t="n">
        <v>1</v>
      </c>
      <c r="S838" s="7" t="n">
        <v>0</v>
      </c>
      <c r="T838" s="7" t="n">
        <v>0</v>
      </c>
      <c r="U838" s="7" t="n">
        <v>31</v>
      </c>
      <c r="V838" s="7" t="n">
        <v>9</v>
      </c>
    </row>
    <row r="839" customFormat="false" ht="15" hidden="false" customHeight="false" outlineLevel="0" collapsed="false">
      <c r="A839" s="4" t="s">
        <v>2819</v>
      </c>
      <c r="B839" s="4" t="str">
        <f aca="false">IF(AND(I839&gt;='Read Me &amp; Markers'!$B$18,J839&gt;='Read Me &amp; Markers'!$B$19,L839&gt;='Read Me &amp; Markers'!$B$20),"A. Proven winner",IF(AND(I839&gt;='Read Me &amp; Markers'!$B$18,J839&gt;='Read Me &amp; Markers'!$B$19,L839&gt;='Read Me &amp; Markers'!$B$21),"B. Strong performer",IF(AND(I839&gt;='Read Me &amp; Markers'!$B$22,L839&gt;='Read Me &amp; Markers'!$B$23),"C. Scale workhorse",IF(AND(I839&gt;='Read Me &amp; Markers'!$B$24,I839&lt;'Read Me &amp; Markers'!$B$18,J839&gt;='Read Me &amp; Markers'!$B$25,L839&gt;='Read Me &amp; Markers'!$B$26),"D. Promising (needs more spend)",""))))</f>
        <v/>
      </c>
      <c r="C839" s="4" t="s">
        <v>2820</v>
      </c>
      <c r="D839" s="4" t="s">
        <v>109</v>
      </c>
      <c r="E839" s="4" t="s">
        <v>512</v>
      </c>
      <c r="F839" s="4" t="s">
        <v>111</v>
      </c>
      <c r="G839" s="4" t="s">
        <v>490</v>
      </c>
      <c r="H839" s="4" t="s">
        <v>2821</v>
      </c>
      <c r="I839" s="5" t="n">
        <v>5.4</v>
      </c>
      <c r="J839" s="7" t="n">
        <v>0</v>
      </c>
      <c r="K839" s="5" t="n">
        <v>0</v>
      </c>
      <c r="L839" s="8" t="n">
        <v>0</v>
      </c>
      <c r="M839" s="9" t="n">
        <v>0</v>
      </c>
      <c r="N839" s="10" t="n">
        <v>0</v>
      </c>
      <c r="O839" s="5" t="n">
        <v>62.79</v>
      </c>
      <c r="P839" s="11" t="n">
        <v>1.246377</v>
      </c>
      <c r="Q839" s="7" t="n">
        <v>86</v>
      </c>
      <c r="R839" s="7" t="n">
        <v>0</v>
      </c>
      <c r="S839" s="7" t="n">
        <v>0</v>
      </c>
      <c r="T839" s="7" t="n">
        <v>0</v>
      </c>
      <c r="U839" s="7" t="n">
        <v>3</v>
      </c>
      <c r="V839" s="7" t="n">
        <v>0</v>
      </c>
    </row>
    <row r="840" customFormat="false" ht="15" hidden="false" customHeight="false" outlineLevel="0" collapsed="false">
      <c r="A840" s="4" t="s">
        <v>2822</v>
      </c>
      <c r="B840" s="4" t="str">
        <f aca="false">IF(AND(I840&gt;='Read Me &amp; Markers'!$B$18,J840&gt;='Read Me &amp; Markers'!$B$19,L840&gt;='Read Me &amp; Markers'!$B$20),"A. Proven winner",IF(AND(I840&gt;='Read Me &amp; Markers'!$B$18,J840&gt;='Read Me &amp; Markers'!$B$19,L840&gt;='Read Me &amp; Markers'!$B$21),"B. Strong performer",IF(AND(I840&gt;='Read Me &amp; Markers'!$B$22,L840&gt;='Read Me &amp; Markers'!$B$23),"C. Scale workhorse",IF(AND(I840&gt;='Read Me &amp; Markers'!$B$24,I840&lt;'Read Me &amp; Markers'!$B$18,J840&gt;='Read Me &amp; Markers'!$B$25,L840&gt;='Read Me &amp; Markers'!$B$26),"D. Promising (needs more spend)",""))))</f>
        <v/>
      </c>
      <c r="C840" s="4" t="s">
        <v>2823</v>
      </c>
      <c r="D840" s="4" t="s">
        <v>109</v>
      </c>
      <c r="E840" s="4" t="s">
        <v>738</v>
      </c>
      <c r="F840" s="4" t="s">
        <v>111</v>
      </c>
      <c r="G840" s="4" t="s">
        <v>739</v>
      </c>
      <c r="H840" s="4" t="s">
        <v>2824</v>
      </c>
      <c r="I840" s="5" t="n">
        <v>5.39</v>
      </c>
      <c r="J840" s="7" t="n">
        <v>0</v>
      </c>
      <c r="K840" s="5" t="n">
        <v>0</v>
      </c>
      <c r="L840" s="8" t="n">
        <v>0</v>
      </c>
      <c r="M840" s="9" t="n">
        <v>0</v>
      </c>
      <c r="N840" s="10" t="n">
        <v>0.1372549</v>
      </c>
      <c r="O840" s="5" t="n">
        <v>105.69</v>
      </c>
      <c r="P840" s="11" t="n">
        <v>1.133333</v>
      </c>
      <c r="Q840" s="7" t="n">
        <v>51</v>
      </c>
      <c r="R840" s="7" t="n">
        <v>7</v>
      </c>
      <c r="S840" s="7" t="n">
        <v>0</v>
      </c>
      <c r="T840" s="7" t="n">
        <v>1</v>
      </c>
      <c r="U840" s="7" t="n">
        <v>41</v>
      </c>
      <c r="V840" s="7" t="n">
        <v>10</v>
      </c>
    </row>
    <row r="841" customFormat="false" ht="15" hidden="false" customHeight="false" outlineLevel="0" collapsed="false">
      <c r="A841" s="4" t="s">
        <v>2825</v>
      </c>
      <c r="B841" s="4" t="str">
        <f aca="false">IF(AND(I841&gt;='Read Me &amp; Markers'!$B$18,J841&gt;='Read Me &amp; Markers'!$B$19,L841&gt;='Read Me &amp; Markers'!$B$20),"A. Proven winner",IF(AND(I841&gt;='Read Me &amp; Markers'!$B$18,J841&gt;='Read Me &amp; Markers'!$B$19,L841&gt;='Read Me &amp; Markers'!$B$21),"B. Strong performer",IF(AND(I841&gt;='Read Me &amp; Markers'!$B$22,L841&gt;='Read Me &amp; Markers'!$B$23),"C. Scale workhorse",IF(AND(I841&gt;='Read Me &amp; Markers'!$B$24,I841&lt;'Read Me &amp; Markers'!$B$18,J841&gt;='Read Me &amp; Markers'!$B$25,L841&gt;='Read Me &amp; Markers'!$B$26),"D. Promising (needs more spend)",""))))</f>
        <v/>
      </c>
      <c r="C841" s="4" t="s">
        <v>2826</v>
      </c>
      <c r="D841" s="4" t="s">
        <v>109</v>
      </c>
      <c r="E841" s="4" t="s">
        <v>474</v>
      </c>
      <c r="F841" s="4" t="s">
        <v>111</v>
      </c>
      <c r="G841" s="4" t="s">
        <v>475</v>
      </c>
      <c r="H841" s="4" t="s">
        <v>2827</v>
      </c>
      <c r="I841" s="5" t="n">
        <v>5.38</v>
      </c>
      <c r="J841" s="7" t="n">
        <v>0</v>
      </c>
      <c r="K841" s="5" t="n">
        <v>0</v>
      </c>
      <c r="L841" s="8" t="n">
        <v>0</v>
      </c>
      <c r="M841" s="9" t="n">
        <v>0</v>
      </c>
      <c r="N841" s="10" t="n">
        <v>0.02857143</v>
      </c>
      <c r="O841" s="5" t="n">
        <v>51.24</v>
      </c>
      <c r="P841" s="11" t="n">
        <v>1.141304</v>
      </c>
      <c r="Q841" s="7" t="n">
        <v>105</v>
      </c>
      <c r="R841" s="7" t="n">
        <v>3</v>
      </c>
      <c r="S841" s="7" t="n">
        <v>0</v>
      </c>
      <c r="T841" s="7" t="n">
        <v>0</v>
      </c>
      <c r="U841" s="7" t="n">
        <v>0</v>
      </c>
      <c r="V841" s="7" t="n">
        <v>0</v>
      </c>
    </row>
    <row r="842" customFormat="false" ht="15" hidden="false" customHeight="false" outlineLevel="0" collapsed="false">
      <c r="A842" s="4" t="s">
        <v>2828</v>
      </c>
      <c r="B842" s="4" t="str">
        <f aca="false">IF(AND(I842&gt;='Read Me &amp; Markers'!$B$18,J842&gt;='Read Me &amp; Markers'!$B$19,L842&gt;='Read Me &amp; Markers'!$B$20),"A. Proven winner",IF(AND(I842&gt;='Read Me &amp; Markers'!$B$18,J842&gt;='Read Me &amp; Markers'!$B$19,L842&gt;='Read Me &amp; Markers'!$B$21),"B. Strong performer",IF(AND(I842&gt;='Read Me &amp; Markers'!$B$22,L842&gt;='Read Me &amp; Markers'!$B$23),"C. Scale workhorse",IF(AND(I842&gt;='Read Me &amp; Markers'!$B$24,I842&lt;'Read Me &amp; Markers'!$B$18,J842&gt;='Read Me &amp; Markers'!$B$25,L842&gt;='Read Me &amp; Markers'!$B$26),"D. Promising (needs more spend)",""))))</f>
        <v/>
      </c>
      <c r="C842" s="4" t="s">
        <v>2829</v>
      </c>
      <c r="D842" s="4" t="s">
        <v>109</v>
      </c>
      <c r="E842" s="4" t="s">
        <v>489</v>
      </c>
      <c r="F842" s="4" t="s">
        <v>111</v>
      </c>
      <c r="G842" s="4" t="s">
        <v>490</v>
      </c>
      <c r="H842" s="4" t="s">
        <v>2830</v>
      </c>
      <c r="I842" s="5" t="n">
        <v>5.22</v>
      </c>
      <c r="J842" s="7" t="n">
        <v>0</v>
      </c>
      <c r="K842" s="5" t="n">
        <v>0</v>
      </c>
      <c r="L842" s="8" t="n">
        <v>0</v>
      </c>
      <c r="M842" s="9" t="n">
        <v>0</v>
      </c>
      <c r="N842" s="10" t="n">
        <v>0.05882353</v>
      </c>
      <c r="O842" s="5" t="n">
        <v>102.35</v>
      </c>
      <c r="P842" s="11" t="n">
        <v>1.416667</v>
      </c>
      <c r="Q842" s="7" t="n">
        <v>51</v>
      </c>
      <c r="R842" s="7" t="n">
        <v>3</v>
      </c>
      <c r="S842" s="7" t="n">
        <v>0</v>
      </c>
      <c r="T842" s="7" t="n">
        <v>0</v>
      </c>
      <c r="U842" s="7" t="n">
        <v>49</v>
      </c>
      <c r="V842" s="7" t="n">
        <v>4</v>
      </c>
    </row>
    <row r="843" customFormat="false" ht="15" hidden="false" customHeight="false" outlineLevel="0" collapsed="false">
      <c r="A843" s="4" t="s">
        <v>2831</v>
      </c>
      <c r="B843" s="4" t="str">
        <f aca="false">IF(AND(I843&gt;='Read Me &amp; Markers'!$B$18,J843&gt;='Read Me &amp; Markers'!$B$19,L843&gt;='Read Me &amp; Markers'!$B$20),"A. Proven winner",IF(AND(I843&gt;='Read Me &amp; Markers'!$B$18,J843&gt;='Read Me &amp; Markers'!$B$19,L843&gt;='Read Me &amp; Markers'!$B$21),"B. Strong performer",IF(AND(I843&gt;='Read Me &amp; Markers'!$B$22,L843&gt;='Read Me &amp; Markers'!$B$23),"C. Scale workhorse",IF(AND(I843&gt;='Read Me &amp; Markers'!$B$24,I843&lt;'Read Me &amp; Markers'!$B$18,J843&gt;='Read Me &amp; Markers'!$B$25,L843&gt;='Read Me &amp; Markers'!$B$26),"D. Promising (needs more spend)",""))))</f>
        <v/>
      </c>
      <c r="C843" s="4" t="s">
        <v>2832</v>
      </c>
      <c r="D843" s="4" t="s">
        <v>109</v>
      </c>
      <c r="E843" s="4" t="s">
        <v>429</v>
      </c>
      <c r="F843" s="4" t="s">
        <v>111</v>
      </c>
      <c r="G843" s="4" t="s">
        <v>431</v>
      </c>
      <c r="H843" s="4" t="s">
        <v>2833</v>
      </c>
      <c r="I843" s="5" t="n">
        <v>5.21</v>
      </c>
      <c r="J843" s="7" t="n">
        <v>0</v>
      </c>
      <c r="K843" s="5" t="n">
        <v>0</v>
      </c>
      <c r="L843" s="8" t="n">
        <v>0</v>
      </c>
      <c r="M843" s="9" t="n">
        <v>0</v>
      </c>
      <c r="N843" s="10" t="n">
        <v>0</v>
      </c>
      <c r="O843" s="5" t="n">
        <v>35.68</v>
      </c>
      <c r="P843" s="11" t="n">
        <v>1.168</v>
      </c>
      <c r="Q843" s="7" t="n">
        <v>146</v>
      </c>
      <c r="R843" s="7" t="n">
        <v>0</v>
      </c>
      <c r="S843" s="7" t="n">
        <v>0</v>
      </c>
      <c r="T843" s="7" t="n">
        <v>0</v>
      </c>
      <c r="U843" s="7" t="n">
        <v>0</v>
      </c>
      <c r="V843" s="7" t="n">
        <v>0</v>
      </c>
    </row>
    <row r="844" customFormat="false" ht="15" hidden="false" customHeight="false" outlineLevel="0" collapsed="false">
      <c r="A844" s="4" t="s">
        <v>2834</v>
      </c>
      <c r="B844" s="4" t="str">
        <f aca="false">IF(AND(I844&gt;='Read Me &amp; Markers'!$B$18,J844&gt;='Read Me &amp; Markers'!$B$19,L844&gt;='Read Me &amp; Markers'!$B$20),"A. Proven winner",IF(AND(I844&gt;='Read Me &amp; Markers'!$B$18,J844&gt;='Read Me &amp; Markers'!$B$19,L844&gt;='Read Me &amp; Markers'!$B$21),"B. Strong performer",IF(AND(I844&gt;='Read Me &amp; Markers'!$B$22,L844&gt;='Read Me &amp; Markers'!$B$23),"C. Scale workhorse",IF(AND(I844&gt;='Read Me &amp; Markers'!$B$24,I844&lt;'Read Me &amp; Markers'!$B$18,J844&gt;='Read Me &amp; Markers'!$B$25,L844&gt;='Read Me &amp; Markers'!$B$26),"D. Promising (needs more spend)",""))))</f>
        <v/>
      </c>
      <c r="C844" s="4" t="s">
        <v>2835</v>
      </c>
      <c r="D844" s="4" t="s">
        <v>1204</v>
      </c>
      <c r="E844" s="4" t="s">
        <v>2836</v>
      </c>
      <c r="F844" s="4" t="s">
        <v>253</v>
      </c>
      <c r="G844" s="4" t="s">
        <v>1206</v>
      </c>
      <c r="H844" s="4" t="s">
        <v>2837</v>
      </c>
      <c r="I844" s="5" t="n">
        <v>5.2</v>
      </c>
      <c r="J844" s="7" t="n">
        <v>0</v>
      </c>
      <c r="K844" s="5" t="n">
        <v>0</v>
      </c>
      <c r="L844" s="8" t="n">
        <v>0</v>
      </c>
      <c r="M844" s="9" t="n">
        <v>0</v>
      </c>
      <c r="N844" s="10" t="n">
        <v>0.06</v>
      </c>
      <c r="O844" s="5" t="n">
        <v>104</v>
      </c>
      <c r="P844" s="11" t="n">
        <v>1.06383</v>
      </c>
      <c r="Q844" s="7" t="n">
        <v>50</v>
      </c>
      <c r="R844" s="7" t="n">
        <v>3</v>
      </c>
      <c r="S844" s="7" t="n">
        <v>0</v>
      </c>
      <c r="T844" s="7" t="n">
        <v>0</v>
      </c>
      <c r="U844" s="7" t="n">
        <v>48</v>
      </c>
      <c r="V844" s="7" t="n">
        <v>3</v>
      </c>
    </row>
    <row r="845" customFormat="false" ht="15" hidden="false" customHeight="false" outlineLevel="0" collapsed="false">
      <c r="A845" s="4" t="s">
        <v>2838</v>
      </c>
      <c r="B845" s="4" t="str">
        <f aca="false">IF(AND(I845&gt;='Read Me &amp; Markers'!$B$18,J845&gt;='Read Me &amp; Markers'!$B$19,L845&gt;='Read Me &amp; Markers'!$B$20),"A. Proven winner",IF(AND(I845&gt;='Read Me &amp; Markers'!$B$18,J845&gt;='Read Me &amp; Markers'!$B$19,L845&gt;='Read Me &amp; Markers'!$B$21),"B. Strong performer",IF(AND(I845&gt;='Read Me &amp; Markers'!$B$22,L845&gt;='Read Me &amp; Markers'!$B$23),"C. Scale workhorse",IF(AND(I845&gt;='Read Me &amp; Markers'!$B$24,I845&lt;'Read Me &amp; Markers'!$B$18,J845&gt;='Read Me &amp; Markers'!$B$25,L845&gt;='Read Me &amp; Markers'!$B$26),"D. Promising (needs more spend)",""))))</f>
        <v/>
      </c>
      <c r="C845" s="4" t="s">
        <v>2839</v>
      </c>
      <c r="D845" s="4" t="s">
        <v>109</v>
      </c>
      <c r="E845" s="4" t="s">
        <v>435</v>
      </c>
      <c r="F845" s="4" t="s">
        <v>111</v>
      </c>
      <c r="G845" s="4" t="s">
        <v>436</v>
      </c>
      <c r="H845" s="4" t="s">
        <v>2840</v>
      </c>
      <c r="I845" s="5" t="n">
        <v>5.2</v>
      </c>
      <c r="J845" s="7" t="n">
        <v>0</v>
      </c>
      <c r="K845" s="5" t="n">
        <v>0</v>
      </c>
      <c r="L845" s="8" t="n">
        <v>0</v>
      </c>
      <c r="M845" s="9" t="n">
        <v>0</v>
      </c>
      <c r="N845" s="10" t="n">
        <v>0.00796813</v>
      </c>
      <c r="O845" s="5" t="n">
        <v>20.72</v>
      </c>
      <c r="P845" s="11" t="n">
        <v>1.476471</v>
      </c>
      <c r="Q845" s="7" t="n">
        <v>251</v>
      </c>
      <c r="R845" s="7" t="n">
        <v>2</v>
      </c>
      <c r="S845" s="7" t="n">
        <v>0</v>
      </c>
      <c r="T845" s="7" t="n">
        <v>0</v>
      </c>
      <c r="U845" s="7" t="n">
        <v>0</v>
      </c>
      <c r="V845" s="7" t="n">
        <v>0</v>
      </c>
    </row>
    <row r="846" customFormat="false" ht="15" hidden="false" customHeight="false" outlineLevel="0" collapsed="false">
      <c r="A846" s="4" t="s">
        <v>2841</v>
      </c>
      <c r="B846" s="4" t="str">
        <f aca="false">IF(AND(I846&gt;='Read Me &amp; Markers'!$B$18,J846&gt;='Read Me &amp; Markers'!$B$19,L846&gt;='Read Me &amp; Markers'!$B$20),"A. Proven winner",IF(AND(I846&gt;='Read Me &amp; Markers'!$B$18,J846&gt;='Read Me &amp; Markers'!$B$19,L846&gt;='Read Me &amp; Markers'!$B$21),"B. Strong performer",IF(AND(I846&gt;='Read Me &amp; Markers'!$B$22,L846&gt;='Read Me &amp; Markers'!$B$23),"C. Scale workhorse",IF(AND(I846&gt;='Read Me &amp; Markers'!$B$24,I846&lt;'Read Me &amp; Markers'!$B$18,J846&gt;='Read Me &amp; Markers'!$B$25,L846&gt;='Read Me &amp; Markers'!$B$26),"D. Promising (needs more spend)",""))))</f>
        <v/>
      </c>
      <c r="C846" s="4" t="s">
        <v>169</v>
      </c>
      <c r="D846" s="4" t="s">
        <v>206</v>
      </c>
      <c r="E846" s="4" t="s">
        <v>1103</v>
      </c>
      <c r="F846" s="4" t="s">
        <v>230</v>
      </c>
      <c r="G846" s="4" t="s">
        <v>743</v>
      </c>
      <c r="H846" s="4" t="s">
        <v>2842</v>
      </c>
      <c r="I846" s="5" t="n">
        <v>5.2</v>
      </c>
      <c r="J846" s="7" t="n">
        <v>0</v>
      </c>
      <c r="K846" s="5" t="n">
        <v>0</v>
      </c>
      <c r="L846" s="8" t="n">
        <v>0</v>
      </c>
      <c r="M846" s="9" t="n">
        <v>0</v>
      </c>
      <c r="N846" s="10" t="n">
        <v>0.01449275</v>
      </c>
      <c r="O846" s="5" t="n">
        <v>75.36</v>
      </c>
      <c r="P846" s="11" t="n">
        <v>1.014706</v>
      </c>
      <c r="Q846" s="7" t="n">
        <v>69</v>
      </c>
      <c r="R846" s="7" t="n">
        <v>1</v>
      </c>
      <c r="S846" s="7" t="n">
        <v>0</v>
      </c>
      <c r="T846" s="7" t="n">
        <v>0</v>
      </c>
      <c r="U846" s="7" t="n">
        <v>64</v>
      </c>
      <c r="V846" s="7" t="n">
        <v>2</v>
      </c>
    </row>
    <row r="847" customFormat="false" ht="15" hidden="false" customHeight="false" outlineLevel="0" collapsed="false">
      <c r="A847" s="4" t="s">
        <v>2843</v>
      </c>
      <c r="B847" s="4" t="str">
        <f aca="false">IF(AND(I847&gt;='Read Me &amp; Markers'!$B$18,J847&gt;='Read Me &amp; Markers'!$B$19,L847&gt;='Read Me &amp; Markers'!$B$20),"A. Proven winner",IF(AND(I847&gt;='Read Me &amp; Markers'!$B$18,J847&gt;='Read Me &amp; Markers'!$B$19,L847&gt;='Read Me &amp; Markers'!$B$21),"B. Strong performer",IF(AND(I847&gt;='Read Me &amp; Markers'!$B$22,L847&gt;='Read Me &amp; Markers'!$B$23),"C. Scale workhorse",IF(AND(I847&gt;='Read Me &amp; Markers'!$B$24,I847&lt;'Read Me &amp; Markers'!$B$18,J847&gt;='Read Me &amp; Markers'!$B$25,L847&gt;='Read Me &amp; Markers'!$B$26),"D. Promising (needs more spend)",""))))</f>
        <v/>
      </c>
      <c r="C847" s="4" t="s">
        <v>2844</v>
      </c>
      <c r="D847" s="4" t="s">
        <v>528</v>
      </c>
      <c r="E847" s="4" t="s">
        <v>792</v>
      </c>
      <c r="F847" s="4" t="s">
        <v>230</v>
      </c>
      <c r="G847" s="4" t="s">
        <v>378</v>
      </c>
      <c r="H847" s="4" t="s">
        <v>2845</v>
      </c>
      <c r="I847" s="5" t="n">
        <v>5.19</v>
      </c>
      <c r="J847" s="7" t="n">
        <v>0</v>
      </c>
      <c r="K847" s="5" t="n">
        <v>0</v>
      </c>
      <c r="L847" s="8" t="n">
        <v>0</v>
      </c>
      <c r="M847" s="9" t="n">
        <v>0</v>
      </c>
      <c r="N847" s="10" t="n">
        <v>0.04166667</v>
      </c>
      <c r="O847" s="5" t="n">
        <v>216.25</v>
      </c>
      <c r="P847" s="11" t="n">
        <v>1.090909</v>
      </c>
      <c r="Q847" s="7" t="n">
        <v>24</v>
      </c>
      <c r="R847" s="7" t="n">
        <v>1</v>
      </c>
      <c r="S847" s="7" t="n">
        <v>0</v>
      </c>
      <c r="T847" s="7" t="n">
        <v>0</v>
      </c>
      <c r="U847" s="7" t="n">
        <v>20</v>
      </c>
      <c r="V847" s="7" t="n">
        <v>0</v>
      </c>
    </row>
    <row r="848" customFormat="false" ht="15" hidden="false" customHeight="false" outlineLevel="0" collapsed="false">
      <c r="A848" s="4" t="s">
        <v>2846</v>
      </c>
      <c r="B848" s="4" t="str">
        <f aca="false">IF(AND(I848&gt;='Read Me &amp; Markers'!$B$18,J848&gt;='Read Me &amp; Markers'!$B$19,L848&gt;='Read Me &amp; Markers'!$B$20),"A. Proven winner",IF(AND(I848&gt;='Read Me &amp; Markers'!$B$18,J848&gt;='Read Me &amp; Markers'!$B$19,L848&gt;='Read Me &amp; Markers'!$B$21),"B. Strong performer",IF(AND(I848&gt;='Read Me &amp; Markers'!$B$22,L848&gt;='Read Me &amp; Markers'!$B$23),"C. Scale workhorse",IF(AND(I848&gt;='Read Me &amp; Markers'!$B$24,I848&lt;'Read Me &amp; Markers'!$B$18,J848&gt;='Read Me &amp; Markers'!$B$25,L848&gt;='Read Me &amp; Markers'!$B$26),"D. Promising (needs more spend)",""))))</f>
        <v/>
      </c>
      <c r="C848" s="4" t="s">
        <v>2847</v>
      </c>
      <c r="D848" s="4" t="s">
        <v>109</v>
      </c>
      <c r="E848" s="4" t="s">
        <v>512</v>
      </c>
      <c r="F848" s="4" t="s">
        <v>111</v>
      </c>
      <c r="G848" s="4" t="s">
        <v>490</v>
      </c>
      <c r="H848" s="4" t="s">
        <v>2848</v>
      </c>
      <c r="I848" s="5" t="n">
        <v>5.12</v>
      </c>
      <c r="J848" s="7" t="n">
        <v>0</v>
      </c>
      <c r="K848" s="5" t="n">
        <v>0</v>
      </c>
      <c r="L848" s="8" t="n">
        <v>0</v>
      </c>
      <c r="M848" s="9" t="n">
        <v>0</v>
      </c>
      <c r="N848" s="10" t="n">
        <v>0.0625</v>
      </c>
      <c r="O848" s="5" t="n">
        <v>320</v>
      </c>
      <c r="P848" s="11" t="n">
        <v>1.066667</v>
      </c>
      <c r="Q848" s="7" t="n">
        <v>16</v>
      </c>
      <c r="R848" s="7" t="n">
        <v>1</v>
      </c>
      <c r="S848" s="7" t="n">
        <v>0</v>
      </c>
      <c r="T848" s="7" t="n">
        <v>0</v>
      </c>
      <c r="U848" s="7" t="n">
        <v>14</v>
      </c>
      <c r="V848" s="7" t="n">
        <v>3</v>
      </c>
    </row>
    <row r="849" customFormat="false" ht="15" hidden="false" customHeight="false" outlineLevel="0" collapsed="false">
      <c r="A849" s="4" t="s">
        <v>2849</v>
      </c>
      <c r="B849" s="4" t="str">
        <f aca="false">IF(AND(I849&gt;='Read Me &amp; Markers'!$B$18,J849&gt;='Read Me &amp; Markers'!$B$19,L849&gt;='Read Me &amp; Markers'!$B$20),"A. Proven winner",IF(AND(I849&gt;='Read Me &amp; Markers'!$B$18,J849&gt;='Read Me &amp; Markers'!$B$19,L849&gt;='Read Me &amp; Markers'!$B$21),"B. Strong performer",IF(AND(I849&gt;='Read Me &amp; Markers'!$B$22,L849&gt;='Read Me &amp; Markers'!$B$23),"C. Scale workhorse",IF(AND(I849&gt;='Read Me &amp; Markers'!$B$24,I849&lt;'Read Me &amp; Markers'!$B$18,J849&gt;='Read Me &amp; Markers'!$B$25,L849&gt;='Read Me &amp; Markers'!$B$26),"D. Promising (needs more spend)",""))))</f>
        <v/>
      </c>
      <c r="C849" s="4" t="s">
        <v>2850</v>
      </c>
      <c r="D849" s="4" t="s">
        <v>109</v>
      </c>
      <c r="E849" s="4" t="s">
        <v>2019</v>
      </c>
      <c r="F849" s="4" t="s">
        <v>172</v>
      </c>
      <c r="G849" s="4" t="s">
        <v>317</v>
      </c>
      <c r="H849" s="4" t="s">
        <v>2851</v>
      </c>
      <c r="I849" s="5" t="n">
        <v>5.12</v>
      </c>
      <c r="J849" s="7" t="n">
        <v>0</v>
      </c>
      <c r="K849" s="5" t="n">
        <v>0</v>
      </c>
      <c r="L849" s="8" t="n">
        <v>0</v>
      </c>
      <c r="M849" s="9" t="n">
        <v>0</v>
      </c>
      <c r="N849" s="10" t="n">
        <v>0</v>
      </c>
      <c r="O849" s="5" t="n">
        <v>104.49</v>
      </c>
      <c r="P849" s="11" t="n">
        <v>1.042553</v>
      </c>
      <c r="Q849" s="7" t="n">
        <v>49</v>
      </c>
      <c r="R849" s="7" t="n">
        <v>0</v>
      </c>
      <c r="S849" s="7" t="n">
        <v>0</v>
      </c>
      <c r="T849" s="7" t="n">
        <v>0</v>
      </c>
      <c r="U849" s="7" t="n">
        <v>37</v>
      </c>
      <c r="V849" s="7" t="n">
        <v>4</v>
      </c>
    </row>
    <row r="850" customFormat="false" ht="15" hidden="false" customHeight="false" outlineLevel="0" collapsed="false">
      <c r="A850" s="4" t="s">
        <v>2852</v>
      </c>
      <c r="B850" s="4" t="str">
        <f aca="false">IF(AND(I850&gt;='Read Me &amp; Markers'!$B$18,J850&gt;='Read Me &amp; Markers'!$B$19,L850&gt;='Read Me &amp; Markers'!$B$20),"A. Proven winner",IF(AND(I850&gt;='Read Me &amp; Markers'!$B$18,J850&gt;='Read Me &amp; Markers'!$B$19,L850&gt;='Read Me &amp; Markers'!$B$21),"B. Strong performer",IF(AND(I850&gt;='Read Me &amp; Markers'!$B$22,L850&gt;='Read Me &amp; Markers'!$B$23),"C. Scale workhorse",IF(AND(I850&gt;='Read Me &amp; Markers'!$B$24,I850&lt;'Read Me &amp; Markers'!$B$18,J850&gt;='Read Me &amp; Markers'!$B$25,L850&gt;='Read Me &amp; Markers'!$B$26),"D. Promising (needs more spend)",""))))</f>
        <v/>
      </c>
      <c r="C850" s="4" t="s">
        <v>2853</v>
      </c>
      <c r="D850" s="4" t="s">
        <v>109</v>
      </c>
      <c r="E850" s="4" t="s">
        <v>2854</v>
      </c>
      <c r="F850" s="4" t="s">
        <v>111</v>
      </c>
      <c r="G850" s="4" t="s">
        <v>286</v>
      </c>
      <c r="H850" s="4" t="s">
        <v>2855</v>
      </c>
      <c r="I850" s="5" t="n">
        <v>5.08</v>
      </c>
      <c r="J850" s="7" t="n">
        <v>0</v>
      </c>
      <c r="K850" s="5" t="n">
        <v>0</v>
      </c>
      <c r="L850" s="8" t="n">
        <v>0</v>
      </c>
      <c r="M850" s="9" t="n">
        <v>0</v>
      </c>
      <c r="N850" s="10" t="n">
        <v>0.03448276</v>
      </c>
      <c r="O850" s="5" t="n">
        <v>87.59</v>
      </c>
      <c r="P850" s="11" t="n">
        <v>1.26087</v>
      </c>
      <c r="Q850" s="7" t="n">
        <v>58</v>
      </c>
      <c r="R850" s="7" t="n">
        <v>2</v>
      </c>
      <c r="S850" s="7" t="n">
        <v>0</v>
      </c>
      <c r="T850" s="7" t="n">
        <v>0</v>
      </c>
      <c r="U850" s="7" t="n">
        <v>51</v>
      </c>
      <c r="V850" s="7" t="n">
        <v>2</v>
      </c>
    </row>
    <row r="851" customFormat="false" ht="15" hidden="false" customHeight="false" outlineLevel="0" collapsed="false">
      <c r="A851" s="4" t="s">
        <v>2856</v>
      </c>
      <c r="B851" s="4" t="str">
        <f aca="false">IF(AND(I851&gt;='Read Me &amp; Markers'!$B$18,J851&gt;='Read Me &amp; Markers'!$B$19,L851&gt;='Read Me &amp; Markers'!$B$20),"A. Proven winner",IF(AND(I851&gt;='Read Me &amp; Markers'!$B$18,J851&gt;='Read Me &amp; Markers'!$B$19,L851&gt;='Read Me &amp; Markers'!$B$21),"B. Strong performer",IF(AND(I851&gt;='Read Me &amp; Markers'!$B$22,L851&gt;='Read Me &amp; Markers'!$B$23),"C. Scale workhorse",IF(AND(I851&gt;='Read Me &amp; Markers'!$B$24,I851&lt;'Read Me &amp; Markers'!$B$18,J851&gt;='Read Me &amp; Markers'!$B$25,L851&gt;='Read Me &amp; Markers'!$B$26),"D. Promising (needs more spend)",""))))</f>
        <v/>
      </c>
      <c r="C851" s="4" t="s">
        <v>2857</v>
      </c>
      <c r="D851" s="4" t="s">
        <v>109</v>
      </c>
      <c r="E851" s="4" t="s">
        <v>979</v>
      </c>
      <c r="F851" s="4" t="s">
        <v>172</v>
      </c>
      <c r="G851" s="4" t="s">
        <v>659</v>
      </c>
      <c r="H851" s="4" t="s">
        <v>2858</v>
      </c>
      <c r="I851" s="5" t="n">
        <v>5.02</v>
      </c>
      <c r="J851" s="7" t="n">
        <v>0</v>
      </c>
      <c r="K851" s="5" t="n">
        <v>0</v>
      </c>
      <c r="L851" s="8" t="n">
        <v>0</v>
      </c>
      <c r="M851" s="9" t="n">
        <v>0</v>
      </c>
      <c r="N851" s="10" t="n">
        <v>0</v>
      </c>
      <c r="O851" s="5" t="n">
        <v>156.88</v>
      </c>
      <c r="P851" s="11" t="n">
        <v>1.103448</v>
      </c>
      <c r="Q851" s="7" t="n">
        <v>32</v>
      </c>
      <c r="R851" s="7" t="n">
        <v>0</v>
      </c>
      <c r="S851" s="7" t="n">
        <v>0</v>
      </c>
      <c r="T851" s="7" t="n">
        <v>0</v>
      </c>
      <c r="U851" s="7" t="n">
        <v>30</v>
      </c>
      <c r="V851" s="7" t="n">
        <v>0</v>
      </c>
    </row>
    <row r="852" customFormat="false" ht="15" hidden="false" customHeight="false" outlineLevel="0" collapsed="false">
      <c r="A852" s="4" t="s">
        <v>2859</v>
      </c>
      <c r="B852" s="4" t="str">
        <f aca="false">IF(AND(I852&gt;='Read Me &amp; Markers'!$B$18,J852&gt;='Read Me &amp; Markers'!$B$19,L852&gt;='Read Me &amp; Markers'!$B$20),"A. Proven winner",IF(AND(I852&gt;='Read Me &amp; Markers'!$B$18,J852&gt;='Read Me &amp; Markers'!$B$19,L852&gt;='Read Me &amp; Markers'!$B$21),"B. Strong performer",IF(AND(I852&gt;='Read Me &amp; Markers'!$B$22,L852&gt;='Read Me &amp; Markers'!$B$23),"C. Scale workhorse",IF(AND(I852&gt;='Read Me &amp; Markers'!$B$24,I852&lt;'Read Me &amp; Markers'!$B$18,J852&gt;='Read Me &amp; Markers'!$B$25,L852&gt;='Read Me &amp; Markers'!$B$26),"D. Promising (needs more spend)",""))))</f>
        <v/>
      </c>
      <c r="C852" s="4" t="s">
        <v>2860</v>
      </c>
      <c r="D852" s="4" t="s">
        <v>109</v>
      </c>
      <c r="E852" s="4" t="s">
        <v>1501</v>
      </c>
      <c r="F852" s="4" t="s">
        <v>111</v>
      </c>
      <c r="G852" s="4" t="s">
        <v>1502</v>
      </c>
      <c r="H852" s="4" t="s">
        <v>2861</v>
      </c>
      <c r="I852" s="5" t="n">
        <v>4.99</v>
      </c>
      <c r="J852" s="7" t="n">
        <v>0</v>
      </c>
      <c r="K852" s="5" t="n">
        <v>0</v>
      </c>
      <c r="L852" s="8" t="n">
        <v>0</v>
      </c>
      <c r="M852" s="9" t="n">
        <v>0</v>
      </c>
      <c r="N852" s="10" t="n">
        <v>0.04255319</v>
      </c>
      <c r="O852" s="5" t="n">
        <v>106.17</v>
      </c>
      <c r="P852" s="11" t="n">
        <v>1.021739</v>
      </c>
      <c r="Q852" s="7" t="n">
        <v>47</v>
      </c>
      <c r="R852" s="7" t="n">
        <v>2</v>
      </c>
      <c r="S852" s="7" t="n">
        <v>0</v>
      </c>
      <c r="T852" s="7" t="n">
        <v>0</v>
      </c>
      <c r="U852" s="7" t="n">
        <v>42</v>
      </c>
      <c r="V852" s="7" t="n">
        <v>12</v>
      </c>
    </row>
    <row r="853" customFormat="false" ht="15" hidden="false" customHeight="false" outlineLevel="0" collapsed="false">
      <c r="A853" s="4" t="s">
        <v>2862</v>
      </c>
      <c r="B853" s="4" t="str">
        <f aca="false">IF(AND(I853&gt;='Read Me &amp; Markers'!$B$18,J853&gt;='Read Me &amp; Markers'!$B$19,L853&gt;='Read Me &amp; Markers'!$B$20),"A. Proven winner",IF(AND(I853&gt;='Read Me &amp; Markers'!$B$18,J853&gt;='Read Me &amp; Markers'!$B$19,L853&gt;='Read Me &amp; Markers'!$B$21),"B. Strong performer",IF(AND(I853&gt;='Read Me &amp; Markers'!$B$22,L853&gt;='Read Me &amp; Markers'!$B$23),"C. Scale workhorse",IF(AND(I853&gt;='Read Me &amp; Markers'!$B$24,I853&lt;'Read Me &amp; Markers'!$B$18,J853&gt;='Read Me &amp; Markers'!$B$25,L853&gt;='Read Me &amp; Markers'!$B$26),"D. Promising (needs more spend)",""))))</f>
        <v/>
      </c>
      <c r="C853" s="4" t="s">
        <v>129</v>
      </c>
      <c r="D853" s="4" t="s">
        <v>100</v>
      </c>
      <c r="E853" s="4" t="s">
        <v>2300</v>
      </c>
      <c r="F853" s="4" t="s">
        <v>172</v>
      </c>
      <c r="G853" s="4" t="s">
        <v>348</v>
      </c>
      <c r="H853" s="4" t="s">
        <v>2863</v>
      </c>
      <c r="I853" s="5" t="n">
        <v>4.97</v>
      </c>
      <c r="J853" s="7" t="n">
        <v>0</v>
      </c>
      <c r="K853" s="5" t="n">
        <v>0</v>
      </c>
      <c r="L853" s="8" t="n">
        <v>0</v>
      </c>
      <c r="M853" s="9" t="n">
        <v>0</v>
      </c>
      <c r="N853" s="10" t="n">
        <v>0.008</v>
      </c>
      <c r="O853" s="5" t="n">
        <v>39.76</v>
      </c>
      <c r="P853" s="11" t="n">
        <v>1.168224</v>
      </c>
      <c r="Q853" s="7" t="n">
        <v>125</v>
      </c>
      <c r="R853" s="7" t="n">
        <v>1</v>
      </c>
      <c r="S853" s="7" t="n">
        <v>0</v>
      </c>
      <c r="T853" s="7" t="n">
        <v>0</v>
      </c>
      <c r="U853" s="7" t="n">
        <v>77</v>
      </c>
      <c r="V853" s="7" t="n">
        <v>3</v>
      </c>
    </row>
    <row r="854" customFormat="false" ht="15" hidden="false" customHeight="false" outlineLevel="0" collapsed="false">
      <c r="A854" s="4" t="s">
        <v>2864</v>
      </c>
      <c r="B854" s="4" t="str">
        <f aca="false">IF(AND(I854&gt;='Read Me &amp; Markers'!$B$18,J854&gt;='Read Me &amp; Markers'!$B$19,L854&gt;='Read Me &amp; Markers'!$B$20),"A. Proven winner",IF(AND(I854&gt;='Read Me &amp; Markers'!$B$18,J854&gt;='Read Me &amp; Markers'!$B$19,L854&gt;='Read Me &amp; Markers'!$B$21),"B. Strong performer",IF(AND(I854&gt;='Read Me &amp; Markers'!$B$22,L854&gt;='Read Me &amp; Markers'!$B$23),"C. Scale workhorse",IF(AND(I854&gt;='Read Me &amp; Markers'!$B$24,I854&lt;'Read Me &amp; Markers'!$B$18,J854&gt;='Read Me &amp; Markers'!$B$25,L854&gt;='Read Me &amp; Markers'!$B$26),"D. Promising (needs more spend)",""))))</f>
        <v/>
      </c>
      <c r="C854" s="4" t="s">
        <v>2865</v>
      </c>
      <c r="D854" s="4" t="s">
        <v>109</v>
      </c>
      <c r="E854" s="4" t="s">
        <v>2778</v>
      </c>
      <c r="F854" s="4" t="s">
        <v>111</v>
      </c>
      <c r="G854" s="4" t="s">
        <v>286</v>
      </c>
      <c r="H854" s="4" t="s">
        <v>2866</v>
      </c>
      <c r="I854" s="5" t="n">
        <v>4.94</v>
      </c>
      <c r="J854" s="7" t="n">
        <v>0</v>
      </c>
      <c r="K854" s="5" t="n">
        <v>0</v>
      </c>
      <c r="L854" s="8" t="n">
        <v>0</v>
      </c>
      <c r="M854" s="9" t="n">
        <v>0</v>
      </c>
      <c r="N854" s="10" t="n">
        <v>0</v>
      </c>
      <c r="O854" s="5" t="n">
        <v>43.72</v>
      </c>
      <c r="P854" s="11" t="n">
        <v>1.298851</v>
      </c>
      <c r="Q854" s="7" t="n">
        <v>113</v>
      </c>
      <c r="R854" s="7" t="n">
        <v>0</v>
      </c>
      <c r="S854" s="7" t="n">
        <v>0</v>
      </c>
      <c r="T854" s="7" t="n">
        <v>0</v>
      </c>
      <c r="U854" s="7" t="n">
        <v>3</v>
      </c>
      <c r="V854" s="7" t="n">
        <v>0</v>
      </c>
    </row>
    <row r="855" customFormat="false" ht="15" hidden="false" customHeight="false" outlineLevel="0" collapsed="false">
      <c r="A855" s="4" t="s">
        <v>2867</v>
      </c>
      <c r="B855" s="4" t="str">
        <f aca="false">IF(AND(I855&gt;='Read Me &amp; Markers'!$B$18,J855&gt;='Read Me &amp; Markers'!$B$19,L855&gt;='Read Me &amp; Markers'!$B$20),"A. Proven winner",IF(AND(I855&gt;='Read Me &amp; Markers'!$B$18,J855&gt;='Read Me &amp; Markers'!$B$19,L855&gt;='Read Me &amp; Markers'!$B$21),"B. Strong performer",IF(AND(I855&gt;='Read Me &amp; Markers'!$B$22,L855&gt;='Read Me &amp; Markers'!$B$23),"C. Scale workhorse",IF(AND(I855&gt;='Read Me &amp; Markers'!$B$24,I855&lt;'Read Me &amp; Markers'!$B$18,J855&gt;='Read Me &amp; Markers'!$B$25,L855&gt;='Read Me &amp; Markers'!$B$26),"D. Promising (needs more spend)",""))))</f>
        <v/>
      </c>
      <c r="C855" s="4" t="s">
        <v>2868</v>
      </c>
      <c r="D855" s="4" t="s">
        <v>1204</v>
      </c>
      <c r="E855" s="4" t="s">
        <v>2188</v>
      </c>
      <c r="F855" s="4" t="s">
        <v>253</v>
      </c>
      <c r="G855" s="4" t="s">
        <v>1206</v>
      </c>
      <c r="H855" s="4" t="s">
        <v>2869</v>
      </c>
      <c r="I855" s="5" t="n">
        <v>4.91</v>
      </c>
      <c r="J855" s="7" t="n">
        <v>0</v>
      </c>
      <c r="K855" s="5" t="n">
        <v>0</v>
      </c>
      <c r="L855" s="8" t="n">
        <v>0</v>
      </c>
      <c r="M855" s="9" t="n">
        <v>0</v>
      </c>
      <c r="N855" s="10" t="n">
        <v>0.07142857</v>
      </c>
      <c r="O855" s="5" t="n">
        <v>350.71</v>
      </c>
      <c r="P855" s="11" t="n">
        <v>1.076923</v>
      </c>
      <c r="Q855" s="7" t="n">
        <v>14</v>
      </c>
      <c r="R855" s="7" t="n">
        <v>1</v>
      </c>
      <c r="S855" s="7" t="n">
        <v>0</v>
      </c>
      <c r="T855" s="7" t="n">
        <v>0</v>
      </c>
      <c r="U855" s="7" t="n">
        <v>14</v>
      </c>
      <c r="V855" s="7" t="n">
        <v>4</v>
      </c>
    </row>
    <row r="856" customFormat="false" ht="15" hidden="false" customHeight="false" outlineLevel="0" collapsed="false">
      <c r="A856" s="4" t="s">
        <v>2870</v>
      </c>
      <c r="B856" s="4" t="str">
        <f aca="false">IF(AND(I856&gt;='Read Me &amp; Markers'!$B$18,J856&gt;='Read Me &amp; Markers'!$B$19,L856&gt;='Read Me &amp; Markers'!$B$20),"A. Proven winner",IF(AND(I856&gt;='Read Me &amp; Markers'!$B$18,J856&gt;='Read Me &amp; Markers'!$B$19,L856&gt;='Read Me &amp; Markers'!$B$21),"B. Strong performer",IF(AND(I856&gt;='Read Me &amp; Markers'!$B$22,L856&gt;='Read Me &amp; Markers'!$B$23),"C. Scale workhorse",IF(AND(I856&gt;='Read Me &amp; Markers'!$B$24,I856&lt;'Read Me &amp; Markers'!$B$18,J856&gt;='Read Me &amp; Markers'!$B$25,L856&gt;='Read Me &amp; Markers'!$B$26),"D. Promising (needs more spend)",""))))</f>
        <v/>
      </c>
      <c r="C856" s="4" t="s">
        <v>2871</v>
      </c>
      <c r="D856" s="4" t="s">
        <v>109</v>
      </c>
      <c r="E856" s="4" t="s">
        <v>2620</v>
      </c>
      <c r="F856" s="4" t="s">
        <v>111</v>
      </c>
      <c r="G856" s="4" t="s">
        <v>739</v>
      </c>
      <c r="H856" s="4" t="s">
        <v>2872</v>
      </c>
      <c r="I856" s="5" t="n">
        <v>4.88</v>
      </c>
      <c r="J856" s="7" t="n">
        <v>0</v>
      </c>
      <c r="K856" s="5" t="n">
        <v>0</v>
      </c>
      <c r="L856" s="8" t="n">
        <v>0</v>
      </c>
      <c r="M856" s="9" t="n">
        <v>0</v>
      </c>
      <c r="N856" s="10" t="n">
        <v>0</v>
      </c>
      <c r="O856" s="5" t="n">
        <v>212.17</v>
      </c>
      <c r="P856" s="11" t="n">
        <v>1.4375</v>
      </c>
      <c r="Q856" s="7" t="n">
        <v>23</v>
      </c>
      <c r="R856" s="7" t="n">
        <v>0</v>
      </c>
      <c r="S856" s="7" t="n">
        <v>0</v>
      </c>
      <c r="T856" s="7" t="n">
        <v>0</v>
      </c>
      <c r="U856" s="7" t="n">
        <v>0</v>
      </c>
      <c r="V856" s="7" t="n">
        <v>0</v>
      </c>
    </row>
    <row r="857" customFormat="false" ht="15" hidden="false" customHeight="false" outlineLevel="0" collapsed="false">
      <c r="A857" s="4" t="s">
        <v>2873</v>
      </c>
      <c r="B857" s="4" t="str">
        <f aca="false">IF(AND(I857&gt;='Read Me &amp; Markers'!$B$18,J857&gt;='Read Me &amp; Markers'!$B$19,L857&gt;='Read Me &amp; Markers'!$B$20),"A. Proven winner",IF(AND(I857&gt;='Read Me &amp; Markers'!$B$18,J857&gt;='Read Me &amp; Markers'!$B$19,L857&gt;='Read Me &amp; Markers'!$B$21),"B. Strong performer",IF(AND(I857&gt;='Read Me &amp; Markers'!$B$22,L857&gt;='Read Me &amp; Markers'!$B$23),"C. Scale workhorse",IF(AND(I857&gt;='Read Me &amp; Markers'!$B$24,I857&lt;'Read Me &amp; Markers'!$B$18,J857&gt;='Read Me &amp; Markers'!$B$25,L857&gt;='Read Me &amp; Markers'!$B$26),"D. Promising (needs more spend)",""))))</f>
        <v/>
      </c>
      <c r="C857" s="4" t="s">
        <v>2874</v>
      </c>
      <c r="D857" s="4" t="s">
        <v>109</v>
      </c>
      <c r="E857" s="4" t="s">
        <v>512</v>
      </c>
      <c r="F857" s="4" t="s">
        <v>111</v>
      </c>
      <c r="G857" s="4" t="s">
        <v>490</v>
      </c>
      <c r="H857" s="4" t="s">
        <v>2875</v>
      </c>
      <c r="I857" s="5" t="n">
        <v>4.87</v>
      </c>
      <c r="J857" s="7" t="n">
        <v>0</v>
      </c>
      <c r="K857" s="5" t="n">
        <v>0</v>
      </c>
      <c r="L857" s="8" t="n">
        <v>0</v>
      </c>
      <c r="M857" s="9" t="n">
        <v>0</v>
      </c>
      <c r="N857" s="10" t="n">
        <v>0.02777778</v>
      </c>
      <c r="O857" s="5" t="n">
        <v>135.28</v>
      </c>
      <c r="P857" s="11" t="n">
        <v>1.125</v>
      </c>
      <c r="Q857" s="7" t="n">
        <v>36</v>
      </c>
      <c r="R857" s="7" t="n">
        <v>1</v>
      </c>
      <c r="S857" s="7" t="n">
        <v>0</v>
      </c>
      <c r="T857" s="7" t="n">
        <v>0</v>
      </c>
      <c r="U857" s="7" t="n">
        <v>32</v>
      </c>
      <c r="V857" s="7" t="n">
        <v>1</v>
      </c>
    </row>
    <row r="858" customFormat="false" ht="15" hidden="false" customHeight="false" outlineLevel="0" collapsed="false">
      <c r="A858" s="4" t="s">
        <v>2876</v>
      </c>
      <c r="B858" s="4" t="str">
        <f aca="false">IF(AND(I858&gt;='Read Me &amp; Markers'!$B$18,J858&gt;='Read Me &amp; Markers'!$B$19,L858&gt;='Read Me &amp; Markers'!$B$20),"A. Proven winner",IF(AND(I858&gt;='Read Me &amp; Markers'!$B$18,J858&gt;='Read Me &amp; Markers'!$B$19,L858&gt;='Read Me &amp; Markers'!$B$21),"B. Strong performer",IF(AND(I858&gt;='Read Me &amp; Markers'!$B$22,L858&gt;='Read Me &amp; Markers'!$B$23),"C. Scale workhorse",IF(AND(I858&gt;='Read Me &amp; Markers'!$B$24,I858&lt;'Read Me &amp; Markers'!$B$18,J858&gt;='Read Me &amp; Markers'!$B$25,L858&gt;='Read Me &amp; Markers'!$B$26),"D. Promising (needs more spend)",""))))</f>
        <v/>
      </c>
      <c r="C858" s="4" t="s">
        <v>2877</v>
      </c>
      <c r="D858" s="4" t="s">
        <v>109</v>
      </c>
      <c r="E858" s="4" t="s">
        <v>489</v>
      </c>
      <c r="F858" s="4" t="s">
        <v>111</v>
      </c>
      <c r="G858" s="4" t="s">
        <v>490</v>
      </c>
      <c r="H858" s="4" t="s">
        <v>2878</v>
      </c>
      <c r="I858" s="5" t="n">
        <v>4.84</v>
      </c>
      <c r="J858" s="7" t="n">
        <v>0</v>
      </c>
      <c r="K858" s="5" t="n">
        <v>0</v>
      </c>
      <c r="L858" s="8" t="n">
        <v>0</v>
      </c>
      <c r="M858" s="9" t="n">
        <v>0</v>
      </c>
      <c r="N858" s="10" t="n">
        <v>0.01843318</v>
      </c>
      <c r="O858" s="5" t="n">
        <v>22.3</v>
      </c>
      <c r="P858" s="11" t="n">
        <v>2.333333</v>
      </c>
      <c r="Q858" s="7" t="n">
        <v>217</v>
      </c>
      <c r="R858" s="7" t="n">
        <v>4</v>
      </c>
      <c r="S858" s="7" t="n">
        <v>0</v>
      </c>
      <c r="T858" s="7" t="n">
        <v>0</v>
      </c>
      <c r="U858" s="7" t="n">
        <v>1</v>
      </c>
      <c r="V858" s="7" t="n">
        <v>0</v>
      </c>
    </row>
    <row r="859" customFormat="false" ht="15" hidden="false" customHeight="false" outlineLevel="0" collapsed="false">
      <c r="A859" s="4" t="s">
        <v>2879</v>
      </c>
      <c r="B859" s="4" t="str">
        <f aca="false">IF(AND(I859&gt;='Read Me &amp; Markers'!$B$18,J859&gt;='Read Me &amp; Markers'!$B$19,L859&gt;='Read Me &amp; Markers'!$B$20),"A. Proven winner",IF(AND(I859&gt;='Read Me &amp; Markers'!$B$18,J859&gt;='Read Me &amp; Markers'!$B$19,L859&gt;='Read Me &amp; Markers'!$B$21),"B. Strong performer",IF(AND(I859&gt;='Read Me &amp; Markers'!$B$22,L859&gt;='Read Me &amp; Markers'!$B$23),"C. Scale workhorse",IF(AND(I859&gt;='Read Me &amp; Markers'!$B$24,I859&lt;'Read Me &amp; Markers'!$B$18,J859&gt;='Read Me &amp; Markers'!$B$25,L859&gt;='Read Me &amp; Markers'!$B$26),"D. Promising (needs more spend)",""))))</f>
        <v/>
      </c>
      <c r="C859" s="4" t="s">
        <v>2880</v>
      </c>
      <c r="D859" s="4" t="s">
        <v>109</v>
      </c>
      <c r="E859" s="4" t="s">
        <v>738</v>
      </c>
      <c r="F859" s="4" t="s">
        <v>111</v>
      </c>
      <c r="G859" s="4" t="s">
        <v>739</v>
      </c>
      <c r="H859" s="4" t="s">
        <v>2881</v>
      </c>
      <c r="I859" s="5" t="n">
        <v>4.81</v>
      </c>
      <c r="J859" s="7" t="n">
        <v>0</v>
      </c>
      <c r="K859" s="5" t="n">
        <v>0</v>
      </c>
      <c r="L859" s="8" t="n">
        <v>0</v>
      </c>
      <c r="M859" s="9" t="n">
        <v>0</v>
      </c>
      <c r="N859" s="10" t="n">
        <v>0</v>
      </c>
      <c r="O859" s="5" t="n">
        <v>104.57</v>
      </c>
      <c r="P859" s="11" t="n">
        <v>1.210526</v>
      </c>
      <c r="Q859" s="7" t="n">
        <v>46</v>
      </c>
      <c r="R859" s="7" t="n">
        <v>0</v>
      </c>
      <c r="S859" s="7" t="n">
        <v>0</v>
      </c>
      <c r="T859" s="7" t="n">
        <v>0</v>
      </c>
      <c r="U859" s="7" t="n">
        <v>39</v>
      </c>
      <c r="V859" s="7" t="n">
        <v>1</v>
      </c>
    </row>
    <row r="860" customFormat="false" ht="15" hidden="false" customHeight="false" outlineLevel="0" collapsed="false">
      <c r="A860" s="4" t="s">
        <v>2882</v>
      </c>
      <c r="B860" s="4" t="str">
        <f aca="false">IF(AND(I860&gt;='Read Me &amp; Markers'!$B$18,J860&gt;='Read Me &amp; Markers'!$B$19,L860&gt;='Read Me &amp; Markers'!$B$20),"A. Proven winner",IF(AND(I860&gt;='Read Me &amp; Markers'!$B$18,J860&gt;='Read Me &amp; Markers'!$B$19,L860&gt;='Read Me &amp; Markers'!$B$21),"B. Strong performer",IF(AND(I860&gt;='Read Me &amp; Markers'!$B$22,L860&gt;='Read Me &amp; Markers'!$B$23),"C. Scale workhorse",IF(AND(I860&gt;='Read Me &amp; Markers'!$B$24,I860&lt;'Read Me &amp; Markers'!$B$18,J860&gt;='Read Me &amp; Markers'!$B$25,L860&gt;='Read Me &amp; Markers'!$B$26),"D. Promising (needs more spend)",""))))</f>
        <v/>
      </c>
      <c r="C860" s="4" t="s">
        <v>2883</v>
      </c>
      <c r="D860" s="4" t="s">
        <v>109</v>
      </c>
      <c r="E860" s="4" t="s">
        <v>482</v>
      </c>
      <c r="F860" s="4" t="s">
        <v>111</v>
      </c>
      <c r="G860" s="4" t="s">
        <v>483</v>
      </c>
      <c r="H860" s="4" t="s">
        <v>2884</v>
      </c>
      <c r="I860" s="5" t="n">
        <v>4.8</v>
      </c>
      <c r="J860" s="7" t="n">
        <v>0</v>
      </c>
      <c r="K860" s="5" t="n">
        <v>0</v>
      </c>
      <c r="L860" s="8" t="n">
        <v>0</v>
      </c>
      <c r="M860" s="9" t="n">
        <v>0</v>
      </c>
      <c r="N860" s="10" t="n">
        <v>0.00510204</v>
      </c>
      <c r="O860" s="5" t="n">
        <v>24.49</v>
      </c>
      <c r="P860" s="11" t="n">
        <v>1.410072</v>
      </c>
      <c r="Q860" s="7" t="n">
        <v>196</v>
      </c>
      <c r="R860" s="7" t="n">
        <v>1</v>
      </c>
      <c r="S860" s="7" t="n">
        <v>0</v>
      </c>
      <c r="T860" s="7" t="n">
        <v>0</v>
      </c>
      <c r="U860" s="7" t="n">
        <v>1</v>
      </c>
      <c r="V860" s="7" t="n">
        <v>0</v>
      </c>
    </row>
    <row r="861" customFormat="false" ht="15" hidden="false" customHeight="false" outlineLevel="0" collapsed="false">
      <c r="A861" s="4" t="s">
        <v>2885</v>
      </c>
      <c r="B861" s="4" t="str">
        <f aca="false">IF(AND(I861&gt;='Read Me &amp; Markers'!$B$18,J861&gt;='Read Me &amp; Markers'!$B$19,L861&gt;='Read Me &amp; Markers'!$B$20),"A. Proven winner",IF(AND(I861&gt;='Read Me &amp; Markers'!$B$18,J861&gt;='Read Me &amp; Markers'!$B$19,L861&gt;='Read Me &amp; Markers'!$B$21),"B. Strong performer",IF(AND(I861&gt;='Read Me &amp; Markers'!$B$22,L861&gt;='Read Me &amp; Markers'!$B$23),"C. Scale workhorse",IF(AND(I861&gt;='Read Me &amp; Markers'!$B$24,I861&lt;'Read Me &amp; Markers'!$B$18,J861&gt;='Read Me &amp; Markers'!$B$25,L861&gt;='Read Me &amp; Markers'!$B$26),"D. Promising (needs more spend)",""))))</f>
        <v/>
      </c>
      <c r="C861" s="4" t="s">
        <v>1732</v>
      </c>
      <c r="D861" s="4" t="s">
        <v>206</v>
      </c>
      <c r="E861" s="4" t="s">
        <v>2699</v>
      </c>
      <c r="F861" s="4" t="s">
        <v>253</v>
      </c>
      <c r="G861" s="4" t="s">
        <v>1363</v>
      </c>
      <c r="H861" s="4" t="s">
        <v>2886</v>
      </c>
      <c r="I861" s="5" t="n">
        <v>4.79</v>
      </c>
      <c r="J861" s="7" t="n">
        <v>0</v>
      </c>
      <c r="K861" s="5" t="n">
        <v>0</v>
      </c>
      <c r="L861" s="8" t="n">
        <v>0</v>
      </c>
      <c r="M861" s="9" t="n">
        <v>0</v>
      </c>
      <c r="N861" s="10" t="n">
        <v>0.01754386</v>
      </c>
      <c r="O861" s="5" t="n">
        <v>84.04</v>
      </c>
      <c r="P861" s="11" t="n">
        <v>1.1875</v>
      </c>
      <c r="Q861" s="7" t="n">
        <v>57</v>
      </c>
      <c r="R861" s="7" t="n">
        <v>1</v>
      </c>
      <c r="S861" s="7" t="n">
        <v>0</v>
      </c>
      <c r="T861" s="7" t="n">
        <v>0</v>
      </c>
      <c r="U861" s="7" t="n">
        <v>0</v>
      </c>
      <c r="V861" s="7" t="n">
        <v>0</v>
      </c>
    </row>
    <row r="862" customFormat="false" ht="15" hidden="false" customHeight="false" outlineLevel="0" collapsed="false">
      <c r="A862" s="4" t="s">
        <v>2887</v>
      </c>
      <c r="B862" s="4" t="str">
        <f aca="false">IF(AND(I862&gt;='Read Me &amp; Markers'!$B$18,J862&gt;='Read Me &amp; Markers'!$B$19,L862&gt;='Read Me &amp; Markers'!$B$20),"A. Proven winner",IF(AND(I862&gt;='Read Me &amp; Markers'!$B$18,J862&gt;='Read Me &amp; Markers'!$B$19,L862&gt;='Read Me &amp; Markers'!$B$21),"B. Strong performer",IF(AND(I862&gt;='Read Me &amp; Markers'!$B$22,L862&gt;='Read Me &amp; Markers'!$B$23),"C. Scale workhorse",IF(AND(I862&gt;='Read Me &amp; Markers'!$B$24,I862&lt;'Read Me &amp; Markers'!$B$18,J862&gt;='Read Me &amp; Markers'!$B$25,L862&gt;='Read Me &amp; Markers'!$B$26),"D. Promising (needs more spend)",""))))</f>
        <v/>
      </c>
      <c r="C862" s="4" t="s">
        <v>129</v>
      </c>
      <c r="D862" s="4" t="s">
        <v>100</v>
      </c>
      <c r="E862" s="4" t="s">
        <v>1929</v>
      </c>
      <c r="F862" s="4" t="s">
        <v>87</v>
      </c>
      <c r="G862" s="4" t="s">
        <v>623</v>
      </c>
      <c r="H862" s="4" t="s">
        <v>2888</v>
      </c>
      <c r="I862" s="5" t="n">
        <v>4.62</v>
      </c>
      <c r="J862" s="7" t="n">
        <v>0</v>
      </c>
      <c r="K862" s="5" t="n">
        <v>0</v>
      </c>
      <c r="L862" s="8" t="n">
        <v>0</v>
      </c>
      <c r="M862" s="9" t="n">
        <v>0</v>
      </c>
      <c r="N862" s="10" t="n">
        <v>0.02083333</v>
      </c>
      <c r="O862" s="5" t="n">
        <v>96.25</v>
      </c>
      <c r="P862" s="11" t="n">
        <v>1.021277</v>
      </c>
      <c r="Q862" s="7" t="n">
        <v>48</v>
      </c>
      <c r="R862" s="7" t="n">
        <v>1</v>
      </c>
      <c r="S862" s="7" t="n">
        <v>0</v>
      </c>
      <c r="T862" s="7" t="n">
        <v>0</v>
      </c>
      <c r="U862" s="7" t="n">
        <v>45</v>
      </c>
      <c r="V862" s="7" t="n">
        <v>14</v>
      </c>
    </row>
    <row r="863" customFormat="false" ht="15" hidden="false" customHeight="false" outlineLevel="0" collapsed="false">
      <c r="A863" s="4" t="s">
        <v>2889</v>
      </c>
      <c r="B863" s="4" t="str">
        <f aca="false">IF(AND(I863&gt;='Read Me &amp; Markers'!$B$18,J863&gt;='Read Me &amp; Markers'!$B$19,L863&gt;='Read Me &amp; Markers'!$B$20),"A. Proven winner",IF(AND(I863&gt;='Read Me &amp; Markers'!$B$18,J863&gt;='Read Me &amp; Markers'!$B$19,L863&gt;='Read Me &amp; Markers'!$B$21),"B. Strong performer",IF(AND(I863&gt;='Read Me &amp; Markers'!$B$22,L863&gt;='Read Me &amp; Markers'!$B$23),"C. Scale workhorse",IF(AND(I863&gt;='Read Me &amp; Markers'!$B$24,I863&lt;'Read Me &amp; Markers'!$B$18,J863&gt;='Read Me &amp; Markers'!$B$25,L863&gt;='Read Me &amp; Markers'!$B$26),"D. Promising (needs more spend)",""))))</f>
        <v/>
      </c>
      <c r="C863" s="4" t="s">
        <v>2890</v>
      </c>
      <c r="D863" s="4" t="s">
        <v>109</v>
      </c>
      <c r="E863" s="4" t="s">
        <v>1936</v>
      </c>
      <c r="F863" s="4" t="s">
        <v>111</v>
      </c>
      <c r="G863" s="4" t="s">
        <v>1937</v>
      </c>
      <c r="H863" s="4" t="s">
        <v>2891</v>
      </c>
      <c r="I863" s="5" t="n">
        <v>4.55</v>
      </c>
      <c r="J863" s="7" t="n">
        <v>0</v>
      </c>
      <c r="K863" s="5" t="n">
        <v>0</v>
      </c>
      <c r="L863" s="8" t="n">
        <v>0</v>
      </c>
      <c r="M863" s="9" t="n">
        <v>0</v>
      </c>
      <c r="N863" s="10" t="n">
        <v>0.03703704</v>
      </c>
      <c r="O863" s="5" t="n">
        <v>84.26</v>
      </c>
      <c r="P863" s="11" t="n">
        <v>1.125</v>
      </c>
      <c r="Q863" s="7" t="n">
        <v>54</v>
      </c>
      <c r="R863" s="7" t="n">
        <v>2</v>
      </c>
      <c r="S863" s="7" t="n">
        <v>0</v>
      </c>
      <c r="T863" s="7" t="n">
        <v>0</v>
      </c>
      <c r="U863" s="7" t="n">
        <v>0</v>
      </c>
      <c r="V863" s="7" t="n">
        <v>0</v>
      </c>
    </row>
    <row r="864" customFormat="false" ht="15" hidden="false" customHeight="false" outlineLevel="0" collapsed="false">
      <c r="A864" s="4" t="s">
        <v>2892</v>
      </c>
      <c r="B864" s="4" t="str">
        <f aca="false">IF(AND(I864&gt;='Read Me &amp; Markers'!$B$18,J864&gt;='Read Me &amp; Markers'!$B$19,L864&gt;='Read Me &amp; Markers'!$B$20),"A. Proven winner",IF(AND(I864&gt;='Read Me &amp; Markers'!$B$18,J864&gt;='Read Me &amp; Markers'!$B$19,L864&gt;='Read Me &amp; Markers'!$B$21),"B. Strong performer",IF(AND(I864&gt;='Read Me &amp; Markers'!$B$22,L864&gt;='Read Me &amp; Markers'!$B$23),"C. Scale workhorse",IF(AND(I864&gt;='Read Me &amp; Markers'!$B$24,I864&lt;'Read Me &amp; Markers'!$B$18,J864&gt;='Read Me &amp; Markers'!$B$25,L864&gt;='Read Me &amp; Markers'!$B$26),"D. Promising (needs more spend)",""))))</f>
        <v/>
      </c>
      <c r="C864" s="4" t="s">
        <v>2893</v>
      </c>
      <c r="D864" s="4" t="s">
        <v>109</v>
      </c>
      <c r="E864" s="4" t="s">
        <v>429</v>
      </c>
      <c r="F864" s="4" t="s">
        <v>111</v>
      </c>
      <c r="G864" s="4" t="s">
        <v>431</v>
      </c>
      <c r="H864" s="4" t="s">
        <v>2894</v>
      </c>
      <c r="I864" s="5" t="n">
        <v>4.54</v>
      </c>
      <c r="J864" s="7" t="n">
        <v>0</v>
      </c>
      <c r="K864" s="5" t="n">
        <v>0</v>
      </c>
      <c r="L864" s="8" t="n">
        <v>0</v>
      </c>
      <c r="M864" s="9" t="n">
        <v>0</v>
      </c>
      <c r="N864" s="10" t="n">
        <v>0</v>
      </c>
      <c r="O864" s="5" t="n">
        <v>34.66</v>
      </c>
      <c r="P864" s="11" t="n">
        <v>1.259615</v>
      </c>
      <c r="Q864" s="7" t="n">
        <v>131</v>
      </c>
      <c r="R864" s="7" t="n">
        <v>0</v>
      </c>
      <c r="S864" s="7" t="n">
        <v>0</v>
      </c>
      <c r="T864" s="7" t="n">
        <v>0</v>
      </c>
      <c r="U864" s="7" t="n">
        <v>1</v>
      </c>
      <c r="V864" s="7" t="n">
        <v>0</v>
      </c>
    </row>
    <row r="865" customFormat="false" ht="15" hidden="false" customHeight="false" outlineLevel="0" collapsed="false">
      <c r="A865" s="4" t="s">
        <v>2895</v>
      </c>
      <c r="B865" s="4" t="str">
        <f aca="false">IF(AND(I865&gt;='Read Me &amp; Markers'!$B$18,J865&gt;='Read Me &amp; Markers'!$B$19,L865&gt;='Read Me &amp; Markers'!$B$20),"A. Proven winner",IF(AND(I865&gt;='Read Me &amp; Markers'!$B$18,J865&gt;='Read Me &amp; Markers'!$B$19,L865&gt;='Read Me &amp; Markers'!$B$21),"B. Strong performer",IF(AND(I865&gt;='Read Me &amp; Markers'!$B$22,L865&gt;='Read Me &amp; Markers'!$B$23),"C. Scale workhorse",IF(AND(I865&gt;='Read Me &amp; Markers'!$B$24,I865&lt;'Read Me &amp; Markers'!$B$18,J865&gt;='Read Me &amp; Markers'!$B$25,L865&gt;='Read Me &amp; Markers'!$B$26),"D. Promising (needs more spend)",""))))</f>
        <v/>
      </c>
      <c r="C865" s="4" t="s">
        <v>169</v>
      </c>
      <c r="D865" s="4" t="s">
        <v>100</v>
      </c>
      <c r="E865" s="4" t="s">
        <v>622</v>
      </c>
      <c r="F865" s="4" t="s">
        <v>172</v>
      </c>
      <c r="G865" s="4" t="s">
        <v>623</v>
      </c>
      <c r="H865" s="4" t="s">
        <v>2896</v>
      </c>
      <c r="I865" s="5" t="n">
        <v>4.47</v>
      </c>
      <c r="J865" s="7" t="n">
        <v>0</v>
      </c>
      <c r="K865" s="5" t="n">
        <v>0</v>
      </c>
      <c r="L865" s="8" t="n">
        <v>0</v>
      </c>
      <c r="M865" s="9" t="n">
        <v>0</v>
      </c>
      <c r="N865" s="10" t="n">
        <v>0.03703704</v>
      </c>
      <c r="O865" s="5" t="n">
        <v>165.56</v>
      </c>
      <c r="P865" s="11" t="n">
        <v>1.038462</v>
      </c>
      <c r="Q865" s="7" t="n">
        <v>27</v>
      </c>
      <c r="R865" s="7" t="n">
        <v>1</v>
      </c>
      <c r="S865" s="7" t="n">
        <v>0</v>
      </c>
      <c r="T865" s="7" t="n">
        <v>0</v>
      </c>
      <c r="U865" s="7" t="n">
        <v>23</v>
      </c>
      <c r="V865" s="7" t="n">
        <v>5</v>
      </c>
    </row>
    <row r="866" customFormat="false" ht="15" hidden="false" customHeight="false" outlineLevel="0" collapsed="false">
      <c r="A866" s="4" t="s">
        <v>2897</v>
      </c>
      <c r="B866" s="4" t="str">
        <f aca="false">IF(AND(I866&gt;='Read Me &amp; Markers'!$B$18,J866&gt;='Read Me &amp; Markers'!$B$19,L866&gt;='Read Me &amp; Markers'!$B$20),"A. Proven winner",IF(AND(I866&gt;='Read Me &amp; Markers'!$B$18,J866&gt;='Read Me &amp; Markers'!$B$19,L866&gt;='Read Me &amp; Markers'!$B$21),"B. Strong performer",IF(AND(I866&gt;='Read Me &amp; Markers'!$B$22,L866&gt;='Read Me &amp; Markers'!$B$23),"C. Scale workhorse",IF(AND(I866&gt;='Read Me &amp; Markers'!$B$24,I866&lt;'Read Me &amp; Markers'!$B$18,J866&gt;='Read Me &amp; Markers'!$B$25,L866&gt;='Read Me &amp; Markers'!$B$26),"D. Promising (needs more spend)",""))))</f>
        <v/>
      </c>
      <c r="C866" s="4" t="s">
        <v>2898</v>
      </c>
      <c r="D866" s="4" t="s">
        <v>109</v>
      </c>
      <c r="E866" s="4" t="s">
        <v>435</v>
      </c>
      <c r="F866" s="4" t="s">
        <v>111</v>
      </c>
      <c r="G866" s="4" t="s">
        <v>500</v>
      </c>
      <c r="H866" s="4" t="s">
        <v>2899</v>
      </c>
      <c r="I866" s="5" t="n">
        <v>4.46</v>
      </c>
      <c r="J866" s="7" t="n">
        <v>0</v>
      </c>
      <c r="K866" s="5" t="n">
        <v>0</v>
      </c>
      <c r="L866" s="8" t="n">
        <v>0</v>
      </c>
      <c r="M866" s="9" t="n">
        <v>0</v>
      </c>
      <c r="N866" s="10" t="n">
        <v>0.06382979</v>
      </c>
      <c r="O866" s="5" t="n">
        <v>94.89</v>
      </c>
      <c r="P866" s="11" t="n">
        <v>1.119048</v>
      </c>
      <c r="Q866" s="7" t="n">
        <v>47</v>
      </c>
      <c r="R866" s="7" t="n">
        <v>3</v>
      </c>
      <c r="S866" s="7" t="n">
        <v>0</v>
      </c>
      <c r="T866" s="7" t="n">
        <v>0</v>
      </c>
      <c r="U866" s="7" t="n">
        <v>43</v>
      </c>
      <c r="V866" s="7" t="n">
        <v>10</v>
      </c>
    </row>
    <row r="867" customFormat="false" ht="15" hidden="false" customHeight="false" outlineLevel="0" collapsed="false">
      <c r="A867" s="4" t="s">
        <v>2900</v>
      </c>
      <c r="B867" s="4" t="str">
        <f aca="false">IF(AND(I867&gt;='Read Me &amp; Markers'!$B$18,J867&gt;='Read Me &amp; Markers'!$B$19,L867&gt;='Read Me &amp; Markers'!$B$20),"A. Proven winner",IF(AND(I867&gt;='Read Me &amp; Markers'!$B$18,J867&gt;='Read Me &amp; Markers'!$B$19,L867&gt;='Read Me &amp; Markers'!$B$21),"B. Strong performer",IF(AND(I867&gt;='Read Me &amp; Markers'!$B$22,L867&gt;='Read Me &amp; Markers'!$B$23),"C. Scale workhorse",IF(AND(I867&gt;='Read Me &amp; Markers'!$B$24,I867&lt;'Read Me &amp; Markers'!$B$18,J867&gt;='Read Me &amp; Markers'!$B$25,L867&gt;='Read Me &amp; Markers'!$B$26),"D. Promising (needs more spend)",""))))</f>
        <v/>
      </c>
      <c r="C867" s="4" t="s">
        <v>2901</v>
      </c>
      <c r="D867" s="4" t="s">
        <v>109</v>
      </c>
      <c r="E867" s="4" t="s">
        <v>1671</v>
      </c>
      <c r="F867" s="4" t="s">
        <v>172</v>
      </c>
      <c r="G867" s="4" t="s">
        <v>378</v>
      </c>
      <c r="H867" s="4" t="s">
        <v>2902</v>
      </c>
      <c r="I867" s="5" t="n">
        <v>4.45</v>
      </c>
      <c r="J867" s="7" t="n">
        <v>0</v>
      </c>
      <c r="K867" s="5" t="n">
        <v>0</v>
      </c>
      <c r="L867" s="8" t="n">
        <v>0</v>
      </c>
      <c r="M867" s="9" t="n">
        <v>0</v>
      </c>
      <c r="N867" s="10" t="n">
        <v>0.05</v>
      </c>
      <c r="O867" s="5" t="n">
        <v>111.25</v>
      </c>
      <c r="P867" s="11" t="n">
        <v>1</v>
      </c>
      <c r="Q867" s="7" t="n">
        <v>40</v>
      </c>
      <c r="R867" s="7" t="n">
        <v>2</v>
      </c>
      <c r="S867" s="7" t="n">
        <v>0</v>
      </c>
      <c r="T867" s="7" t="n">
        <v>0</v>
      </c>
      <c r="U867" s="7" t="n">
        <v>29</v>
      </c>
      <c r="V867" s="7" t="n">
        <v>1</v>
      </c>
    </row>
    <row r="868" customFormat="false" ht="15" hidden="false" customHeight="false" outlineLevel="0" collapsed="false">
      <c r="A868" s="4" t="s">
        <v>2903</v>
      </c>
      <c r="B868" s="4" t="str">
        <f aca="false">IF(AND(I868&gt;='Read Me &amp; Markers'!$B$18,J868&gt;='Read Me &amp; Markers'!$B$19,L868&gt;='Read Me &amp; Markers'!$B$20),"A. Proven winner",IF(AND(I868&gt;='Read Me &amp; Markers'!$B$18,J868&gt;='Read Me &amp; Markers'!$B$19,L868&gt;='Read Me &amp; Markers'!$B$21),"B. Strong performer",IF(AND(I868&gt;='Read Me &amp; Markers'!$B$22,L868&gt;='Read Me &amp; Markers'!$B$23),"C. Scale workhorse",IF(AND(I868&gt;='Read Me &amp; Markers'!$B$24,I868&lt;'Read Me &amp; Markers'!$B$18,J868&gt;='Read Me &amp; Markers'!$B$25,L868&gt;='Read Me &amp; Markers'!$B$26),"D. Promising (needs more spend)",""))))</f>
        <v/>
      </c>
      <c r="C868" s="4" t="s">
        <v>2904</v>
      </c>
      <c r="D868" s="4" t="s">
        <v>100</v>
      </c>
      <c r="E868" s="4" t="s">
        <v>2321</v>
      </c>
      <c r="F868" s="4" t="s">
        <v>253</v>
      </c>
      <c r="G868" s="4" t="s">
        <v>984</v>
      </c>
      <c r="H868" s="4" t="s">
        <v>2905</v>
      </c>
      <c r="I868" s="5" t="n">
        <v>4.44</v>
      </c>
      <c r="J868" s="7" t="n">
        <v>0</v>
      </c>
      <c r="K868" s="5" t="n">
        <v>0</v>
      </c>
      <c r="L868" s="8" t="n">
        <v>0</v>
      </c>
      <c r="M868" s="9" t="n">
        <v>0</v>
      </c>
      <c r="N868" s="10" t="n">
        <v>0.01785714</v>
      </c>
      <c r="O868" s="5" t="n">
        <v>79.29</v>
      </c>
      <c r="P868" s="11" t="n">
        <v>1.12</v>
      </c>
      <c r="Q868" s="7" t="n">
        <v>56</v>
      </c>
      <c r="R868" s="7" t="n">
        <v>1</v>
      </c>
      <c r="S868" s="7" t="n">
        <v>0</v>
      </c>
      <c r="T868" s="7" t="n">
        <v>0</v>
      </c>
      <c r="U868" s="7" t="n">
        <v>0</v>
      </c>
      <c r="V868" s="7" t="n">
        <v>0</v>
      </c>
    </row>
    <row r="869" customFormat="false" ht="15" hidden="false" customHeight="false" outlineLevel="0" collapsed="false">
      <c r="A869" s="4" t="s">
        <v>2906</v>
      </c>
      <c r="B869" s="4" t="str">
        <f aca="false">IF(AND(I869&gt;='Read Me &amp; Markers'!$B$18,J869&gt;='Read Me &amp; Markers'!$B$19,L869&gt;='Read Me &amp; Markers'!$B$20),"A. Proven winner",IF(AND(I869&gt;='Read Me &amp; Markers'!$B$18,J869&gt;='Read Me &amp; Markers'!$B$19,L869&gt;='Read Me &amp; Markers'!$B$21),"B. Strong performer",IF(AND(I869&gt;='Read Me &amp; Markers'!$B$22,L869&gt;='Read Me &amp; Markers'!$B$23),"C. Scale workhorse",IF(AND(I869&gt;='Read Me &amp; Markers'!$B$24,I869&lt;'Read Me &amp; Markers'!$B$18,J869&gt;='Read Me &amp; Markers'!$B$25,L869&gt;='Read Me &amp; Markers'!$B$26),"D. Promising (needs more spend)",""))))</f>
        <v/>
      </c>
      <c r="C869" s="4" t="s">
        <v>2907</v>
      </c>
      <c r="D869" s="4" t="s">
        <v>109</v>
      </c>
      <c r="E869" s="4" t="s">
        <v>429</v>
      </c>
      <c r="F869" s="4" t="s">
        <v>111</v>
      </c>
      <c r="G869" s="4" t="s">
        <v>431</v>
      </c>
      <c r="H869" s="4" t="s">
        <v>2908</v>
      </c>
      <c r="I869" s="5" t="n">
        <v>4.34</v>
      </c>
      <c r="J869" s="7" t="n">
        <v>0</v>
      </c>
      <c r="K869" s="5" t="n">
        <v>0</v>
      </c>
      <c r="L869" s="8" t="n">
        <v>0</v>
      </c>
      <c r="M869" s="9" t="n">
        <v>0</v>
      </c>
      <c r="N869" s="10" t="n">
        <v>0</v>
      </c>
      <c r="O869" s="5" t="n">
        <v>103.33</v>
      </c>
      <c r="P869" s="11" t="n">
        <v>1.166667</v>
      </c>
      <c r="Q869" s="7" t="n">
        <v>42</v>
      </c>
      <c r="R869" s="7" t="n">
        <v>0</v>
      </c>
      <c r="S869" s="7" t="n">
        <v>0</v>
      </c>
      <c r="T869" s="7" t="n">
        <v>0</v>
      </c>
      <c r="U869" s="7" t="n">
        <v>0</v>
      </c>
      <c r="V869" s="7" t="n">
        <v>0</v>
      </c>
    </row>
    <row r="870" customFormat="false" ht="15" hidden="false" customHeight="false" outlineLevel="0" collapsed="false">
      <c r="A870" s="4" t="s">
        <v>2909</v>
      </c>
      <c r="B870" s="4" t="str">
        <f aca="false">IF(AND(I870&gt;='Read Me &amp; Markers'!$B$18,J870&gt;='Read Me &amp; Markers'!$B$19,L870&gt;='Read Me &amp; Markers'!$B$20),"A. Proven winner",IF(AND(I870&gt;='Read Me &amp; Markers'!$B$18,J870&gt;='Read Me &amp; Markers'!$B$19,L870&gt;='Read Me &amp; Markers'!$B$21),"B. Strong performer",IF(AND(I870&gt;='Read Me &amp; Markers'!$B$22,L870&gt;='Read Me &amp; Markers'!$B$23),"C. Scale workhorse",IF(AND(I870&gt;='Read Me &amp; Markers'!$B$24,I870&lt;'Read Me &amp; Markers'!$B$18,J870&gt;='Read Me &amp; Markers'!$B$25,L870&gt;='Read Me &amp; Markers'!$B$26),"D. Promising (needs more spend)",""))))</f>
        <v/>
      </c>
      <c r="C870" s="4" t="s">
        <v>2910</v>
      </c>
      <c r="D870" s="4" t="s">
        <v>109</v>
      </c>
      <c r="E870" s="4" t="s">
        <v>424</v>
      </c>
      <c r="F870" s="4" t="s">
        <v>111</v>
      </c>
      <c r="G870" s="4" t="s">
        <v>425</v>
      </c>
      <c r="H870" s="4" t="s">
        <v>2911</v>
      </c>
      <c r="I870" s="5" t="n">
        <v>4.32</v>
      </c>
      <c r="J870" s="7" t="n">
        <v>0</v>
      </c>
      <c r="K870" s="5" t="n">
        <v>0</v>
      </c>
      <c r="L870" s="8" t="n">
        <v>0</v>
      </c>
      <c r="M870" s="9" t="n">
        <v>0</v>
      </c>
      <c r="N870" s="10" t="n">
        <v>0</v>
      </c>
      <c r="O870" s="5" t="n">
        <v>187.83</v>
      </c>
      <c r="P870" s="11" t="n">
        <v>1.095238</v>
      </c>
      <c r="Q870" s="7" t="n">
        <v>23</v>
      </c>
      <c r="R870" s="7" t="n">
        <v>0</v>
      </c>
      <c r="S870" s="7" t="n">
        <v>0</v>
      </c>
      <c r="T870" s="7" t="n">
        <v>0</v>
      </c>
      <c r="U870" s="7" t="n">
        <v>18</v>
      </c>
      <c r="V870" s="7" t="n">
        <v>0</v>
      </c>
    </row>
    <row r="871" customFormat="false" ht="15" hidden="false" customHeight="false" outlineLevel="0" collapsed="false">
      <c r="A871" s="4" t="s">
        <v>2912</v>
      </c>
      <c r="B871" s="4" t="str">
        <f aca="false">IF(AND(I871&gt;='Read Me &amp; Markers'!$B$18,J871&gt;='Read Me &amp; Markers'!$B$19,L871&gt;='Read Me &amp; Markers'!$B$20),"A. Proven winner",IF(AND(I871&gt;='Read Me &amp; Markers'!$B$18,J871&gt;='Read Me &amp; Markers'!$B$19,L871&gt;='Read Me &amp; Markers'!$B$21),"B. Strong performer",IF(AND(I871&gt;='Read Me &amp; Markers'!$B$22,L871&gt;='Read Me &amp; Markers'!$B$23),"C. Scale workhorse",IF(AND(I871&gt;='Read Me &amp; Markers'!$B$24,I871&lt;'Read Me &amp; Markers'!$B$18,J871&gt;='Read Me &amp; Markers'!$B$25,L871&gt;='Read Me &amp; Markers'!$B$26),"D. Promising (needs more spend)",""))))</f>
        <v/>
      </c>
      <c r="C871" s="4" t="s">
        <v>2913</v>
      </c>
      <c r="D871" s="4" t="s">
        <v>109</v>
      </c>
      <c r="E871" s="4" t="s">
        <v>512</v>
      </c>
      <c r="F871" s="4" t="s">
        <v>111</v>
      </c>
      <c r="G871" s="4" t="s">
        <v>490</v>
      </c>
      <c r="H871" s="4" t="s">
        <v>2914</v>
      </c>
      <c r="I871" s="5" t="n">
        <v>4.28</v>
      </c>
      <c r="J871" s="7" t="n">
        <v>0</v>
      </c>
      <c r="K871" s="5" t="n">
        <v>0</v>
      </c>
      <c r="L871" s="8" t="n">
        <v>0</v>
      </c>
      <c r="M871" s="9" t="n">
        <v>0</v>
      </c>
      <c r="N871" s="10" t="n">
        <v>0.03846154</v>
      </c>
      <c r="O871" s="5" t="n">
        <v>164.62</v>
      </c>
      <c r="P871" s="11" t="n">
        <v>1.083333</v>
      </c>
      <c r="Q871" s="7" t="n">
        <v>26</v>
      </c>
      <c r="R871" s="7" t="n">
        <v>1</v>
      </c>
      <c r="S871" s="7" t="n">
        <v>0</v>
      </c>
      <c r="T871" s="7" t="n">
        <v>0</v>
      </c>
      <c r="U871" s="7" t="n">
        <v>26</v>
      </c>
      <c r="V871" s="7" t="n">
        <v>6</v>
      </c>
    </row>
    <row r="872" customFormat="false" ht="15" hidden="false" customHeight="false" outlineLevel="0" collapsed="false">
      <c r="A872" s="4" t="s">
        <v>2915</v>
      </c>
      <c r="B872" s="4" t="str">
        <f aca="false">IF(AND(I872&gt;='Read Me &amp; Markers'!$B$18,J872&gt;='Read Me &amp; Markers'!$B$19,L872&gt;='Read Me &amp; Markers'!$B$20),"A. Proven winner",IF(AND(I872&gt;='Read Me &amp; Markers'!$B$18,J872&gt;='Read Me &amp; Markers'!$B$19,L872&gt;='Read Me &amp; Markers'!$B$21),"B. Strong performer",IF(AND(I872&gt;='Read Me &amp; Markers'!$B$22,L872&gt;='Read Me &amp; Markers'!$B$23),"C. Scale workhorse",IF(AND(I872&gt;='Read Me &amp; Markers'!$B$24,I872&lt;'Read Me &amp; Markers'!$B$18,J872&gt;='Read Me &amp; Markers'!$B$25,L872&gt;='Read Me &amp; Markers'!$B$26),"D. Promising (needs more spend)",""))))</f>
        <v/>
      </c>
      <c r="C872" s="4" t="s">
        <v>1596</v>
      </c>
      <c r="D872" s="4" t="s">
        <v>109</v>
      </c>
      <c r="E872" s="4" t="s">
        <v>2245</v>
      </c>
      <c r="F872" s="4" t="s">
        <v>172</v>
      </c>
      <c r="G872" s="4" t="s">
        <v>588</v>
      </c>
      <c r="H872" s="4" t="s">
        <v>2916</v>
      </c>
      <c r="I872" s="5" t="n">
        <v>4.28</v>
      </c>
      <c r="J872" s="7" t="n">
        <v>0</v>
      </c>
      <c r="K872" s="5" t="n">
        <v>0</v>
      </c>
      <c r="L872" s="8" t="n">
        <v>0</v>
      </c>
      <c r="M872" s="9" t="n">
        <v>0</v>
      </c>
      <c r="N872" s="10" t="n">
        <v>0.05</v>
      </c>
      <c r="O872" s="5" t="n">
        <v>214</v>
      </c>
      <c r="P872" s="11" t="n">
        <v>1</v>
      </c>
      <c r="Q872" s="7" t="n">
        <v>20</v>
      </c>
      <c r="R872" s="7" t="n">
        <v>1</v>
      </c>
      <c r="S872" s="7" t="n">
        <v>0</v>
      </c>
      <c r="T872" s="7" t="n">
        <v>0</v>
      </c>
      <c r="U872" s="7" t="n">
        <v>16</v>
      </c>
      <c r="V872" s="7" t="n">
        <v>4</v>
      </c>
    </row>
    <row r="873" customFormat="false" ht="15" hidden="false" customHeight="false" outlineLevel="0" collapsed="false">
      <c r="A873" s="4" t="s">
        <v>2917</v>
      </c>
      <c r="B873" s="4" t="str">
        <f aca="false">IF(AND(I873&gt;='Read Me &amp; Markers'!$B$18,J873&gt;='Read Me &amp; Markers'!$B$19,L873&gt;='Read Me &amp; Markers'!$B$20),"A. Proven winner",IF(AND(I873&gt;='Read Me &amp; Markers'!$B$18,J873&gt;='Read Me &amp; Markers'!$B$19,L873&gt;='Read Me &amp; Markers'!$B$21),"B. Strong performer",IF(AND(I873&gt;='Read Me &amp; Markers'!$B$22,L873&gt;='Read Me &amp; Markers'!$B$23),"C. Scale workhorse",IF(AND(I873&gt;='Read Me &amp; Markers'!$B$24,I873&lt;'Read Me &amp; Markers'!$B$18,J873&gt;='Read Me &amp; Markers'!$B$25,L873&gt;='Read Me &amp; Markers'!$B$26),"D. Promising (needs more spend)",""))))</f>
        <v/>
      </c>
      <c r="C873" s="4" t="s">
        <v>2918</v>
      </c>
      <c r="D873" s="4" t="s">
        <v>109</v>
      </c>
      <c r="E873" s="4" t="s">
        <v>435</v>
      </c>
      <c r="F873" s="4" t="s">
        <v>111</v>
      </c>
      <c r="G873" s="4" t="s">
        <v>500</v>
      </c>
      <c r="H873" s="4" t="s">
        <v>2919</v>
      </c>
      <c r="I873" s="5" t="n">
        <v>4.27</v>
      </c>
      <c r="J873" s="7" t="n">
        <v>0</v>
      </c>
      <c r="K873" s="5" t="n">
        <v>0</v>
      </c>
      <c r="L873" s="8" t="n">
        <v>0</v>
      </c>
      <c r="M873" s="9" t="n">
        <v>0</v>
      </c>
      <c r="N873" s="10" t="n">
        <v>0.07407407</v>
      </c>
      <c r="O873" s="5" t="n">
        <v>158.15</v>
      </c>
      <c r="P873" s="11" t="n">
        <v>1.038462</v>
      </c>
      <c r="Q873" s="7" t="n">
        <v>27</v>
      </c>
      <c r="R873" s="7" t="n">
        <v>2</v>
      </c>
      <c r="S873" s="7" t="n">
        <v>0</v>
      </c>
      <c r="T873" s="7" t="n">
        <v>0</v>
      </c>
      <c r="U873" s="7" t="n">
        <v>27</v>
      </c>
      <c r="V873" s="7" t="n">
        <v>5</v>
      </c>
    </row>
    <row r="874" customFormat="false" ht="15" hidden="false" customHeight="false" outlineLevel="0" collapsed="false">
      <c r="A874" s="4" t="s">
        <v>2920</v>
      </c>
      <c r="B874" s="4" t="str">
        <f aca="false">IF(AND(I874&gt;='Read Me &amp; Markers'!$B$18,J874&gt;='Read Me &amp; Markers'!$B$19,L874&gt;='Read Me &amp; Markers'!$B$20),"A. Proven winner",IF(AND(I874&gt;='Read Me &amp; Markers'!$B$18,J874&gt;='Read Me &amp; Markers'!$B$19,L874&gt;='Read Me &amp; Markers'!$B$21),"B. Strong performer",IF(AND(I874&gt;='Read Me &amp; Markers'!$B$22,L874&gt;='Read Me &amp; Markers'!$B$23),"C. Scale workhorse",IF(AND(I874&gt;='Read Me &amp; Markers'!$B$24,I874&lt;'Read Me &amp; Markers'!$B$18,J874&gt;='Read Me &amp; Markers'!$B$25,L874&gt;='Read Me &amp; Markers'!$B$26),"D. Promising (needs more spend)",""))))</f>
        <v/>
      </c>
      <c r="C874" s="4" t="s">
        <v>121</v>
      </c>
      <c r="D874" s="4" t="s">
        <v>206</v>
      </c>
      <c r="E874" s="4" t="s">
        <v>1593</v>
      </c>
      <c r="F874" s="4" t="s">
        <v>253</v>
      </c>
      <c r="G874" s="4" t="s">
        <v>254</v>
      </c>
      <c r="H874" s="4" t="s">
        <v>2921</v>
      </c>
      <c r="I874" s="5" t="n">
        <v>4.27</v>
      </c>
      <c r="J874" s="7" t="n">
        <v>0</v>
      </c>
      <c r="K874" s="5" t="n">
        <v>0</v>
      </c>
      <c r="L874" s="8" t="n">
        <v>0</v>
      </c>
      <c r="M874" s="9" t="n">
        <v>0</v>
      </c>
      <c r="N874" s="10" t="n">
        <v>0.01785714</v>
      </c>
      <c r="O874" s="5" t="n">
        <v>76.25</v>
      </c>
      <c r="P874" s="11" t="n">
        <v>1.076923</v>
      </c>
      <c r="Q874" s="7" t="n">
        <v>56</v>
      </c>
      <c r="R874" s="7" t="n">
        <v>1</v>
      </c>
      <c r="S874" s="7" t="n">
        <v>0</v>
      </c>
      <c r="T874" s="7" t="n">
        <v>0</v>
      </c>
      <c r="U874" s="7" t="n">
        <v>52</v>
      </c>
      <c r="V874" s="7" t="n">
        <v>3</v>
      </c>
    </row>
    <row r="875" customFormat="false" ht="15" hidden="false" customHeight="false" outlineLevel="0" collapsed="false">
      <c r="A875" s="4" t="s">
        <v>2922</v>
      </c>
      <c r="B875" s="4" t="str">
        <f aca="false">IF(AND(I875&gt;='Read Me &amp; Markers'!$B$18,J875&gt;='Read Me &amp; Markers'!$B$19,L875&gt;='Read Me &amp; Markers'!$B$20),"A. Proven winner",IF(AND(I875&gt;='Read Me &amp; Markers'!$B$18,J875&gt;='Read Me &amp; Markers'!$B$19,L875&gt;='Read Me &amp; Markers'!$B$21),"B. Strong performer",IF(AND(I875&gt;='Read Me &amp; Markers'!$B$22,L875&gt;='Read Me &amp; Markers'!$B$23),"C. Scale workhorse",IF(AND(I875&gt;='Read Me &amp; Markers'!$B$24,I875&lt;'Read Me &amp; Markers'!$B$18,J875&gt;='Read Me &amp; Markers'!$B$25,L875&gt;='Read Me &amp; Markers'!$B$26),"D. Promising (needs more spend)",""))))</f>
        <v/>
      </c>
      <c r="C875" s="4" t="s">
        <v>693</v>
      </c>
      <c r="D875" s="4" t="s">
        <v>154</v>
      </c>
      <c r="E875" s="4" t="s">
        <v>2923</v>
      </c>
      <c r="F875" s="4" t="s">
        <v>253</v>
      </c>
      <c r="G875" s="4" t="s">
        <v>2924</v>
      </c>
      <c r="H875" s="4" t="s">
        <v>2925</v>
      </c>
      <c r="I875" s="5" t="n">
        <v>4.27</v>
      </c>
      <c r="J875" s="7" t="n">
        <v>0</v>
      </c>
      <c r="K875" s="5" t="n">
        <v>0</v>
      </c>
      <c r="L875" s="8" t="n">
        <v>0</v>
      </c>
      <c r="M875" s="9" t="n">
        <v>0</v>
      </c>
      <c r="N875" s="10" t="n">
        <v>0.03783784</v>
      </c>
      <c r="O875" s="5" t="n">
        <v>23.08</v>
      </c>
      <c r="P875" s="11" t="n">
        <v>1.528926</v>
      </c>
      <c r="Q875" s="7" t="n">
        <v>185</v>
      </c>
      <c r="R875" s="7" t="n">
        <v>7</v>
      </c>
      <c r="S875" s="7" t="n">
        <v>0</v>
      </c>
      <c r="T875" s="7" t="n">
        <v>0</v>
      </c>
      <c r="U875" s="7" t="n">
        <v>95</v>
      </c>
      <c r="V875" s="7" t="n">
        <v>23</v>
      </c>
    </row>
    <row r="876" customFormat="false" ht="15" hidden="false" customHeight="false" outlineLevel="0" collapsed="false">
      <c r="A876" s="4" t="s">
        <v>2926</v>
      </c>
      <c r="B876" s="4" t="str">
        <f aca="false">IF(AND(I876&gt;='Read Me &amp; Markers'!$B$18,J876&gt;='Read Me &amp; Markers'!$B$19,L876&gt;='Read Me &amp; Markers'!$B$20),"A. Proven winner",IF(AND(I876&gt;='Read Me &amp; Markers'!$B$18,J876&gt;='Read Me &amp; Markers'!$B$19,L876&gt;='Read Me &amp; Markers'!$B$21),"B. Strong performer",IF(AND(I876&gt;='Read Me &amp; Markers'!$B$22,L876&gt;='Read Me &amp; Markers'!$B$23),"C. Scale workhorse",IF(AND(I876&gt;='Read Me &amp; Markers'!$B$24,I876&lt;'Read Me &amp; Markers'!$B$18,J876&gt;='Read Me &amp; Markers'!$B$25,L876&gt;='Read Me &amp; Markers'!$B$26),"D. Promising (needs more spend)",""))))</f>
        <v/>
      </c>
      <c r="C876" s="4" t="s">
        <v>169</v>
      </c>
      <c r="D876" s="4" t="s">
        <v>154</v>
      </c>
      <c r="E876" s="4" t="s">
        <v>1667</v>
      </c>
      <c r="F876" s="4" t="s">
        <v>253</v>
      </c>
      <c r="G876" s="4" t="s">
        <v>1093</v>
      </c>
      <c r="H876" s="4" t="s">
        <v>2927</v>
      </c>
      <c r="I876" s="5" t="n">
        <v>4.26</v>
      </c>
      <c r="J876" s="7" t="n">
        <v>0</v>
      </c>
      <c r="K876" s="5" t="n">
        <v>0</v>
      </c>
      <c r="L876" s="8" t="n">
        <v>0</v>
      </c>
      <c r="M876" s="9" t="n">
        <v>0</v>
      </c>
      <c r="N876" s="10" t="n">
        <v>0.02898551</v>
      </c>
      <c r="O876" s="5" t="n">
        <v>61.74</v>
      </c>
      <c r="P876" s="11" t="n">
        <v>1.061538</v>
      </c>
      <c r="Q876" s="7" t="n">
        <v>69</v>
      </c>
      <c r="R876" s="7" t="n">
        <v>2</v>
      </c>
      <c r="S876" s="7" t="n">
        <v>1</v>
      </c>
      <c r="T876" s="7" t="n">
        <v>0</v>
      </c>
      <c r="U876" s="7" t="n">
        <v>61</v>
      </c>
      <c r="V876" s="7" t="n">
        <v>6</v>
      </c>
    </row>
    <row r="877" customFormat="false" ht="15" hidden="false" customHeight="false" outlineLevel="0" collapsed="false">
      <c r="A877" s="4" t="s">
        <v>2928</v>
      </c>
      <c r="B877" s="4" t="str">
        <f aca="false">IF(AND(I877&gt;='Read Me &amp; Markers'!$B$18,J877&gt;='Read Me &amp; Markers'!$B$19,L877&gt;='Read Me &amp; Markers'!$B$20),"A. Proven winner",IF(AND(I877&gt;='Read Me &amp; Markers'!$B$18,J877&gt;='Read Me &amp; Markers'!$B$19,L877&gt;='Read Me &amp; Markers'!$B$21),"B. Strong performer",IF(AND(I877&gt;='Read Me &amp; Markers'!$B$22,L877&gt;='Read Me &amp; Markers'!$B$23),"C. Scale workhorse",IF(AND(I877&gt;='Read Me &amp; Markers'!$B$24,I877&lt;'Read Me &amp; Markers'!$B$18,J877&gt;='Read Me &amp; Markers'!$B$25,L877&gt;='Read Me &amp; Markers'!$B$26),"D. Promising (needs more spend)",""))))</f>
        <v/>
      </c>
      <c r="C877" s="4" t="s">
        <v>2929</v>
      </c>
      <c r="D877" s="4" t="s">
        <v>109</v>
      </c>
      <c r="E877" s="4" t="s">
        <v>482</v>
      </c>
      <c r="F877" s="4" t="s">
        <v>111</v>
      </c>
      <c r="G877" s="4" t="s">
        <v>483</v>
      </c>
      <c r="H877" s="4" t="s">
        <v>2930</v>
      </c>
      <c r="I877" s="5" t="n">
        <v>4.25</v>
      </c>
      <c r="J877" s="7" t="n">
        <v>0</v>
      </c>
      <c r="K877" s="5" t="n">
        <v>0</v>
      </c>
      <c r="L877" s="8" t="n">
        <v>0</v>
      </c>
      <c r="M877" s="9" t="n">
        <v>0</v>
      </c>
      <c r="N877" s="10" t="n">
        <v>0</v>
      </c>
      <c r="O877" s="5" t="n">
        <v>73.28</v>
      </c>
      <c r="P877" s="11" t="n">
        <v>1.054545</v>
      </c>
      <c r="Q877" s="7" t="n">
        <v>58</v>
      </c>
      <c r="R877" s="7" t="n">
        <v>0</v>
      </c>
      <c r="S877" s="7" t="n">
        <v>0</v>
      </c>
      <c r="T877" s="7" t="n">
        <v>0</v>
      </c>
      <c r="U877" s="7" t="n">
        <v>54</v>
      </c>
      <c r="V877" s="7" t="n">
        <v>6</v>
      </c>
    </row>
    <row r="878" customFormat="false" ht="15" hidden="false" customHeight="false" outlineLevel="0" collapsed="false">
      <c r="A878" s="4" t="s">
        <v>2931</v>
      </c>
      <c r="B878" s="4" t="str">
        <f aca="false">IF(AND(I878&gt;='Read Me &amp; Markers'!$B$18,J878&gt;='Read Me &amp; Markers'!$B$19,L878&gt;='Read Me &amp; Markers'!$B$20),"A. Proven winner",IF(AND(I878&gt;='Read Me &amp; Markers'!$B$18,J878&gt;='Read Me &amp; Markers'!$B$19,L878&gt;='Read Me &amp; Markers'!$B$21),"B. Strong performer",IF(AND(I878&gt;='Read Me &amp; Markers'!$B$22,L878&gt;='Read Me &amp; Markers'!$B$23),"C. Scale workhorse",IF(AND(I878&gt;='Read Me &amp; Markers'!$B$24,I878&lt;'Read Me &amp; Markers'!$B$18,J878&gt;='Read Me &amp; Markers'!$B$25,L878&gt;='Read Me &amp; Markers'!$B$26),"D. Promising (needs more spend)",""))))</f>
        <v/>
      </c>
      <c r="C878" s="4" t="s">
        <v>2932</v>
      </c>
      <c r="D878" s="4" t="s">
        <v>1049</v>
      </c>
      <c r="E878" s="4" t="s">
        <v>2933</v>
      </c>
      <c r="F878" s="4" t="s">
        <v>253</v>
      </c>
      <c r="G878" s="4" t="s">
        <v>436</v>
      </c>
      <c r="H878" s="4" t="s">
        <v>2934</v>
      </c>
      <c r="I878" s="5" t="n">
        <v>4.22</v>
      </c>
      <c r="J878" s="7" t="n">
        <v>0</v>
      </c>
      <c r="K878" s="5" t="n">
        <v>0</v>
      </c>
      <c r="L878" s="8" t="n">
        <v>0</v>
      </c>
      <c r="M878" s="9" t="n">
        <v>0</v>
      </c>
      <c r="N878" s="10" t="n">
        <v>0.04761905</v>
      </c>
      <c r="O878" s="5" t="n">
        <v>200.95</v>
      </c>
      <c r="P878" s="11" t="n">
        <v>1.105263</v>
      </c>
      <c r="Q878" s="7" t="n">
        <v>21</v>
      </c>
      <c r="R878" s="7" t="n">
        <v>1</v>
      </c>
      <c r="S878" s="7" t="n">
        <v>0</v>
      </c>
      <c r="T878" s="7" t="n">
        <v>0</v>
      </c>
      <c r="U878" s="7" t="n">
        <v>21</v>
      </c>
      <c r="V878" s="7" t="n">
        <v>6</v>
      </c>
    </row>
    <row r="879" customFormat="false" ht="15" hidden="false" customHeight="false" outlineLevel="0" collapsed="false">
      <c r="A879" s="4" t="s">
        <v>2935</v>
      </c>
      <c r="B879" s="4" t="str">
        <f aca="false">IF(AND(I879&gt;='Read Me &amp; Markers'!$B$18,J879&gt;='Read Me &amp; Markers'!$B$19,L879&gt;='Read Me &amp; Markers'!$B$20),"A. Proven winner",IF(AND(I879&gt;='Read Me &amp; Markers'!$B$18,J879&gt;='Read Me &amp; Markers'!$B$19,L879&gt;='Read Me &amp; Markers'!$B$21),"B. Strong performer",IF(AND(I879&gt;='Read Me &amp; Markers'!$B$22,L879&gt;='Read Me &amp; Markers'!$B$23),"C. Scale workhorse",IF(AND(I879&gt;='Read Me &amp; Markers'!$B$24,I879&lt;'Read Me &amp; Markers'!$B$18,J879&gt;='Read Me &amp; Markers'!$B$25,L879&gt;='Read Me &amp; Markers'!$B$26),"D. Promising (needs more spend)",""))))</f>
        <v/>
      </c>
      <c r="C879" s="4" t="s">
        <v>2936</v>
      </c>
      <c r="D879" s="4" t="s">
        <v>109</v>
      </c>
      <c r="E879" s="4" t="s">
        <v>429</v>
      </c>
      <c r="F879" s="4" t="s">
        <v>111</v>
      </c>
      <c r="G879" s="4" t="s">
        <v>431</v>
      </c>
      <c r="H879" s="4" t="s">
        <v>2937</v>
      </c>
      <c r="I879" s="5" t="n">
        <v>4.22</v>
      </c>
      <c r="J879" s="7" t="n">
        <v>0</v>
      </c>
      <c r="K879" s="5" t="n">
        <v>0</v>
      </c>
      <c r="L879" s="8" t="n">
        <v>0</v>
      </c>
      <c r="M879" s="9" t="n">
        <v>0</v>
      </c>
      <c r="N879" s="10" t="n">
        <v>0.01538462</v>
      </c>
      <c r="O879" s="5" t="n">
        <v>64.92</v>
      </c>
      <c r="P879" s="11" t="n">
        <v>1.354167</v>
      </c>
      <c r="Q879" s="7" t="n">
        <v>65</v>
      </c>
      <c r="R879" s="7" t="n">
        <v>1</v>
      </c>
      <c r="S879" s="7" t="n">
        <v>0</v>
      </c>
      <c r="T879" s="7" t="n">
        <v>0</v>
      </c>
      <c r="U879" s="7" t="n">
        <v>0</v>
      </c>
      <c r="V879" s="7" t="n">
        <v>0</v>
      </c>
    </row>
    <row r="880" customFormat="false" ht="15" hidden="false" customHeight="false" outlineLevel="0" collapsed="false">
      <c r="A880" s="4" t="s">
        <v>2938</v>
      </c>
      <c r="B880" s="4" t="str">
        <f aca="false">IF(AND(I880&gt;='Read Me &amp; Markers'!$B$18,J880&gt;='Read Me &amp; Markers'!$B$19,L880&gt;='Read Me &amp; Markers'!$B$20),"A. Proven winner",IF(AND(I880&gt;='Read Me &amp; Markers'!$B$18,J880&gt;='Read Me &amp; Markers'!$B$19,L880&gt;='Read Me &amp; Markers'!$B$21),"B. Strong performer",IF(AND(I880&gt;='Read Me &amp; Markers'!$B$22,L880&gt;='Read Me &amp; Markers'!$B$23),"C. Scale workhorse",IF(AND(I880&gt;='Read Me &amp; Markers'!$B$24,I880&lt;'Read Me &amp; Markers'!$B$18,J880&gt;='Read Me &amp; Markers'!$B$25,L880&gt;='Read Me &amp; Markers'!$B$26),"D. Promising (needs more spend)",""))))</f>
        <v/>
      </c>
      <c r="C880" s="4" t="s">
        <v>2939</v>
      </c>
      <c r="D880" s="4" t="s">
        <v>109</v>
      </c>
      <c r="E880" s="4" t="s">
        <v>435</v>
      </c>
      <c r="F880" s="4" t="s">
        <v>111</v>
      </c>
      <c r="G880" s="4" t="s">
        <v>500</v>
      </c>
      <c r="H880" s="4" t="s">
        <v>2940</v>
      </c>
      <c r="I880" s="5" t="n">
        <v>4.19</v>
      </c>
      <c r="J880" s="7" t="n">
        <v>0</v>
      </c>
      <c r="K880" s="5" t="n">
        <v>0</v>
      </c>
      <c r="L880" s="8" t="n">
        <v>0</v>
      </c>
      <c r="M880" s="9" t="n">
        <v>0</v>
      </c>
      <c r="N880" s="10" t="n">
        <v>0</v>
      </c>
      <c r="O880" s="5" t="n">
        <v>68.69</v>
      </c>
      <c r="P880" s="11" t="n">
        <v>1.12963</v>
      </c>
      <c r="Q880" s="7" t="n">
        <v>61</v>
      </c>
      <c r="R880" s="7" t="n">
        <v>0</v>
      </c>
      <c r="S880" s="7" t="n">
        <v>0</v>
      </c>
      <c r="T880" s="7" t="n">
        <v>0</v>
      </c>
      <c r="U880" s="7" t="n">
        <v>0</v>
      </c>
      <c r="V880" s="7" t="n">
        <v>0</v>
      </c>
    </row>
    <row r="881" customFormat="false" ht="15" hidden="false" customHeight="false" outlineLevel="0" collapsed="false">
      <c r="A881" s="4" t="s">
        <v>2941</v>
      </c>
      <c r="B881" s="4" t="str">
        <f aca="false">IF(AND(I881&gt;='Read Me &amp; Markers'!$B$18,J881&gt;='Read Me &amp; Markers'!$B$19,L881&gt;='Read Me &amp; Markers'!$B$20),"A. Proven winner",IF(AND(I881&gt;='Read Me &amp; Markers'!$B$18,J881&gt;='Read Me &amp; Markers'!$B$19,L881&gt;='Read Me &amp; Markers'!$B$21),"B. Strong performer",IF(AND(I881&gt;='Read Me &amp; Markers'!$B$22,L881&gt;='Read Me &amp; Markers'!$B$23),"C. Scale workhorse",IF(AND(I881&gt;='Read Me &amp; Markers'!$B$24,I881&lt;'Read Me &amp; Markers'!$B$18,J881&gt;='Read Me &amp; Markers'!$B$25,L881&gt;='Read Me &amp; Markers'!$B$26),"D. Promising (needs more spend)",""))))</f>
        <v/>
      </c>
      <c r="C881" s="4" t="s">
        <v>2942</v>
      </c>
      <c r="D881" s="4" t="s">
        <v>109</v>
      </c>
      <c r="E881" s="4" t="s">
        <v>489</v>
      </c>
      <c r="F881" s="4" t="s">
        <v>111</v>
      </c>
      <c r="G881" s="4" t="s">
        <v>490</v>
      </c>
      <c r="H881" s="4" t="s">
        <v>2943</v>
      </c>
      <c r="I881" s="5" t="n">
        <v>4.1</v>
      </c>
      <c r="J881" s="7" t="n">
        <v>0</v>
      </c>
      <c r="K881" s="5" t="n">
        <v>0</v>
      </c>
      <c r="L881" s="8" t="n">
        <v>0</v>
      </c>
      <c r="M881" s="9" t="n">
        <v>0</v>
      </c>
      <c r="N881" s="10" t="n">
        <v>0.00980392</v>
      </c>
      <c r="O881" s="5" t="n">
        <v>40.2</v>
      </c>
      <c r="P881" s="11" t="n">
        <v>1.259259</v>
      </c>
      <c r="Q881" s="7" t="n">
        <v>102</v>
      </c>
      <c r="R881" s="7" t="n">
        <v>1</v>
      </c>
      <c r="S881" s="7" t="n">
        <v>0</v>
      </c>
      <c r="T881" s="7" t="n">
        <v>0</v>
      </c>
      <c r="U881" s="7" t="n">
        <v>2</v>
      </c>
      <c r="V881" s="7" t="n">
        <v>0</v>
      </c>
    </row>
    <row r="882" customFormat="false" ht="15" hidden="false" customHeight="false" outlineLevel="0" collapsed="false">
      <c r="A882" s="4" t="s">
        <v>2944</v>
      </c>
      <c r="B882" s="4" t="str">
        <f aca="false">IF(AND(I882&gt;='Read Me &amp; Markers'!$B$18,J882&gt;='Read Me &amp; Markers'!$B$19,L882&gt;='Read Me &amp; Markers'!$B$20),"A. Proven winner",IF(AND(I882&gt;='Read Me &amp; Markers'!$B$18,J882&gt;='Read Me &amp; Markers'!$B$19,L882&gt;='Read Me &amp; Markers'!$B$21),"B. Strong performer",IF(AND(I882&gt;='Read Me &amp; Markers'!$B$22,L882&gt;='Read Me &amp; Markers'!$B$23),"C. Scale workhorse",IF(AND(I882&gt;='Read Me &amp; Markers'!$B$24,I882&lt;'Read Me &amp; Markers'!$B$18,J882&gt;='Read Me &amp; Markers'!$B$25,L882&gt;='Read Me &amp; Markers'!$B$26),"D. Promising (needs more spend)",""))))</f>
        <v/>
      </c>
      <c r="C882" s="4" t="s">
        <v>2945</v>
      </c>
      <c r="D882" s="4" t="s">
        <v>109</v>
      </c>
      <c r="E882" s="4" t="s">
        <v>2040</v>
      </c>
      <c r="F882" s="4" t="s">
        <v>111</v>
      </c>
      <c r="G882" s="4" t="s">
        <v>286</v>
      </c>
      <c r="H882" s="4" t="s">
        <v>2946</v>
      </c>
      <c r="I882" s="5" t="n">
        <v>4.03</v>
      </c>
      <c r="J882" s="7" t="n">
        <v>0</v>
      </c>
      <c r="K882" s="5" t="n">
        <v>0</v>
      </c>
      <c r="L882" s="8" t="n">
        <v>0</v>
      </c>
      <c r="M882" s="9" t="n">
        <v>0</v>
      </c>
      <c r="N882" s="10" t="n">
        <v>0</v>
      </c>
      <c r="O882" s="5" t="n">
        <v>149.26</v>
      </c>
      <c r="P882" s="11" t="n">
        <v>1.928571</v>
      </c>
      <c r="Q882" s="7" t="n">
        <v>27</v>
      </c>
      <c r="R882" s="7" t="n">
        <v>0</v>
      </c>
      <c r="S882" s="7" t="n">
        <v>0</v>
      </c>
      <c r="T882" s="7" t="n">
        <v>0</v>
      </c>
      <c r="U882" s="7" t="n">
        <v>1</v>
      </c>
      <c r="V882" s="7" t="n">
        <v>0</v>
      </c>
    </row>
    <row r="883" customFormat="false" ht="15" hidden="false" customHeight="false" outlineLevel="0" collapsed="false">
      <c r="A883" s="4" t="s">
        <v>2947</v>
      </c>
      <c r="B883" s="4" t="str">
        <f aca="false">IF(AND(I883&gt;='Read Me &amp; Markers'!$B$18,J883&gt;='Read Me &amp; Markers'!$B$19,L883&gt;='Read Me &amp; Markers'!$B$20),"A. Proven winner",IF(AND(I883&gt;='Read Me &amp; Markers'!$B$18,J883&gt;='Read Me &amp; Markers'!$B$19,L883&gt;='Read Me &amp; Markers'!$B$21),"B. Strong performer",IF(AND(I883&gt;='Read Me &amp; Markers'!$B$22,L883&gt;='Read Me &amp; Markers'!$B$23),"C. Scale workhorse",IF(AND(I883&gt;='Read Me &amp; Markers'!$B$24,I883&lt;'Read Me &amp; Markers'!$B$18,J883&gt;='Read Me &amp; Markers'!$B$25,L883&gt;='Read Me &amp; Markers'!$B$26),"D. Promising (needs more spend)",""))))</f>
        <v/>
      </c>
      <c r="C883" s="4" t="s">
        <v>169</v>
      </c>
      <c r="D883" s="4" t="s">
        <v>154</v>
      </c>
      <c r="E883" s="4" t="s">
        <v>1984</v>
      </c>
      <c r="F883" s="4" t="s">
        <v>253</v>
      </c>
      <c r="G883" s="4" t="s">
        <v>1093</v>
      </c>
      <c r="H883" s="4" t="s">
        <v>2948</v>
      </c>
      <c r="I883" s="5" t="n">
        <v>4.01</v>
      </c>
      <c r="J883" s="7" t="n">
        <v>0</v>
      </c>
      <c r="K883" s="5" t="n">
        <v>0</v>
      </c>
      <c r="L883" s="8" t="n">
        <v>0</v>
      </c>
      <c r="M883" s="9" t="n">
        <v>0</v>
      </c>
      <c r="N883" s="10" t="n">
        <v>0.02941176</v>
      </c>
      <c r="O883" s="5" t="n">
        <v>58.97</v>
      </c>
      <c r="P883" s="11" t="n">
        <v>1.192982</v>
      </c>
      <c r="Q883" s="7" t="n">
        <v>68</v>
      </c>
      <c r="R883" s="7" t="n">
        <v>2</v>
      </c>
      <c r="S883" s="7" t="n">
        <v>0</v>
      </c>
      <c r="T883" s="7" t="n">
        <v>0</v>
      </c>
      <c r="U883" s="7" t="n">
        <v>57</v>
      </c>
      <c r="V883" s="7" t="n">
        <v>9</v>
      </c>
    </row>
    <row r="884" customFormat="false" ht="15" hidden="false" customHeight="false" outlineLevel="0" collapsed="false">
      <c r="A884" s="4" t="s">
        <v>2949</v>
      </c>
      <c r="B884" s="4" t="str">
        <f aca="false">IF(AND(I884&gt;='Read Me &amp; Markers'!$B$18,J884&gt;='Read Me &amp; Markers'!$B$19,L884&gt;='Read Me &amp; Markers'!$B$20),"A. Proven winner",IF(AND(I884&gt;='Read Me &amp; Markers'!$B$18,J884&gt;='Read Me &amp; Markers'!$B$19,L884&gt;='Read Me &amp; Markers'!$B$21),"B. Strong performer",IF(AND(I884&gt;='Read Me &amp; Markers'!$B$22,L884&gt;='Read Me &amp; Markers'!$B$23),"C. Scale workhorse",IF(AND(I884&gt;='Read Me &amp; Markers'!$B$24,I884&lt;'Read Me &amp; Markers'!$B$18,J884&gt;='Read Me &amp; Markers'!$B$25,L884&gt;='Read Me &amp; Markers'!$B$26),"D. Promising (needs more spend)",""))))</f>
        <v/>
      </c>
      <c r="C884" s="4" t="s">
        <v>121</v>
      </c>
      <c r="D884" s="4" t="s">
        <v>100</v>
      </c>
      <c r="E884" s="4" t="s">
        <v>1579</v>
      </c>
      <c r="F884" s="4" t="s">
        <v>253</v>
      </c>
      <c r="G884" s="4" t="s">
        <v>254</v>
      </c>
      <c r="H884" s="4" t="s">
        <v>2950</v>
      </c>
      <c r="I884" s="5" t="n">
        <v>3.99</v>
      </c>
      <c r="J884" s="7" t="n">
        <v>0</v>
      </c>
      <c r="K884" s="5" t="n">
        <v>0</v>
      </c>
      <c r="L884" s="8" t="n">
        <v>0</v>
      </c>
      <c r="M884" s="9" t="n">
        <v>0</v>
      </c>
      <c r="N884" s="10" t="n">
        <v>0.025</v>
      </c>
      <c r="O884" s="5" t="n">
        <v>99.75</v>
      </c>
      <c r="P884" s="11" t="n">
        <v>1.052632</v>
      </c>
      <c r="Q884" s="7" t="n">
        <v>40</v>
      </c>
      <c r="R884" s="7" t="n">
        <v>1</v>
      </c>
      <c r="S884" s="7" t="n">
        <v>0</v>
      </c>
      <c r="T884" s="7" t="n">
        <v>0</v>
      </c>
      <c r="U884" s="7" t="n">
        <v>33</v>
      </c>
      <c r="V884" s="7" t="n">
        <v>1</v>
      </c>
    </row>
    <row r="885" customFormat="false" ht="15" hidden="false" customHeight="false" outlineLevel="0" collapsed="false">
      <c r="A885" s="4" t="s">
        <v>2951</v>
      </c>
      <c r="B885" s="4" t="str">
        <f aca="false">IF(AND(I885&gt;='Read Me &amp; Markers'!$B$18,J885&gt;='Read Me &amp; Markers'!$B$19,L885&gt;='Read Me &amp; Markers'!$B$20),"A. Proven winner",IF(AND(I885&gt;='Read Me &amp; Markers'!$B$18,J885&gt;='Read Me &amp; Markers'!$B$19,L885&gt;='Read Me &amp; Markers'!$B$21),"B. Strong performer",IF(AND(I885&gt;='Read Me &amp; Markers'!$B$22,L885&gt;='Read Me &amp; Markers'!$B$23),"C. Scale workhorse",IF(AND(I885&gt;='Read Me &amp; Markers'!$B$24,I885&lt;'Read Me &amp; Markers'!$B$18,J885&gt;='Read Me &amp; Markers'!$B$25,L885&gt;='Read Me &amp; Markers'!$B$26),"D. Promising (needs more spend)",""))))</f>
        <v/>
      </c>
      <c r="C885" s="4" t="s">
        <v>169</v>
      </c>
      <c r="D885" s="4" t="s">
        <v>100</v>
      </c>
      <c r="E885" s="4" t="s">
        <v>2449</v>
      </c>
      <c r="F885" s="4" t="s">
        <v>230</v>
      </c>
      <c r="G885" s="4" t="s">
        <v>279</v>
      </c>
      <c r="H885" s="4" t="s">
        <v>2952</v>
      </c>
      <c r="I885" s="5" t="n">
        <v>3.97</v>
      </c>
      <c r="J885" s="7" t="n">
        <v>0</v>
      </c>
      <c r="K885" s="5" t="n">
        <v>0</v>
      </c>
      <c r="L885" s="8" t="n">
        <v>0</v>
      </c>
      <c r="M885" s="9" t="n">
        <v>0</v>
      </c>
      <c r="N885" s="10" t="n">
        <v>0.07692308</v>
      </c>
      <c r="O885" s="5" t="n">
        <v>152.69</v>
      </c>
      <c r="P885" s="11" t="n">
        <v>1</v>
      </c>
      <c r="Q885" s="7" t="n">
        <v>26</v>
      </c>
      <c r="R885" s="7" t="n">
        <v>2</v>
      </c>
      <c r="S885" s="7" t="n">
        <v>0</v>
      </c>
      <c r="T885" s="7" t="n">
        <v>0</v>
      </c>
      <c r="U885" s="7" t="n">
        <v>24</v>
      </c>
      <c r="V885" s="7" t="n">
        <v>1</v>
      </c>
    </row>
    <row r="886" customFormat="false" ht="15" hidden="false" customHeight="false" outlineLevel="0" collapsed="false">
      <c r="A886" s="4" t="s">
        <v>2953</v>
      </c>
      <c r="B886" s="4" t="str">
        <f aca="false">IF(AND(I886&gt;='Read Me &amp; Markers'!$B$18,J886&gt;='Read Me &amp; Markers'!$B$19,L886&gt;='Read Me &amp; Markers'!$B$20),"A. Proven winner",IF(AND(I886&gt;='Read Me &amp; Markers'!$B$18,J886&gt;='Read Me &amp; Markers'!$B$19,L886&gt;='Read Me &amp; Markers'!$B$21),"B. Strong performer",IF(AND(I886&gt;='Read Me &amp; Markers'!$B$22,L886&gt;='Read Me &amp; Markers'!$B$23),"C. Scale workhorse",IF(AND(I886&gt;='Read Me &amp; Markers'!$B$24,I886&lt;'Read Me &amp; Markers'!$B$18,J886&gt;='Read Me &amp; Markers'!$B$25,L886&gt;='Read Me &amp; Markers'!$B$26),"D. Promising (needs more spend)",""))))</f>
        <v/>
      </c>
      <c r="C886" s="4" t="s">
        <v>2954</v>
      </c>
      <c r="D886" s="4" t="s">
        <v>109</v>
      </c>
      <c r="E886" s="4" t="s">
        <v>424</v>
      </c>
      <c r="F886" s="4" t="s">
        <v>111</v>
      </c>
      <c r="G886" s="4" t="s">
        <v>425</v>
      </c>
      <c r="H886" s="4" t="s">
        <v>2955</v>
      </c>
      <c r="I886" s="5" t="n">
        <v>3.96</v>
      </c>
      <c r="J886" s="7" t="n">
        <v>0</v>
      </c>
      <c r="K886" s="5" t="n">
        <v>0</v>
      </c>
      <c r="L886" s="8" t="n">
        <v>0</v>
      </c>
      <c r="M886" s="9" t="n">
        <v>0</v>
      </c>
      <c r="N886" s="10" t="n">
        <v>0.1875</v>
      </c>
      <c r="O886" s="5" t="n">
        <v>247.5</v>
      </c>
      <c r="P886" s="11" t="n">
        <v>1.142857</v>
      </c>
      <c r="Q886" s="7" t="n">
        <v>16</v>
      </c>
      <c r="R886" s="7" t="n">
        <v>3</v>
      </c>
      <c r="S886" s="7" t="n">
        <v>0</v>
      </c>
      <c r="T886" s="7" t="n">
        <v>0</v>
      </c>
      <c r="U886" s="7" t="n">
        <v>16</v>
      </c>
      <c r="V886" s="7" t="n">
        <v>5</v>
      </c>
    </row>
    <row r="887" customFormat="false" ht="15" hidden="false" customHeight="false" outlineLevel="0" collapsed="false">
      <c r="A887" s="4" t="s">
        <v>2956</v>
      </c>
      <c r="B887" s="4" t="str">
        <f aca="false">IF(AND(I887&gt;='Read Me &amp; Markers'!$B$18,J887&gt;='Read Me &amp; Markers'!$B$19,L887&gt;='Read Me &amp; Markers'!$B$20),"A. Proven winner",IF(AND(I887&gt;='Read Me &amp; Markers'!$B$18,J887&gt;='Read Me &amp; Markers'!$B$19,L887&gt;='Read Me &amp; Markers'!$B$21),"B. Strong performer",IF(AND(I887&gt;='Read Me &amp; Markers'!$B$22,L887&gt;='Read Me &amp; Markers'!$B$23),"C. Scale workhorse",IF(AND(I887&gt;='Read Me &amp; Markers'!$B$24,I887&lt;'Read Me &amp; Markers'!$B$18,J887&gt;='Read Me &amp; Markers'!$B$25,L887&gt;='Read Me &amp; Markers'!$B$26),"D. Promising (needs more spend)",""))))</f>
        <v/>
      </c>
      <c r="C887" s="4" t="s">
        <v>129</v>
      </c>
      <c r="D887" s="4" t="s">
        <v>206</v>
      </c>
      <c r="E887" s="4" t="s">
        <v>2119</v>
      </c>
      <c r="F887" s="4" t="s">
        <v>253</v>
      </c>
      <c r="G887" s="4" t="s">
        <v>208</v>
      </c>
      <c r="H887" s="4" t="s">
        <v>2957</v>
      </c>
      <c r="I887" s="5" t="n">
        <v>3.94</v>
      </c>
      <c r="J887" s="7" t="n">
        <v>0</v>
      </c>
      <c r="K887" s="5" t="n">
        <v>0</v>
      </c>
      <c r="L887" s="8" t="n">
        <v>0</v>
      </c>
      <c r="M887" s="9" t="n">
        <v>0</v>
      </c>
      <c r="N887" s="10" t="n">
        <v>0.04444444</v>
      </c>
      <c r="O887" s="5" t="n">
        <v>87.56</v>
      </c>
      <c r="P887" s="11" t="n">
        <v>1.046512</v>
      </c>
      <c r="Q887" s="7" t="n">
        <v>45</v>
      </c>
      <c r="R887" s="7" t="n">
        <v>2</v>
      </c>
      <c r="S887" s="7" t="n">
        <v>0</v>
      </c>
      <c r="T887" s="7" t="n">
        <v>0</v>
      </c>
      <c r="U887" s="7" t="n">
        <v>39</v>
      </c>
      <c r="V887" s="7" t="n">
        <v>6</v>
      </c>
    </row>
    <row r="888" customFormat="false" ht="15" hidden="false" customHeight="false" outlineLevel="0" collapsed="false">
      <c r="A888" s="4" t="s">
        <v>2958</v>
      </c>
      <c r="B888" s="4" t="str">
        <f aca="false">IF(AND(I888&gt;='Read Me &amp; Markers'!$B$18,J888&gt;='Read Me &amp; Markers'!$B$19,L888&gt;='Read Me &amp; Markers'!$B$20),"A. Proven winner",IF(AND(I888&gt;='Read Me &amp; Markers'!$B$18,J888&gt;='Read Me &amp; Markers'!$B$19,L888&gt;='Read Me &amp; Markers'!$B$21),"B. Strong performer",IF(AND(I888&gt;='Read Me &amp; Markers'!$B$22,L888&gt;='Read Me &amp; Markers'!$B$23),"C. Scale workhorse",IF(AND(I888&gt;='Read Me &amp; Markers'!$B$24,I888&lt;'Read Me &amp; Markers'!$B$18,J888&gt;='Read Me &amp; Markers'!$B$25,L888&gt;='Read Me &amp; Markers'!$B$26),"D. Promising (needs more spend)",""))))</f>
        <v/>
      </c>
      <c r="C888" s="4" t="s">
        <v>2959</v>
      </c>
      <c r="D888" s="4" t="s">
        <v>100</v>
      </c>
      <c r="E888" s="4" t="s">
        <v>1345</v>
      </c>
      <c r="F888" s="4" t="s">
        <v>253</v>
      </c>
      <c r="G888" s="4" t="s">
        <v>984</v>
      </c>
      <c r="H888" s="4" t="s">
        <v>2960</v>
      </c>
      <c r="I888" s="5" t="n">
        <v>3.92</v>
      </c>
      <c r="J888" s="7" t="n">
        <v>0</v>
      </c>
      <c r="K888" s="5" t="n">
        <v>0</v>
      </c>
      <c r="L888" s="8" t="n">
        <v>0</v>
      </c>
      <c r="M888" s="9" t="n">
        <v>0</v>
      </c>
      <c r="N888" s="10" t="n">
        <v>0.01694915</v>
      </c>
      <c r="O888" s="5" t="n">
        <v>33.22</v>
      </c>
      <c r="P888" s="11" t="n">
        <v>1.638889</v>
      </c>
      <c r="Q888" s="7" t="n">
        <v>118</v>
      </c>
      <c r="R888" s="7" t="n">
        <v>2</v>
      </c>
      <c r="S888" s="7" t="n">
        <v>0</v>
      </c>
      <c r="T888" s="7" t="n">
        <v>1</v>
      </c>
      <c r="U888" s="7" t="n">
        <v>0</v>
      </c>
      <c r="V888" s="7" t="n">
        <v>0</v>
      </c>
    </row>
    <row r="889" customFormat="false" ht="15" hidden="false" customHeight="false" outlineLevel="0" collapsed="false">
      <c r="A889" s="4" t="s">
        <v>2961</v>
      </c>
      <c r="B889" s="4" t="str">
        <f aca="false">IF(AND(I889&gt;='Read Me &amp; Markers'!$B$18,J889&gt;='Read Me &amp; Markers'!$B$19,L889&gt;='Read Me &amp; Markers'!$B$20),"A. Proven winner",IF(AND(I889&gt;='Read Me &amp; Markers'!$B$18,J889&gt;='Read Me &amp; Markers'!$B$19,L889&gt;='Read Me &amp; Markers'!$B$21),"B. Strong performer",IF(AND(I889&gt;='Read Me &amp; Markers'!$B$22,L889&gt;='Read Me &amp; Markers'!$B$23),"C. Scale workhorse",IF(AND(I889&gt;='Read Me &amp; Markers'!$B$24,I889&lt;'Read Me &amp; Markers'!$B$18,J889&gt;='Read Me &amp; Markers'!$B$25,L889&gt;='Read Me &amp; Markers'!$B$26),"D. Promising (needs more spend)",""))))</f>
        <v/>
      </c>
      <c r="C889" s="4" t="s">
        <v>2962</v>
      </c>
      <c r="D889" s="4" t="s">
        <v>109</v>
      </c>
      <c r="E889" s="4" t="s">
        <v>435</v>
      </c>
      <c r="F889" s="4" t="s">
        <v>111</v>
      </c>
      <c r="G889" s="4" t="s">
        <v>500</v>
      </c>
      <c r="H889" s="4" t="s">
        <v>2963</v>
      </c>
      <c r="I889" s="5" t="n">
        <v>3.87</v>
      </c>
      <c r="J889" s="7" t="n">
        <v>0</v>
      </c>
      <c r="K889" s="5" t="n">
        <v>0</v>
      </c>
      <c r="L889" s="8" t="n">
        <v>0</v>
      </c>
      <c r="M889" s="9" t="n">
        <v>0</v>
      </c>
      <c r="N889" s="10" t="n">
        <v>0</v>
      </c>
      <c r="O889" s="5" t="n">
        <v>39.09</v>
      </c>
      <c r="P889" s="11" t="n">
        <v>1.414286</v>
      </c>
      <c r="Q889" s="7" t="n">
        <v>99</v>
      </c>
      <c r="R889" s="7" t="n">
        <v>0</v>
      </c>
      <c r="S889" s="7" t="n">
        <v>0</v>
      </c>
      <c r="T889" s="7" t="n">
        <v>0</v>
      </c>
      <c r="U889" s="7" t="n">
        <v>0</v>
      </c>
      <c r="V889" s="7" t="n">
        <v>0</v>
      </c>
    </row>
    <row r="890" customFormat="false" ht="15" hidden="false" customHeight="false" outlineLevel="0" collapsed="false">
      <c r="A890" s="4" t="s">
        <v>2964</v>
      </c>
      <c r="B890" s="4" t="str">
        <f aca="false">IF(AND(I890&gt;='Read Me &amp; Markers'!$B$18,J890&gt;='Read Me &amp; Markers'!$B$19,L890&gt;='Read Me &amp; Markers'!$B$20),"A. Proven winner",IF(AND(I890&gt;='Read Me &amp; Markers'!$B$18,J890&gt;='Read Me &amp; Markers'!$B$19,L890&gt;='Read Me &amp; Markers'!$B$21),"B. Strong performer",IF(AND(I890&gt;='Read Me &amp; Markers'!$B$22,L890&gt;='Read Me &amp; Markers'!$B$23),"C. Scale workhorse",IF(AND(I890&gt;='Read Me &amp; Markers'!$B$24,I890&lt;'Read Me &amp; Markers'!$B$18,J890&gt;='Read Me &amp; Markers'!$B$25,L890&gt;='Read Me &amp; Markers'!$B$26),"D. Promising (needs more spend)",""))))</f>
        <v/>
      </c>
      <c r="C890" s="4" t="s">
        <v>2965</v>
      </c>
      <c r="D890" s="4" t="s">
        <v>109</v>
      </c>
      <c r="E890" s="4" t="s">
        <v>1445</v>
      </c>
      <c r="F890" s="4" t="s">
        <v>172</v>
      </c>
      <c r="G890" s="4" t="s">
        <v>599</v>
      </c>
      <c r="H890" s="4" t="s">
        <v>2966</v>
      </c>
      <c r="I890" s="5" t="n">
        <v>3.85</v>
      </c>
      <c r="J890" s="7" t="n">
        <v>0</v>
      </c>
      <c r="K890" s="5" t="n">
        <v>0</v>
      </c>
      <c r="L890" s="8" t="n">
        <v>0</v>
      </c>
      <c r="M890" s="9" t="n">
        <v>0</v>
      </c>
      <c r="N890" s="10" t="n">
        <v>0.0952381</v>
      </c>
      <c r="O890" s="5" t="n">
        <v>183.33</v>
      </c>
      <c r="P890" s="11" t="n">
        <v>1.105263</v>
      </c>
      <c r="Q890" s="7" t="n">
        <v>21</v>
      </c>
      <c r="R890" s="7" t="n">
        <v>2</v>
      </c>
      <c r="S890" s="7" t="n">
        <v>0</v>
      </c>
      <c r="T890" s="7" t="n">
        <v>0</v>
      </c>
      <c r="U890" s="7" t="n">
        <v>19</v>
      </c>
      <c r="V890" s="7" t="n">
        <v>4</v>
      </c>
    </row>
    <row r="891" customFormat="false" ht="15" hidden="false" customHeight="false" outlineLevel="0" collapsed="false">
      <c r="A891" s="4" t="s">
        <v>2967</v>
      </c>
      <c r="B891" s="4" t="str">
        <f aca="false">IF(AND(I891&gt;='Read Me &amp; Markers'!$B$18,J891&gt;='Read Me &amp; Markers'!$B$19,L891&gt;='Read Me &amp; Markers'!$B$20),"A. Proven winner",IF(AND(I891&gt;='Read Me &amp; Markers'!$B$18,J891&gt;='Read Me &amp; Markers'!$B$19,L891&gt;='Read Me &amp; Markers'!$B$21),"B. Strong performer",IF(AND(I891&gt;='Read Me &amp; Markers'!$B$22,L891&gt;='Read Me &amp; Markers'!$B$23),"C. Scale workhorse",IF(AND(I891&gt;='Read Me &amp; Markers'!$B$24,I891&lt;'Read Me &amp; Markers'!$B$18,J891&gt;='Read Me &amp; Markers'!$B$25,L891&gt;='Read Me &amp; Markers'!$B$26),"D. Promising (needs more spend)",""))))</f>
        <v/>
      </c>
      <c r="C891" s="4" t="s">
        <v>2968</v>
      </c>
      <c r="D891" s="4" t="s">
        <v>109</v>
      </c>
      <c r="E891" s="4" t="s">
        <v>435</v>
      </c>
      <c r="F891" s="4" t="s">
        <v>111</v>
      </c>
      <c r="G891" s="4" t="s">
        <v>500</v>
      </c>
      <c r="H891" s="4" t="s">
        <v>2969</v>
      </c>
      <c r="I891" s="5" t="n">
        <v>3.78</v>
      </c>
      <c r="J891" s="7" t="n">
        <v>0</v>
      </c>
      <c r="K891" s="5" t="n">
        <v>0</v>
      </c>
      <c r="L891" s="8" t="n">
        <v>0</v>
      </c>
      <c r="M891" s="9" t="n">
        <v>0</v>
      </c>
      <c r="N891" s="10" t="n">
        <v>0.125</v>
      </c>
      <c r="O891" s="5" t="n">
        <v>236.25</v>
      </c>
      <c r="P891" s="11" t="n">
        <v>1</v>
      </c>
      <c r="Q891" s="7" t="n">
        <v>16</v>
      </c>
      <c r="R891" s="7" t="n">
        <v>2</v>
      </c>
      <c r="S891" s="7" t="n">
        <v>0</v>
      </c>
      <c r="T891" s="7" t="n">
        <v>0</v>
      </c>
      <c r="U891" s="7" t="n">
        <v>14</v>
      </c>
      <c r="V891" s="7" t="n">
        <v>5</v>
      </c>
    </row>
    <row r="892" customFormat="false" ht="15" hidden="false" customHeight="false" outlineLevel="0" collapsed="false">
      <c r="A892" s="4" t="s">
        <v>2970</v>
      </c>
      <c r="B892" s="4" t="str">
        <f aca="false">IF(AND(I892&gt;='Read Me &amp; Markers'!$B$18,J892&gt;='Read Me &amp; Markers'!$B$19,L892&gt;='Read Me &amp; Markers'!$B$20),"A. Proven winner",IF(AND(I892&gt;='Read Me &amp; Markers'!$B$18,J892&gt;='Read Me &amp; Markers'!$B$19,L892&gt;='Read Me &amp; Markers'!$B$21),"B. Strong performer",IF(AND(I892&gt;='Read Me &amp; Markers'!$B$22,L892&gt;='Read Me &amp; Markers'!$B$23),"C. Scale workhorse",IF(AND(I892&gt;='Read Me &amp; Markers'!$B$24,I892&lt;'Read Me &amp; Markers'!$B$18,J892&gt;='Read Me &amp; Markers'!$B$25,L892&gt;='Read Me &amp; Markers'!$B$26),"D. Promising (needs more spend)",""))))</f>
        <v/>
      </c>
      <c r="C892" s="4" t="s">
        <v>2971</v>
      </c>
      <c r="D892" s="4" t="s">
        <v>109</v>
      </c>
      <c r="E892" s="4" t="s">
        <v>474</v>
      </c>
      <c r="F892" s="4" t="s">
        <v>111</v>
      </c>
      <c r="G892" s="4" t="s">
        <v>475</v>
      </c>
      <c r="H892" s="4" t="s">
        <v>2972</v>
      </c>
      <c r="I892" s="5" t="n">
        <v>3.78</v>
      </c>
      <c r="J892" s="7" t="n">
        <v>1</v>
      </c>
      <c r="K892" s="5" t="n">
        <v>45.95</v>
      </c>
      <c r="L892" s="8" t="n">
        <v>12.156085</v>
      </c>
      <c r="M892" s="9" t="n">
        <v>3.78</v>
      </c>
      <c r="N892" s="10" t="n">
        <v>0.01282051</v>
      </c>
      <c r="O892" s="5" t="n">
        <v>48.46</v>
      </c>
      <c r="P892" s="11" t="n">
        <v>1.164179</v>
      </c>
      <c r="Q892" s="7" t="n">
        <v>78</v>
      </c>
      <c r="R892" s="7" t="n">
        <v>1</v>
      </c>
      <c r="S892" s="7" t="n">
        <v>0</v>
      </c>
      <c r="T892" s="7" t="n">
        <v>1</v>
      </c>
      <c r="U892" s="7" t="n">
        <v>0</v>
      </c>
      <c r="V892" s="7" t="n">
        <v>0</v>
      </c>
    </row>
    <row r="893" customFormat="false" ht="15" hidden="false" customHeight="false" outlineLevel="0" collapsed="false">
      <c r="A893" s="4" t="s">
        <v>2973</v>
      </c>
      <c r="B893" s="4" t="str">
        <f aca="false">IF(AND(I893&gt;='Read Me &amp; Markers'!$B$18,J893&gt;='Read Me &amp; Markers'!$B$19,L893&gt;='Read Me &amp; Markers'!$B$20),"A. Proven winner",IF(AND(I893&gt;='Read Me &amp; Markers'!$B$18,J893&gt;='Read Me &amp; Markers'!$B$19,L893&gt;='Read Me &amp; Markers'!$B$21),"B. Strong performer",IF(AND(I893&gt;='Read Me &amp; Markers'!$B$22,L893&gt;='Read Me &amp; Markers'!$B$23),"C. Scale workhorse",IF(AND(I893&gt;='Read Me &amp; Markers'!$B$24,I893&lt;'Read Me &amp; Markers'!$B$18,J893&gt;='Read Me &amp; Markers'!$B$25,L893&gt;='Read Me &amp; Markers'!$B$26),"D. Promising (needs more spend)",""))))</f>
        <v/>
      </c>
      <c r="C893" s="4" t="s">
        <v>2974</v>
      </c>
      <c r="D893" s="4" t="s">
        <v>109</v>
      </c>
      <c r="E893" s="4" t="s">
        <v>1671</v>
      </c>
      <c r="F893" s="4" t="s">
        <v>172</v>
      </c>
      <c r="G893" s="4" t="s">
        <v>378</v>
      </c>
      <c r="H893" s="4" t="s">
        <v>2975</v>
      </c>
      <c r="I893" s="5" t="n">
        <v>3.78</v>
      </c>
      <c r="J893" s="7" t="n">
        <v>0</v>
      </c>
      <c r="K893" s="5" t="n">
        <v>0</v>
      </c>
      <c r="L893" s="8" t="n">
        <v>0</v>
      </c>
      <c r="M893" s="9" t="n">
        <v>0</v>
      </c>
      <c r="N893" s="10" t="n">
        <v>0.03448276</v>
      </c>
      <c r="O893" s="5" t="n">
        <v>130.34</v>
      </c>
      <c r="P893" s="11" t="n">
        <v>1</v>
      </c>
      <c r="Q893" s="7" t="n">
        <v>29</v>
      </c>
      <c r="R893" s="7" t="n">
        <v>1</v>
      </c>
      <c r="S893" s="7" t="n">
        <v>0</v>
      </c>
      <c r="T893" s="7" t="n">
        <v>0</v>
      </c>
      <c r="U893" s="7" t="n">
        <v>26</v>
      </c>
      <c r="V893" s="7" t="n">
        <v>3</v>
      </c>
    </row>
    <row r="894" customFormat="false" ht="15" hidden="false" customHeight="false" outlineLevel="0" collapsed="false">
      <c r="A894" s="4" t="s">
        <v>2976</v>
      </c>
      <c r="B894" s="4" t="str">
        <f aca="false">IF(AND(I894&gt;='Read Me &amp; Markers'!$B$18,J894&gt;='Read Me &amp; Markers'!$B$19,L894&gt;='Read Me &amp; Markers'!$B$20),"A. Proven winner",IF(AND(I894&gt;='Read Me &amp; Markers'!$B$18,J894&gt;='Read Me &amp; Markers'!$B$19,L894&gt;='Read Me &amp; Markers'!$B$21),"B. Strong performer",IF(AND(I894&gt;='Read Me &amp; Markers'!$B$22,L894&gt;='Read Me &amp; Markers'!$B$23),"C. Scale workhorse",IF(AND(I894&gt;='Read Me &amp; Markers'!$B$24,I894&lt;'Read Me &amp; Markers'!$B$18,J894&gt;='Read Me &amp; Markers'!$B$25,L894&gt;='Read Me &amp; Markers'!$B$26),"D. Promising (needs more spend)",""))))</f>
        <v/>
      </c>
      <c r="C894" s="4" t="s">
        <v>1951</v>
      </c>
      <c r="D894" s="4" t="s">
        <v>109</v>
      </c>
      <c r="E894" s="4" t="s">
        <v>979</v>
      </c>
      <c r="F894" s="4" t="s">
        <v>172</v>
      </c>
      <c r="G894" s="4" t="s">
        <v>659</v>
      </c>
      <c r="H894" s="4" t="s">
        <v>2977</v>
      </c>
      <c r="I894" s="5" t="n">
        <v>3.76</v>
      </c>
      <c r="J894" s="7" t="n">
        <v>0</v>
      </c>
      <c r="K894" s="5" t="n">
        <v>0</v>
      </c>
      <c r="L894" s="8" t="n">
        <v>0</v>
      </c>
      <c r="M894" s="9" t="n">
        <v>0</v>
      </c>
      <c r="N894" s="10" t="n">
        <v>0.08</v>
      </c>
      <c r="O894" s="5" t="n">
        <v>150.4</v>
      </c>
      <c r="P894" s="11" t="n">
        <v>1.041667</v>
      </c>
      <c r="Q894" s="7" t="n">
        <v>25</v>
      </c>
      <c r="R894" s="7" t="n">
        <v>2</v>
      </c>
      <c r="S894" s="7" t="n">
        <v>0</v>
      </c>
      <c r="T894" s="7" t="n">
        <v>0</v>
      </c>
      <c r="U894" s="7" t="n">
        <v>23</v>
      </c>
      <c r="V894" s="7" t="n">
        <v>5</v>
      </c>
    </row>
    <row r="895" customFormat="false" ht="15" hidden="false" customHeight="false" outlineLevel="0" collapsed="false">
      <c r="A895" s="4" t="s">
        <v>2978</v>
      </c>
      <c r="B895" s="4" t="str">
        <f aca="false">IF(AND(I895&gt;='Read Me &amp; Markers'!$B$18,J895&gt;='Read Me &amp; Markers'!$B$19,L895&gt;='Read Me &amp; Markers'!$B$20),"A. Proven winner",IF(AND(I895&gt;='Read Me &amp; Markers'!$B$18,J895&gt;='Read Me &amp; Markers'!$B$19,L895&gt;='Read Me &amp; Markers'!$B$21),"B. Strong performer",IF(AND(I895&gt;='Read Me &amp; Markers'!$B$22,L895&gt;='Read Me &amp; Markers'!$B$23),"C. Scale workhorse",IF(AND(I895&gt;='Read Me &amp; Markers'!$B$24,I895&lt;'Read Me &amp; Markers'!$B$18,J895&gt;='Read Me &amp; Markers'!$B$25,L895&gt;='Read Me &amp; Markers'!$B$26),"D. Promising (needs more spend)",""))))</f>
        <v/>
      </c>
      <c r="C895" s="4" t="s">
        <v>2979</v>
      </c>
      <c r="D895" s="4" t="s">
        <v>1204</v>
      </c>
      <c r="E895" s="4" t="s">
        <v>1430</v>
      </c>
      <c r="F895" s="4" t="s">
        <v>253</v>
      </c>
      <c r="G895" s="4" t="s">
        <v>1206</v>
      </c>
      <c r="H895" s="4" t="s">
        <v>2980</v>
      </c>
      <c r="I895" s="5" t="n">
        <v>3.75</v>
      </c>
      <c r="J895" s="7" t="n">
        <v>0</v>
      </c>
      <c r="K895" s="5" t="n">
        <v>0</v>
      </c>
      <c r="L895" s="8" t="n">
        <v>0</v>
      </c>
      <c r="M895" s="9" t="n">
        <v>0</v>
      </c>
      <c r="N895" s="10" t="n">
        <v>0.04</v>
      </c>
      <c r="O895" s="5" t="n">
        <v>150</v>
      </c>
      <c r="P895" s="11" t="n">
        <v>1.315789</v>
      </c>
      <c r="Q895" s="7" t="n">
        <v>25</v>
      </c>
      <c r="R895" s="7" t="n">
        <v>1</v>
      </c>
      <c r="S895" s="7" t="n">
        <v>0</v>
      </c>
      <c r="T895" s="7" t="n">
        <v>0</v>
      </c>
      <c r="U895" s="7" t="n">
        <v>20</v>
      </c>
      <c r="V895" s="7" t="n">
        <v>4</v>
      </c>
    </row>
    <row r="896" customFormat="false" ht="15" hidden="false" customHeight="false" outlineLevel="0" collapsed="false">
      <c r="A896" s="4" t="s">
        <v>2981</v>
      </c>
      <c r="B896" s="4" t="str">
        <f aca="false">IF(AND(I896&gt;='Read Me &amp; Markers'!$B$18,J896&gt;='Read Me &amp; Markers'!$B$19,L896&gt;='Read Me &amp; Markers'!$B$20),"A. Proven winner",IF(AND(I896&gt;='Read Me &amp; Markers'!$B$18,J896&gt;='Read Me &amp; Markers'!$B$19,L896&gt;='Read Me &amp; Markers'!$B$21),"B. Strong performer",IF(AND(I896&gt;='Read Me &amp; Markers'!$B$22,L896&gt;='Read Me &amp; Markers'!$B$23),"C. Scale workhorse",IF(AND(I896&gt;='Read Me &amp; Markers'!$B$24,I896&lt;'Read Me &amp; Markers'!$B$18,J896&gt;='Read Me &amp; Markers'!$B$25,L896&gt;='Read Me &amp; Markers'!$B$26),"D. Promising (needs more spend)",""))))</f>
        <v/>
      </c>
      <c r="C896" s="4" t="s">
        <v>2982</v>
      </c>
      <c r="D896" s="4" t="s">
        <v>109</v>
      </c>
      <c r="E896" s="4" t="s">
        <v>979</v>
      </c>
      <c r="F896" s="4" t="s">
        <v>172</v>
      </c>
      <c r="G896" s="4" t="s">
        <v>659</v>
      </c>
      <c r="H896" s="4" t="s">
        <v>2983</v>
      </c>
      <c r="I896" s="5" t="n">
        <v>3.73</v>
      </c>
      <c r="J896" s="7" t="n">
        <v>0</v>
      </c>
      <c r="K896" s="5" t="n">
        <v>0</v>
      </c>
      <c r="L896" s="8" t="n">
        <v>0</v>
      </c>
      <c r="M896" s="9" t="n">
        <v>0</v>
      </c>
      <c r="N896" s="10" t="n">
        <v>0</v>
      </c>
      <c r="O896" s="5" t="n">
        <v>186.5</v>
      </c>
      <c r="P896" s="11" t="n">
        <v>1.052632</v>
      </c>
      <c r="Q896" s="7" t="n">
        <v>20</v>
      </c>
      <c r="R896" s="7" t="n">
        <v>0</v>
      </c>
      <c r="S896" s="7" t="n">
        <v>0</v>
      </c>
      <c r="T896" s="7" t="n">
        <v>0</v>
      </c>
      <c r="U896" s="7" t="n">
        <v>19</v>
      </c>
      <c r="V896" s="7" t="n">
        <v>4</v>
      </c>
    </row>
    <row r="897" customFormat="false" ht="15" hidden="false" customHeight="false" outlineLevel="0" collapsed="false">
      <c r="A897" s="4" t="s">
        <v>2984</v>
      </c>
      <c r="B897" s="4" t="str">
        <f aca="false">IF(AND(I897&gt;='Read Me &amp; Markers'!$B$18,J897&gt;='Read Me &amp; Markers'!$B$19,L897&gt;='Read Me &amp; Markers'!$B$20),"A. Proven winner",IF(AND(I897&gt;='Read Me &amp; Markers'!$B$18,J897&gt;='Read Me &amp; Markers'!$B$19,L897&gt;='Read Me &amp; Markers'!$B$21),"B. Strong performer",IF(AND(I897&gt;='Read Me &amp; Markers'!$B$22,L897&gt;='Read Me &amp; Markers'!$B$23),"C. Scale workhorse",IF(AND(I897&gt;='Read Me &amp; Markers'!$B$24,I897&lt;'Read Me &amp; Markers'!$B$18,J897&gt;='Read Me &amp; Markers'!$B$25,L897&gt;='Read Me &amp; Markers'!$B$26),"D. Promising (needs more spend)",""))))</f>
        <v/>
      </c>
      <c r="C897" s="4" t="s">
        <v>121</v>
      </c>
      <c r="D897" s="4" t="s">
        <v>100</v>
      </c>
      <c r="E897" s="4" t="s">
        <v>293</v>
      </c>
      <c r="F897" s="4" t="s">
        <v>430</v>
      </c>
      <c r="G897" s="4" t="s">
        <v>294</v>
      </c>
      <c r="H897" s="4" t="s">
        <v>2985</v>
      </c>
      <c r="I897" s="5" t="n">
        <v>3.71</v>
      </c>
      <c r="J897" s="7" t="n">
        <v>0</v>
      </c>
      <c r="K897" s="5" t="n">
        <v>0</v>
      </c>
      <c r="L897" s="8" t="n">
        <v>0</v>
      </c>
      <c r="M897" s="9" t="n">
        <v>0</v>
      </c>
      <c r="N897" s="10" t="n">
        <v>0.01149425</v>
      </c>
      <c r="O897" s="5" t="n">
        <v>42.64</v>
      </c>
      <c r="P897" s="11" t="n">
        <v>1.26087</v>
      </c>
      <c r="Q897" s="7" t="n">
        <v>87</v>
      </c>
      <c r="R897" s="7" t="n">
        <v>1</v>
      </c>
      <c r="S897" s="7" t="n">
        <v>0</v>
      </c>
      <c r="T897" s="7" t="n">
        <v>0</v>
      </c>
      <c r="U897" s="7" t="n">
        <v>49</v>
      </c>
      <c r="V897" s="7" t="n">
        <v>10</v>
      </c>
    </row>
    <row r="898" customFormat="false" ht="15" hidden="false" customHeight="false" outlineLevel="0" collapsed="false">
      <c r="A898" s="4" t="s">
        <v>2986</v>
      </c>
      <c r="B898" s="4" t="str">
        <f aca="false">IF(AND(I898&gt;='Read Me &amp; Markers'!$B$18,J898&gt;='Read Me &amp; Markers'!$B$19,L898&gt;='Read Me &amp; Markers'!$B$20),"A. Proven winner",IF(AND(I898&gt;='Read Me &amp; Markers'!$B$18,J898&gt;='Read Me &amp; Markers'!$B$19,L898&gt;='Read Me &amp; Markers'!$B$21),"B. Strong performer",IF(AND(I898&gt;='Read Me &amp; Markers'!$B$22,L898&gt;='Read Me &amp; Markers'!$B$23),"C. Scale workhorse",IF(AND(I898&gt;='Read Me &amp; Markers'!$B$24,I898&lt;'Read Me &amp; Markers'!$B$18,J898&gt;='Read Me &amp; Markers'!$B$25,L898&gt;='Read Me &amp; Markers'!$B$26),"D. Promising (needs more spend)",""))))</f>
        <v/>
      </c>
      <c r="C898" s="4" t="s">
        <v>2987</v>
      </c>
      <c r="D898" s="4" t="s">
        <v>1204</v>
      </c>
      <c r="E898" s="4" t="s">
        <v>2988</v>
      </c>
      <c r="F898" s="4" t="s">
        <v>253</v>
      </c>
      <c r="G898" s="4" t="s">
        <v>1206</v>
      </c>
      <c r="H898" s="4" t="s">
        <v>2989</v>
      </c>
      <c r="I898" s="5" t="n">
        <v>3.69</v>
      </c>
      <c r="J898" s="7" t="n">
        <v>0</v>
      </c>
      <c r="K898" s="5" t="n">
        <v>0</v>
      </c>
      <c r="L898" s="8" t="n">
        <v>0</v>
      </c>
      <c r="M898" s="9" t="n">
        <v>0</v>
      </c>
      <c r="N898" s="10" t="n">
        <v>0</v>
      </c>
      <c r="O898" s="5" t="n">
        <v>123</v>
      </c>
      <c r="P898" s="11" t="n">
        <v>1.111111</v>
      </c>
      <c r="Q898" s="7" t="n">
        <v>30</v>
      </c>
      <c r="R898" s="7" t="n">
        <v>0</v>
      </c>
      <c r="S898" s="7" t="n">
        <v>0</v>
      </c>
      <c r="T898" s="7" t="n">
        <v>0</v>
      </c>
      <c r="U898" s="7" t="n">
        <v>30</v>
      </c>
      <c r="V898" s="7" t="n">
        <v>6</v>
      </c>
    </row>
    <row r="899" customFormat="false" ht="15" hidden="false" customHeight="false" outlineLevel="0" collapsed="false">
      <c r="A899" s="4" t="s">
        <v>2990</v>
      </c>
      <c r="B899" s="4" t="str">
        <f aca="false">IF(AND(I899&gt;='Read Me &amp; Markers'!$B$18,J899&gt;='Read Me &amp; Markers'!$B$19,L899&gt;='Read Me &amp; Markers'!$B$20),"A. Proven winner",IF(AND(I899&gt;='Read Me &amp; Markers'!$B$18,J899&gt;='Read Me &amp; Markers'!$B$19,L899&gt;='Read Me &amp; Markers'!$B$21),"B. Strong performer",IF(AND(I899&gt;='Read Me &amp; Markers'!$B$22,L899&gt;='Read Me &amp; Markers'!$B$23),"C. Scale workhorse",IF(AND(I899&gt;='Read Me &amp; Markers'!$B$24,I899&lt;'Read Me &amp; Markers'!$B$18,J899&gt;='Read Me &amp; Markers'!$B$25,L899&gt;='Read Me &amp; Markers'!$B$26),"D. Promising (needs more spend)",""))))</f>
        <v/>
      </c>
      <c r="C899" s="4" t="s">
        <v>129</v>
      </c>
      <c r="D899" s="4" t="s">
        <v>100</v>
      </c>
      <c r="E899" s="4" t="s">
        <v>2361</v>
      </c>
      <c r="F899" s="4" t="s">
        <v>230</v>
      </c>
      <c r="G899" s="4" t="s">
        <v>623</v>
      </c>
      <c r="H899" s="4" t="s">
        <v>2991</v>
      </c>
      <c r="I899" s="5" t="n">
        <v>3.67</v>
      </c>
      <c r="J899" s="7" t="n">
        <v>0</v>
      </c>
      <c r="K899" s="5" t="n">
        <v>0</v>
      </c>
      <c r="L899" s="8" t="n">
        <v>0</v>
      </c>
      <c r="M899" s="9" t="n">
        <v>0</v>
      </c>
      <c r="N899" s="10" t="n">
        <v>0</v>
      </c>
      <c r="O899" s="5" t="n">
        <v>135.93</v>
      </c>
      <c r="P899" s="11" t="n">
        <v>1</v>
      </c>
      <c r="Q899" s="7" t="n">
        <v>27</v>
      </c>
      <c r="R899" s="7" t="n">
        <v>0</v>
      </c>
      <c r="S899" s="7" t="n">
        <v>0</v>
      </c>
      <c r="T899" s="7" t="n">
        <v>0</v>
      </c>
      <c r="U899" s="7" t="n">
        <v>25</v>
      </c>
      <c r="V899" s="7" t="n">
        <v>3</v>
      </c>
    </row>
    <row r="900" customFormat="false" ht="15" hidden="false" customHeight="false" outlineLevel="0" collapsed="false">
      <c r="A900" s="4" t="s">
        <v>2992</v>
      </c>
      <c r="B900" s="4" t="str">
        <f aca="false">IF(AND(I900&gt;='Read Me &amp; Markers'!$B$18,J900&gt;='Read Me &amp; Markers'!$B$19,L900&gt;='Read Me &amp; Markers'!$B$20),"A. Proven winner",IF(AND(I900&gt;='Read Me &amp; Markers'!$B$18,J900&gt;='Read Me &amp; Markers'!$B$19,L900&gt;='Read Me &amp; Markers'!$B$21),"B. Strong performer",IF(AND(I900&gt;='Read Me &amp; Markers'!$B$22,L900&gt;='Read Me &amp; Markers'!$B$23),"C. Scale workhorse",IF(AND(I900&gt;='Read Me &amp; Markers'!$B$24,I900&lt;'Read Me &amp; Markers'!$B$18,J900&gt;='Read Me &amp; Markers'!$B$25,L900&gt;='Read Me &amp; Markers'!$B$26),"D. Promising (needs more spend)",""))))</f>
        <v/>
      </c>
      <c r="C900" s="4" t="s">
        <v>2993</v>
      </c>
      <c r="D900" s="4" t="s">
        <v>154</v>
      </c>
      <c r="E900" s="4" t="s">
        <v>2994</v>
      </c>
      <c r="F900" s="4" t="s">
        <v>253</v>
      </c>
      <c r="G900" s="4" t="s">
        <v>2995</v>
      </c>
      <c r="H900" s="4" t="s">
        <v>2996</v>
      </c>
      <c r="I900" s="5" t="n">
        <v>3.64</v>
      </c>
      <c r="J900" s="7" t="n">
        <v>0</v>
      </c>
      <c r="K900" s="5" t="n">
        <v>0</v>
      </c>
      <c r="L900" s="8" t="n">
        <v>0</v>
      </c>
      <c r="M900" s="9" t="n">
        <v>0</v>
      </c>
      <c r="N900" s="10" t="n">
        <v>0.03550296</v>
      </c>
      <c r="O900" s="5" t="n">
        <v>21.54</v>
      </c>
      <c r="P900" s="11" t="n">
        <v>1.482456</v>
      </c>
      <c r="Q900" s="7" t="n">
        <v>169</v>
      </c>
      <c r="R900" s="7" t="n">
        <v>6</v>
      </c>
      <c r="S900" s="7" t="n">
        <v>0</v>
      </c>
      <c r="T900" s="7" t="n">
        <v>0</v>
      </c>
      <c r="U900" s="7" t="n">
        <v>72</v>
      </c>
      <c r="V900" s="7" t="n">
        <v>14</v>
      </c>
    </row>
    <row r="901" customFormat="false" ht="15" hidden="false" customHeight="false" outlineLevel="0" collapsed="false">
      <c r="A901" s="4" t="s">
        <v>2997</v>
      </c>
      <c r="B901" s="4" t="str">
        <f aca="false">IF(AND(I901&gt;='Read Me &amp; Markers'!$B$18,J901&gt;='Read Me &amp; Markers'!$B$19,L901&gt;='Read Me &amp; Markers'!$B$20),"A. Proven winner",IF(AND(I901&gt;='Read Me &amp; Markers'!$B$18,J901&gt;='Read Me &amp; Markers'!$B$19,L901&gt;='Read Me &amp; Markers'!$B$21),"B. Strong performer",IF(AND(I901&gt;='Read Me &amp; Markers'!$B$22,L901&gt;='Read Me &amp; Markers'!$B$23),"C. Scale workhorse",IF(AND(I901&gt;='Read Me &amp; Markers'!$B$24,I901&lt;'Read Me &amp; Markers'!$B$18,J901&gt;='Read Me &amp; Markers'!$B$25,L901&gt;='Read Me &amp; Markers'!$B$26),"D. Promising (needs more spend)",""))))</f>
        <v/>
      </c>
      <c r="C901" s="4" t="s">
        <v>2998</v>
      </c>
      <c r="D901" s="4" t="s">
        <v>1204</v>
      </c>
      <c r="E901" s="4" t="s">
        <v>1675</v>
      </c>
      <c r="F901" s="4" t="s">
        <v>253</v>
      </c>
      <c r="G901" s="4" t="s">
        <v>1206</v>
      </c>
      <c r="H901" s="4" t="s">
        <v>2999</v>
      </c>
      <c r="I901" s="5" t="n">
        <v>3.61</v>
      </c>
      <c r="J901" s="7" t="n">
        <v>0</v>
      </c>
      <c r="K901" s="5" t="n">
        <v>0</v>
      </c>
      <c r="L901" s="8" t="n">
        <v>0</v>
      </c>
      <c r="M901" s="9" t="n">
        <v>0</v>
      </c>
      <c r="N901" s="10" t="n">
        <v>0</v>
      </c>
      <c r="O901" s="5" t="n">
        <v>171.9</v>
      </c>
      <c r="P901" s="11" t="n">
        <v>1.166667</v>
      </c>
      <c r="Q901" s="7" t="n">
        <v>21</v>
      </c>
      <c r="R901" s="7" t="n">
        <v>0</v>
      </c>
      <c r="S901" s="7" t="n">
        <v>0</v>
      </c>
      <c r="T901" s="7" t="n">
        <v>0</v>
      </c>
      <c r="U901" s="7" t="n">
        <v>21</v>
      </c>
      <c r="V901" s="7" t="n">
        <v>3</v>
      </c>
    </row>
    <row r="902" customFormat="false" ht="15" hidden="false" customHeight="false" outlineLevel="0" collapsed="false">
      <c r="A902" s="4" t="s">
        <v>3000</v>
      </c>
      <c r="B902" s="4" t="str">
        <f aca="false">IF(AND(I902&gt;='Read Me &amp; Markers'!$B$18,J902&gt;='Read Me &amp; Markers'!$B$19,L902&gt;='Read Me &amp; Markers'!$B$20),"A. Proven winner",IF(AND(I902&gt;='Read Me &amp; Markers'!$B$18,J902&gt;='Read Me &amp; Markers'!$B$19,L902&gt;='Read Me &amp; Markers'!$B$21),"B. Strong performer",IF(AND(I902&gt;='Read Me &amp; Markers'!$B$22,L902&gt;='Read Me &amp; Markers'!$B$23),"C. Scale workhorse",IF(AND(I902&gt;='Read Me &amp; Markers'!$B$24,I902&lt;'Read Me &amp; Markers'!$B$18,J902&gt;='Read Me &amp; Markers'!$B$25,L902&gt;='Read Me &amp; Markers'!$B$26),"D. Promising (needs more spend)",""))))</f>
        <v/>
      </c>
      <c r="C902" s="4" t="s">
        <v>121</v>
      </c>
      <c r="D902" s="4" t="s">
        <v>154</v>
      </c>
      <c r="E902" s="4" t="s">
        <v>3001</v>
      </c>
      <c r="F902" s="4" t="s">
        <v>253</v>
      </c>
      <c r="G902" s="4" t="s">
        <v>1877</v>
      </c>
      <c r="H902" s="4" t="s">
        <v>3002</v>
      </c>
      <c r="I902" s="5" t="n">
        <v>3.53</v>
      </c>
      <c r="J902" s="7" t="n">
        <v>0</v>
      </c>
      <c r="K902" s="5" t="n">
        <v>0</v>
      </c>
      <c r="L902" s="8" t="n">
        <v>0</v>
      </c>
      <c r="M902" s="9" t="n">
        <v>0</v>
      </c>
      <c r="N902" s="10" t="n">
        <v>0.00977199</v>
      </c>
      <c r="O902" s="5" t="n">
        <v>11.5</v>
      </c>
      <c r="P902" s="11" t="n">
        <v>1.223108</v>
      </c>
      <c r="Q902" s="7" t="n">
        <v>307</v>
      </c>
      <c r="R902" s="7" t="n">
        <v>3</v>
      </c>
      <c r="S902" s="7" t="n">
        <v>0</v>
      </c>
      <c r="T902" s="7" t="n">
        <v>0</v>
      </c>
      <c r="U902" s="7" t="n">
        <v>187</v>
      </c>
      <c r="V902" s="7" t="n">
        <v>10</v>
      </c>
    </row>
    <row r="903" customFormat="false" ht="15" hidden="false" customHeight="false" outlineLevel="0" collapsed="false">
      <c r="A903" s="4" t="s">
        <v>3003</v>
      </c>
      <c r="B903" s="4" t="str">
        <f aca="false">IF(AND(I903&gt;='Read Me &amp; Markers'!$B$18,J903&gt;='Read Me &amp; Markers'!$B$19,L903&gt;='Read Me &amp; Markers'!$B$20),"A. Proven winner",IF(AND(I903&gt;='Read Me &amp; Markers'!$B$18,J903&gt;='Read Me &amp; Markers'!$B$19,L903&gt;='Read Me &amp; Markers'!$B$21),"B. Strong performer",IF(AND(I903&gt;='Read Me &amp; Markers'!$B$22,L903&gt;='Read Me &amp; Markers'!$B$23),"C. Scale workhorse",IF(AND(I903&gt;='Read Me &amp; Markers'!$B$24,I903&lt;'Read Me &amp; Markers'!$B$18,J903&gt;='Read Me &amp; Markers'!$B$25,L903&gt;='Read Me &amp; Markers'!$B$26),"D. Promising (needs more spend)",""))))</f>
        <v/>
      </c>
      <c r="C903" s="4" t="s">
        <v>3004</v>
      </c>
      <c r="D903" s="4" t="s">
        <v>109</v>
      </c>
      <c r="E903" s="4" t="s">
        <v>738</v>
      </c>
      <c r="F903" s="4" t="s">
        <v>111</v>
      </c>
      <c r="G903" s="4" t="s">
        <v>739</v>
      </c>
      <c r="H903" s="4" t="s">
        <v>3005</v>
      </c>
      <c r="I903" s="5" t="n">
        <v>3.51</v>
      </c>
      <c r="J903" s="7" t="n">
        <v>0</v>
      </c>
      <c r="K903" s="5" t="n">
        <v>0</v>
      </c>
      <c r="L903" s="8" t="n">
        <v>0</v>
      </c>
      <c r="M903" s="9" t="n">
        <v>0</v>
      </c>
      <c r="N903" s="10" t="n">
        <v>0</v>
      </c>
      <c r="O903" s="5" t="n">
        <v>47.43</v>
      </c>
      <c r="P903" s="11" t="n">
        <v>1.213115</v>
      </c>
      <c r="Q903" s="7" t="n">
        <v>74</v>
      </c>
      <c r="R903" s="7" t="n">
        <v>0</v>
      </c>
      <c r="S903" s="7" t="n">
        <v>0</v>
      </c>
      <c r="T903" s="7" t="n">
        <v>0</v>
      </c>
      <c r="U903" s="7" t="n">
        <v>1</v>
      </c>
      <c r="V903" s="7" t="n">
        <v>0</v>
      </c>
    </row>
    <row r="904" customFormat="false" ht="15" hidden="false" customHeight="false" outlineLevel="0" collapsed="false">
      <c r="A904" s="4" t="s">
        <v>3006</v>
      </c>
      <c r="B904" s="4" t="str">
        <f aca="false">IF(AND(I904&gt;='Read Me &amp; Markers'!$B$18,J904&gt;='Read Me &amp; Markers'!$B$19,L904&gt;='Read Me &amp; Markers'!$B$20),"A. Proven winner",IF(AND(I904&gt;='Read Me &amp; Markers'!$B$18,J904&gt;='Read Me &amp; Markers'!$B$19,L904&gt;='Read Me &amp; Markers'!$B$21),"B. Strong performer",IF(AND(I904&gt;='Read Me &amp; Markers'!$B$22,L904&gt;='Read Me &amp; Markers'!$B$23),"C. Scale workhorse",IF(AND(I904&gt;='Read Me &amp; Markers'!$B$24,I904&lt;'Read Me &amp; Markers'!$B$18,J904&gt;='Read Me &amp; Markers'!$B$25,L904&gt;='Read Me &amp; Markers'!$B$26),"D. Promising (needs more spend)",""))))</f>
        <v/>
      </c>
      <c r="C904" s="4" t="s">
        <v>129</v>
      </c>
      <c r="D904" s="4" t="s">
        <v>206</v>
      </c>
      <c r="E904" s="4" t="s">
        <v>1369</v>
      </c>
      <c r="F904" s="4" t="s">
        <v>253</v>
      </c>
      <c r="G904" s="4" t="s">
        <v>254</v>
      </c>
      <c r="H904" s="4" t="s">
        <v>3007</v>
      </c>
      <c r="I904" s="5" t="n">
        <v>3.51</v>
      </c>
      <c r="J904" s="7" t="n">
        <v>0</v>
      </c>
      <c r="K904" s="5" t="n">
        <v>0</v>
      </c>
      <c r="L904" s="8" t="n">
        <v>0</v>
      </c>
      <c r="M904" s="9" t="n">
        <v>0</v>
      </c>
      <c r="N904" s="10" t="n">
        <v>0.03225806</v>
      </c>
      <c r="O904" s="5" t="n">
        <v>113.23</v>
      </c>
      <c r="P904" s="11" t="n">
        <v>1.068966</v>
      </c>
      <c r="Q904" s="7" t="n">
        <v>31</v>
      </c>
      <c r="R904" s="7" t="n">
        <v>1</v>
      </c>
      <c r="S904" s="7" t="n">
        <v>0</v>
      </c>
      <c r="T904" s="7" t="n">
        <v>0</v>
      </c>
      <c r="U904" s="7" t="n">
        <v>24</v>
      </c>
      <c r="V904" s="7" t="n">
        <v>2</v>
      </c>
    </row>
    <row r="905" customFormat="false" ht="15" hidden="false" customHeight="false" outlineLevel="0" collapsed="false">
      <c r="A905" s="4" t="s">
        <v>3008</v>
      </c>
      <c r="B905" s="4" t="str">
        <f aca="false">IF(AND(I905&gt;='Read Me &amp; Markers'!$B$18,J905&gt;='Read Me &amp; Markers'!$B$19,L905&gt;='Read Me &amp; Markers'!$B$20),"A. Proven winner",IF(AND(I905&gt;='Read Me &amp; Markers'!$B$18,J905&gt;='Read Me &amp; Markers'!$B$19,L905&gt;='Read Me &amp; Markers'!$B$21),"B. Strong performer",IF(AND(I905&gt;='Read Me &amp; Markers'!$B$22,L905&gt;='Read Me &amp; Markers'!$B$23),"C. Scale workhorse",IF(AND(I905&gt;='Read Me &amp; Markers'!$B$24,I905&lt;'Read Me &amp; Markers'!$B$18,J905&gt;='Read Me &amp; Markers'!$B$25,L905&gt;='Read Me &amp; Markers'!$B$26),"D. Promising (needs more spend)",""))))</f>
        <v/>
      </c>
      <c r="C905" s="4" t="s">
        <v>129</v>
      </c>
      <c r="D905" s="4" t="s">
        <v>154</v>
      </c>
      <c r="E905" s="4" t="s">
        <v>3009</v>
      </c>
      <c r="F905" s="4" t="s">
        <v>253</v>
      </c>
      <c r="G905" s="4" t="s">
        <v>1583</v>
      </c>
      <c r="H905" s="4" t="s">
        <v>3010</v>
      </c>
      <c r="I905" s="5" t="n">
        <v>3.46</v>
      </c>
      <c r="J905" s="7" t="n">
        <v>0</v>
      </c>
      <c r="K905" s="5" t="n">
        <v>0</v>
      </c>
      <c r="L905" s="8" t="n">
        <v>0</v>
      </c>
      <c r="M905" s="9" t="n">
        <v>0</v>
      </c>
      <c r="N905" s="10" t="n">
        <v>0.05932203</v>
      </c>
      <c r="O905" s="5" t="n">
        <v>29.32</v>
      </c>
      <c r="P905" s="11" t="n">
        <v>1.325843</v>
      </c>
      <c r="Q905" s="7" t="n">
        <v>118</v>
      </c>
      <c r="R905" s="7" t="n">
        <v>7</v>
      </c>
      <c r="S905" s="7" t="n">
        <v>0</v>
      </c>
      <c r="T905" s="7" t="n">
        <v>0</v>
      </c>
      <c r="U905" s="7" t="n">
        <v>75</v>
      </c>
      <c r="V905" s="7" t="n">
        <v>16</v>
      </c>
    </row>
    <row r="906" customFormat="false" ht="15" hidden="false" customHeight="false" outlineLevel="0" collapsed="false">
      <c r="A906" s="4" t="s">
        <v>3011</v>
      </c>
      <c r="B906" s="4" t="str">
        <f aca="false">IF(AND(I906&gt;='Read Me &amp; Markers'!$B$18,J906&gt;='Read Me &amp; Markers'!$B$19,L906&gt;='Read Me &amp; Markers'!$B$20),"A. Proven winner",IF(AND(I906&gt;='Read Me &amp; Markers'!$B$18,J906&gt;='Read Me &amp; Markers'!$B$19,L906&gt;='Read Me &amp; Markers'!$B$21),"B. Strong performer",IF(AND(I906&gt;='Read Me &amp; Markers'!$B$22,L906&gt;='Read Me &amp; Markers'!$B$23),"C. Scale workhorse",IF(AND(I906&gt;='Read Me &amp; Markers'!$B$24,I906&lt;'Read Me &amp; Markers'!$B$18,J906&gt;='Read Me &amp; Markers'!$B$25,L906&gt;='Read Me &amp; Markers'!$B$26),"D. Promising (needs more spend)",""))))</f>
        <v/>
      </c>
      <c r="C906" s="4" t="s">
        <v>3012</v>
      </c>
      <c r="D906" s="4" t="s">
        <v>109</v>
      </c>
      <c r="E906" s="4" t="s">
        <v>474</v>
      </c>
      <c r="F906" s="4" t="s">
        <v>172</v>
      </c>
      <c r="G906" s="4" t="s">
        <v>475</v>
      </c>
      <c r="H906" s="4" t="s">
        <v>3013</v>
      </c>
      <c r="I906" s="5" t="n">
        <v>3.37</v>
      </c>
      <c r="J906" s="7" t="n">
        <v>0</v>
      </c>
      <c r="K906" s="5" t="n">
        <v>0</v>
      </c>
      <c r="L906" s="8" t="n">
        <v>0</v>
      </c>
      <c r="M906" s="9" t="n">
        <v>0</v>
      </c>
      <c r="N906" s="10" t="n">
        <v>0.00970874</v>
      </c>
      <c r="O906" s="5" t="n">
        <v>32.72</v>
      </c>
      <c r="P906" s="11" t="n">
        <v>1.22619</v>
      </c>
      <c r="Q906" s="7" t="n">
        <v>103</v>
      </c>
      <c r="R906" s="7" t="n">
        <v>1</v>
      </c>
      <c r="S906" s="7" t="n">
        <v>0</v>
      </c>
      <c r="T906" s="7" t="n">
        <v>0</v>
      </c>
      <c r="U906" s="7" t="n">
        <v>0</v>
      </c>
      <c r="V906" s="7" t="n">
        <v>0</v>
      </c>
    </row>
    <row r="907" customFormat="false" ht="15" hidden="false" customHeight="false" outlineLevel="0" collapsed="false">
      <c r="A907" s="4" t="s">
        <v>3014</v>
      </c>
      <c r="B907" s="4" t="str">
        <f aca="false">IF(AND(I907&gt;='Read Me &amp; Markers'!$B$18,J907&gt;='Read Me &amp; Markers'!$B$19,L907&gt;='Read Me &amp; Markers'!$B$20),"A. Proven winner",IF(AND(I907&gt;='Read Me &amp; Markers'!$B$18,J907&gt;='Read Me &amp; Markers'!$B$19,L907&gt;='Read Me &amp; Markers'!$B$21),"B. Strong performer",IF(AND(I907&gt;='Read Me &amp; Markers'!$B$22,L907&gt;='Read Me &amp; Markers'!$B$23),"C. Scale workhorse",IF(AND(I907&gt;='Read Me &amp; Markers'!$B$24,I907&lt;'Read Me &amp; Markers'!$B$18,J907&gt;='Read Me &amp; Markers'!$B$25,L907&gt;='Read Me &amp; Markers'!$B$26),"D. Promising (needs more spend)",""))))</f>
        <v/>
      </c>
      <c r="C907" s="4" t="s">
        <v>302</v>
      </c>
      <c r="D907" s="4" t="s">
        <v>3015</v>
      </c>
      <c r="E907" s="4" t="s">
        <v>3016</v>
      </c>
      <c r="F907" s="4" t="s">
        <v>253</v>
      </c>
      <c r="G907" s="4" t="s">
        <v>3017</v>
      </c>
      <c r="H907" s="4" t="s">
        <v>3018</v>
      </c>
      <c r="I907" s="5" t="n">
        <v>3.35</v>
      </c>
      <c r="J907" s="7" t="n">
        <v>0</v>
      </c>
      <c r="K907" s="5" t="n">
        <v>0</v>
      </c>
      <c r="L907" s="8" t="n">
        <v>0</v>
      </c>
      <c r="M907" s="9" t="n">
        <v>0</v>
      </c>
      <c r="N907" s="10" t="n">
        <v>0.05714286</v>
      </c>
      <c r="O907" s="5" t="n">
        <v>47.86</v>
      </c>
      <c r="P907" s="11" t="n">
        <v>1.111111</v>
      </c>
      <c r="Q907" s="7" t="n">
        <v>70</v>
      </c>
      <c r="R907" s="7" t="n">
        <v>4</v>
      </c>
      <c r="S907" s="7" t="n">
        <v>1</v>
      </c>
      <c r="T907" s="7" t="n">
        <v>1</v>
      </c>
      <c r="U907" s="7" t="n">
        <v>67</v>
      </c>
      <c r="V907" s="7" t="n">
        <v>15</v>
      </c>
    </row>
    <row r="908" customFormat="false" ht="15" hidden="false" customHeight="false" outlineLevel="0" collapsed="false">
      <c r="A908" s="4" t="s">
        <v>3019</v>
      </c>
      <c r="B908" s="4" t="str">
        <f aca="false">IF(AND(I908&gt;='Read Me &amp; Markers'!$B$18,J908&gt;='Read Me &amp; Markers'!$B$19,L908&gt;='Read Me &amp; Markers'!$B$20),"A. Proven winner",IF(AND(I908&gt;='Read Me &amp; Markers'!$B$18,J908&gt;='Read Me &amp; Markers'!$B$19,L908&gt;='Read Me &amp; Markers'!$B$21),"B. Strong performer",IF(AND(I908&gt;='Read Me &amp; Markers'!$B$22,L908&gt;='Read Me &amp; Markers'!$B$23),"C. Scale workhorse",IF(AND(I908&gt;='Read Me &amp; Markers'!$B$24,I908&lt;'Read Me &amp; Markers'!$B$18,J908&gt;='Read Me &amp; Markers'!$B$25,L908&gt;='Read Me &amp; Markers'!$B$26),"D. Promising (needs more spend)",""))))</f>
        <v/>
      </c>
      <c r="C908" s="4" t="s">
        <v>169</v>
      </c>
      <c r="D908" s="4" t="s">
        <v>154</v>
      </c>
      <c r="E908" s="4" t="s">
        <v>3020</v>
      </c>
      <c r="F908" s="4" t="s">
        <v>253</v>
      </c>
      <c r="G908" s="4" t="s">
        <v>102</v>
      </c>
      <c r="H908" s="4" t="s">
        <v>3021</v>
      </c>
      <c r="I908" s="5" t="n">
        <v>3.35</v>
      </c>
      <c r="J908" s="7" t="n">
        <v>0</v>
      </c>
      <c r="K908" s="5" t="n">
        <v>0</v>
      </c>
      <c r="L908" s="8" t="n">
        <v>0</v>
      </c>
      <c r="M908" s="9" t="n">
        <v>0</v>
      </c>
      <c r="N908" s="10" t="n">
        <v>0.00546448</v>
      </c>
      <c r="O908" s="5" t="n">
        <v>18.31</v>
      </c>
      <c r="P908" s="11" t="n">
        <v>1.464</v>
      </c>
      <c r="Q908" s="7" t="n">
        <v>183</v>
      </c>
      <c r="R908" s="7" t="n">
        <v>1</v>
      </c>
      <c r="S908" s="7" t="n">
        <v>0</v>
      </c>
      <c r="T908" s="7" t="n">
        <v>0</v>
      </c>
      <c r="U908" s="7" t="n">
        <v>83</v>
      </c>
      <c r="V908" s="7" t="n">
        <v>11</v>
      </c>
    </row>
    <row r="909" customFormat="false" ht="15" hidden="false" customHeight="false" outlineLevel="0" collapsed="false">
      <c r="A909" s="4" t="s">
        <v>3022</v>
      </c>
      <c r="B909" s="4" t="str">
        <f aca="false">IF(AND(I909&gt;='Read Me &amp; Markers'!$B$18,J909&gt;='Read Me &amp; Markers'!$B$19,L909&gt;='Read Me &amp; Markers'!$B$20),"A. Proven winner",IF(AND(I909&gt;='Read Me &amp; Markers'!$B$18,J909&gt;='Read Me &amp; Markers'!$B$19,L909&gt;='Read Me &amp; Markers'!$B$21),"B. Strong performer",IF(AND(I909&gt;='Read Me &amp; Markers'!$B$22,L909&gt;='Read Me &amp; Markers'!$B$23),"C. Scale workhorse",IF(AND(I909&gt;='Read Me &amp; Markers'!$B$24,I909&lt;'Read Me &amp; Markers'!$B$18,J909&gt;='Read Me &amp; Markers'!$B$25,L909&gt;='Read Me &amp; Markers'!$B$26),"D. Promising (needs more spend)",""))))</f>
        <v/>
      </c>
      <c r="C909" s="4" t="s">
        <v>3023</v>
      </c>
      <c r="D909" s="4" t="s">
        <v>109</v>
      </c>
      <c r="E909" s="4" t="s">
        <v>429</v>
      </c>
      <c r="F909" s="4" t="s">
        <v>111</v>
      </c>
      <c r="G909" s="4" t="s">
        <v>431</v>
      </c>
      <c r="H909" s="4" t="s">
        <v>3024</v>
      </c>
      <c r="I909" s="5" t="n">
        <v>3.32</v>
      </c>
      <c r="J909" s="7" t="n">
        <v>0</v>
      </c>
      <c r="K909" s="5" t="n">
        <v>0</v>
      </c>
      <c r="L909" s="8" t="n">
        <v>0</v>
      </c>
      <c r="M909" s="9" t="n">
        <v>0</v>
      </c>
      <c r="N909" s="10" t="n">
        <v>0</v>
      </c>
      <c r="O909" s="5" t="n">
        <v>77.21</v>
      </c>
      <c r="P909" s="11" t="n">
        <v>1.264706</v>
      </c>
      <c r="Q909" s="7" t="n">
        <v>43</v>
      </c>
      <c r="R909" s="7" t="n">
        <v>0</v>
      </c>
      <c r="S909" s="7" t="n">
        <v>0</v>
      </c>
      <c r="T909" s="7" t="n">
        <v>0</v>
      </c>
      <c r="U909" s="7" t="n">
        <v>2</v>
      </c>
      <c r="V909" s="7" t="n">
        <v>0</v>
      </c>
    </row>
    <row r="910" customFormat="false" ht="15" hidden="false" customHeight="false" outlineLevel="0" collapsed="false">
      <c r="A910" s="4" t="s">
        <v>3025</v>
      </c>
      <c r="B910" s="4" t="str">
        <f aca="false">IF(AND(I910&gt;='Read Me &amp; Markers'!$B$18,J910&gt;='Read Me &amp; Markers'!$B$19,L910&gt;='Read Me &amp; Markers'!$B$20),"A. Proven winner",IF(AND(I910&gt;='Read Me &amp; Markers'!$B$18,J910&gt;='Read Me &amp; Markers'!$B$19,L910&gt;='Read Me &amp; Markers'!$B$21),"B. Strong performer",IF(AND(I910&gt;='Read Me &amp; Markers'!$B$22,L910&gt;='Read Me &amp; Markers'!$B$23),"C. Scale workhorse",IF(AND(I910&gt;='Read Me &amp; Markers'!$B$24,I910&lt;'Read Me &amp; Markers'!$B$18,J910&gt;='Read Me &amp; Markers'!$B$25,L910&gt;='Read Me &amp; Markers'!$B$26),"D. Promising (needs more spend)",""))))</f>
        <v/>
      </c>
      <c r="C910" s="4" t="s">
        <v>3026</v>
      </c>
      <c r="D910" s="4" t="s">
        <v>1049</v>
      </c>
      <c r="E910" s="4" t="s">
        <v>1050</v>
      </c>
      <c r="F910" s="4" t="s">
        <v>253</v>
      </c>
      <c r="G910" s="4" t="s">
        <v>436</v>
      </c>
      <c r="H910" s="4" t="s">
        <v>546</v>
      </c>
      <c r="I910" s="5" t="n">
        <v>3.28</v>
      </c>
      <c r="J910" s="7" t="n">
        <v>0</v>
      </c>
      <c r="K910" s="5" t="n">
        <v>0</v>
      </c>
      <c r="L910" s="8" t="n">
        <v>0</v>
      </c>
      <c r="M910" s="9" t="n">
        <v>0</v>
      </c>
      <c r="N910" s="10" t="n">
        <v>0</v>
      </c>
      <c r="O910" s="5" t="n">
        <v>656</v>
      </c>
      <c r="P910" s="11" t="n">
        <v>1</v>
      </c>
      <c r="Q910" s="7" t="n">
        <v>5</v>
      </c>
      <c r="R910" s="7" t="n">
        <v>0</v>
      </c>
      <c r="S910" s="7" t="n">
        <v>0</v>
      </c>
      <c r="T910" s="7" t="n">
        <v>0</v>
      </c>
      <c r="U910" s="7" t="n">
        <v>5</v>
      </c>
      <c r="V910" s="7" t="n">
        <v>0</v>
      </c>
    </row>
    <row r="911" customFormat="false" ht="15" hidden="false" customHeight="false" outlineLevel="0" collapsed="false">
      <c r="A911" s="4" t="s">
        <v>3027</v>
      </c>
      <c r="B911" s="4" t="str">
        <f aca="false">IF(AND(I911&gt;='Read Me &amp; Markers'!$B$18,J911&gt;='Read Me &amp; Markers'!$B$19,L911&gt;='Read Me &amp; Markers'!$B$20),"A. Proven winner",IF(AND(I911&gt;='Read Me &amp; Markers'!$B$18,J911&gt;='Read Me &amp; Markers'!$B$19,L911&gt;='Read Me &amp; Markers'!$B$21),"B. Strong performer",IF(AND(I911&gt;='Read Me &amp; Markers'!$B$22,L911&gt;='Read Me &amp; Markers'!$B$23),"C. Scale workhorse",IF(AND(I911&gt;='Read Me &amp; Markers'!$B$24,I911&lt;'Read Me &amp; Markers'!$B$18,J911&gt;='Read Me &amp; Markers'!$B$25,L911&gt;='Read Me &amp; Markers'!$B$26),"D. Promising (needs more spend)",""))))</f>
        <v/>
      </c>
      <c r="C911" s="4" t="s">
        <v>1609</v>
      </c>
      <c r="D911" s="4" t="s">
        <v>100</v>
      </c>
      <c r="E911" s="4" t="s">
        <v>2171</v>
      </c>
      <c r="F911" s="4" t="s">
        <v>172</v>
      </c>
      <c r="G911" s="4" t="s">
        <v>348</v>
      </c>
      <c r="H911" s="4" t="s">
        <v>3028</v>
      </c>
      <c r="I911" s="5" t="n">
        <v>3.28</v>
      </c>
      <c r="J911" s="7" t="n">
        <v>0</v>
      </c>
      <c r="K911" s="5" t="n">
        <v>0</v>
      </c>
      <c r="L911" s="8" t="n">
        <v>0</v>
      </c>
      <c r="M911" s="9" t="n">
        <v>0</v>
      </c>
      <c r="N911" s="10" t="n">
        <v>0</v>
      </c>
      <c r="O911" s="5" t="n">
        <v>61.89</v>
      </c>
      <c r="P911" s="11" t="n">
        <v>1.12766</v>
      </c>
      <c r="Q911" s="7" t="n">
        <v>53</v>
      </c>
      <c r="R911" s="7" t="n">
        <v>0</v>
      </c>
      <c r="S911" s="7" t="n">
        <v>0</v>
      </c>
      <c r="T911" s="7" t="n">
        <v>0</v>
      </c>
      <c r="U911" s="7" t="n">
        <v>44</v>
      </c>
      <c r="V911" s="7" t="n">
        <v>3</v>
      </c>
    </row>
    <row r="912" customFormat="false" ht="15" hidden="false" customHeight="false" outlineLevel="0" collapsed="false">
      <c r="A912" s="4" t="s">
        <v>3029</v>
      </c>
      <c r="B912" s="4" t="str">
        <f aca="false">IF(AND(I912&gt;='Read Me &amp; Markers'!$B$18,J912&gt;='Read Me &amp; Markers'!$B$19,L912&gt;='Read Me &amp; Markers'!$B$20),"A. Proven winner",IF(AND(I912&gt;='Read Me &amp; Markers'!$B$18,J912&gt;='Read Me &amp; Markers'!$B$19,L912&gt;='Read Me &amp; Markers'!$B$21),"B. Strong performer",IF(AND(I912&gt;='Read Me &amp; Markers'!$B$22,L912&gt;='Read Me &amp; Markers'!$B$23),"C. Scale workhorse",IF(AND(I912&gt;='Read Me &amp; Markers'!$B$24,I912&lt;'Read Me &amp; Markers'!$B$18,J912&gt;='Read Me &amp; Markers'!$B$25,L912&gt;='Read Me &amp; Markers'!$B$26),"D. Promising (needs more spend)",""))))</f>
        <v/>
      </c>
      <c r="C912" s="4" t="s">
        <v>169</v>
      </c>
      <c r="D912" s="4" t="s">
        <v>154</v>
      </c>
      <c r="E912" s="4" t="s">
        <v>3030</v>
      </c>
      <c r="F912" s="4" t="s">
        <v>253</v>
      </c>
      <c r="G912" s="4" t="s">
        <v>2136</v>
      </c>
      <c r="H912" s="4" t="s">
        <v>3031</v>
      </c>
      <c r="I912" s="5" t="n">
        <v>3.28</v>
      </c>
      <c r="J912" s="7" t="n">
        <v>0</v>
      </c>
      <c r="K912" s="5" t="n">
        <v>0</v>
      </c>
      <c r="L912" s="8" t="n">
        <v>0</v>
      </c>
      <c r="M912" s="9" t="n">
        <v>0</v>
      </c>
      <c r="N912" s="10" t="n">
        <v>0</v>
      </c>
      <c r="O912" s="5" t="n">
        <v>44.32</v>
      </c>
      <c r="P912" s="11" t="n">
        <v>1.121212</v>
      </c>
      <c r="Q912" s="7" t="n">
        <v>74</v>
      </c>
      <c r="R912" s="7" t="n">
        <v>0</v>
      </c>
      <c r="S912" s="7" t="n">
        <v>0</v>
      </c>
      <c r="T912" s="7" t="n">
        <v>0</v>
      </c>
      <c r="U912" s="7" t="n">
        <v>27</v>
      </c>
      <c r="V912" s="7" t="n">
        <v>1</v>
      </c>
    </row>
    <row r="913" customFormat="false" ht="15" hidden="false" customHeight="false" outlineLevel="0" collapsed="false">
      <c r="A913" s="4" t="s">
        <v>3032</v>
      </c>
      <c r="B913" s="4" t="str">
        <f aca="false">IF(AND(I913&gt;='Read Me &amp; Markers'!$B$18,J913&gt;='Read Me &amp; Markers'!$B$19,L913&gt;='Read Me &amp; Markers'!$B$20),"A. Proven winner",IF(AND(I913&gt;='Read Me &amp; Markers'!$B$18,J913&gt;='Read Me &amp; Markers'!$B$19,L913&gt;='Read Me &amp; Markers'!$B$21),"B. Strong performer",IF(AND(I913&gt;='Read Me &amp; Markers'!$B$22,L913&gt;='Read Me &amp; Markers'!$B$23),"C. Scale workhorse",IF(AND(I913&gt;='Read Me &amp; Markers'!$B$24,I913&lt;'Read Me &amp; Markers'!$B$18,J913&gt;='Read Me &amp; Markers'!$B$25,L913&gt;='Read Me &amp; Markers'!$B$26),"D. Promising (needs more spend)",""))))</f>
        <v/>
      </c>
      <c r="C913" s="4" t="s">
        <v>3033</v>
      </c>
      <c r="D913" s="4" t="s">
        <v>109</v>
      </c>
      <c r="E913" s="4" t="s">
        <v>512</v>
      </c>
      <c r="F913" s="4" t="s">
        <v>111</v>
      </c>
      <c r="G913" s="4" t="s">
        <v>490</v>
      </c>
      <c r="H913" s="4" t="s">
        <v>3034</v>
      </c>
      <c r="I913" s="5" t="n">
        <v>3.26</v>
      </c>
      <c r="J913" s="7" t="n">
        <v>0</v>
      </c>
      <c r="K913" s="5" t="n">
        <v>0</v>
      </c>
      <c r="L913" s="8" t="n">
        <v>0</v>
      </c>
      <c r="M913" s="9" t="n">
        <v>0</v>
      </c>
      <c r="N913" s="10" t="n">
        <v>0.01492537</v>
      </c>
      <c r="O913" s="5" t="n">
        <v>48.66</v>
      </c>
      <c r="P913" s="11" t="n">
        <v>1.155172</v>
      </c>
      <c r="Q913" s="7" t="n">
        <v>67</v>
      </c>
      <c r="R913" s="7" t="n">
        <v>1</v>
      </c>
      <c r="S913" s="7" t="n">
        <v>0</v>
      </c>
      <c r="T913" s="7" t="n">
        <v>0</v>
      </c>
      <c r="U913" s="7" t="n">
        <v>1</v>
      </c>
      <c r="V913" s="7" t="n">
        <v>0</v>
      </c>
    </row>
    <row r="914" customFormat="false" ht="15" hidden="false" customHeight="false" outlineLevel="0" collapsed="false">
      <c r="A914" s="4" t="s">
        <v>3035</v>
      </c>
      <c r="B914" s="4" t="str">
        <f aca="false">IF(AND(I914&gt;='Read Me &amp; Markers'!$B$18,J914&gt;='Read Me &amp; Markers'!$B$19,L914&gt;='Read Me &amp; Markers'!$B$20),"A. Proven winner",IF(AND(I914&gt;='Read Me &amp; Markers'!$B$18,J914&gt;='Read Me &amp; Markers'!$B$19,L914&gt;='Read Me &amp; Markers'!$B$21),"B. Strong performer",IF(AND(I914&gt;='Read Me &amp; Markers'!$B$22,L914&gt;='Read Me &amp; Markers'!$B$23),"C. Scale workhorse",IF(AND(I914&gt;='Read Me &amp; Markers'!$B$24,I914&lt;'Read Me &amp; Markers'!$B$18,J914&gt;='Read Me &amp; Markers'!$B$25,L914&gt;='Read Me &amp; Markers'!$B$26),"D. Promising (needs more spend)",""))))</f>
        <v/>
      </c>
      <c r="C914" s="4" t="s">
        <v>121</v>
      </c>
      <c r="D914" s="4" t="s">
        <v>206</v>
      </c>
      <c r="E914" s="4" t="s">
        <v>1035</v>
      </c>
      <c r="F914" s="4" t="s">
        <v>253</v>
      </c>
      <c r="G914" s="4" t="s">
        <v>743</v>
      </c>
      <c r="H914" s="4" t="s">
        <v>3036</v>
      </c>
      <c r="I914" s="5" t="n">
        <v>3.25</v>
      </c>
      <c r="J914" s="7" t="n">
        <v>0</v>
      </c>
      <c r="K914" s="5" t="n">
        <v>0</v>
      </c>
      <c r="L914" s="8" t="n">
        <v>0</v>
      </c>
      <c r="M914" s="9" t="n">
        <v>0</v>
      </c>
      <c r="N914" s="10" t="n">
        <v>0.03125</v>
      </c>
      <c r="O914" s="5" t="n">
        <v>101.56</v>
      </c>
      <c r="P914" s="11" t="n">
        <v>1.032258</v>
      </c>
      <c r="Q914" s="7" t="n">
        <v>32</v>
      </c>
      <c r="R914" s="7" t="n">
        <v>1</v>
      </c>
      <c r="S914" s="7" t="n">
        <v>1</v>
      </c>
      <c r="T914" s="7" t="n">
        <v>1</v>
      </c>
      <c r="U914" s="7" t="n">
        <v>28</v>
      </c>
      <c r="V914" s="7" t="n">
        <v>2</v>
      </c>
    </row>
    <row r="915" customFormat="false" ht="15" hidden="false" customHeight="false" outlineLevel="0" collapsed="false">
      <c r="A915" s="4" t="s">
        <v>3037</v>
      </c>
      <c r="B915" s="4" t="str">
        <f aca="false">IF(AND(I915&gt;='Read Me &amp; Markers'!$B$18,J915&gt;='Read Me &amp; Markers'!$B$19,L915&gt;='Read Me &amp; Markers'!$B$20),"A. Proven winner",IF(AND(I915&gt;='Read Me &amp; Markers'!$B$18,J915&gt;='Read Me &amp; Markers'!$B$19,L915&gt;='Read Me &amp; Markers'!$B$21),"B. Strong performer",IF(AND(I915&gt;='Read Me &amp; Markers'!$B$22,L915&gt;='Read Me &amp; Markers'!$B$23),"C. Scale workhorse",IF(AND(I915&gt;='Read Me &amp; Markers'!$B$24,I915&lt;'Read Me &amp; Markers'!$B$18,J915&gt;='Read Me &amp; Markers'!$B$25,L915&gt;='Read Me &amp; Markers'!$B$26),"D. Promising (needs more spend)",""))))</f>
        <v/>
      </c>
      <c r="C915" s="4" t="s">
        <v>1972</v>
      </c>
      <c r="D915" s="4" t="s">
        <v>109</v>
      </c>
      <c r="E915" s="4" t="s">
        <v>979</v>
      </c>
      <c r="F915" s="4" t="s">
        <v>172</v>
      </c>
      <c r="G915" s="4" t="s">
        <v>659</v>
      </c>
      <c r="H915" s="4" t="s">
        <v>3038</v>
      </c>
      <c r="I915" s="5" t="n">
        <v>3.21</v>
      </c>
      <c r="J915" s="7" t="n">
        <v>0</v>
      </c>
      <c r="K915" s="5" t="n">
        <v>0</v>
      </c>
      <c r="L915" s="8" t="n">
        <v>0</v>
      </c>
      <c r="M915" s="9" t="n">
        <v>0</v>
      </c>
      <c r="N915" s="10" t="n">
        <v>0.09375</v>
      </c>
      <c r="O915" s="5" t="n">
        <v>100.31</v>
      </c>
      <c r="P915" s="11" t="n">
        <v>1.032258</v>
      </c>
      <c r="Q915" s="7" t="n">
        <v>32</v>
      </c>
      <c r="R915" s="7" t="n">
        <v>3</v>
      </c>
      <c r="S915" s="7" t="n">
        <v>0</v>
      </c>
      <c r="T915" s="7" t="n">
        <v>0</v>
      </c>
      <c r="U915" s="7" t="n">
        <v>30</v>
      </c>
      <c r="V915" s="7" t="n">
        <v>3</v>
      </c>
    </row>
    <row r="916" customFormat="false" ht="15" hidden="false" customHeight="false" outlineLevel="0" collapsed="false">
      <c r="A916" s="4" t="s">
        <v>3039</v>
      </c>
      <c r="B916" s="4" t="str">
        <f aca="false">IF(AND(I916&gt;='Read Me &amp; Markers'!$B$18,J916&gt;='Read Me &amp; Markers'!$B$19,L916&gt;='Read Me &amp; Markers'!$B$20),"A. Proven winner",IF(AND(I916&gt;='Read Me &amp; Markers'!$B$18,J916&gt;='Read Me &amp; Markers'!$B$19,L916&gt;='Read Me &amp; Markers'!$B$21),"B. Strong performer",IF(AND(I916&gt;='Read Me &amp; Markers'!$B$22,L916&gt;='Read Me &amp; Markers'!$B$23),"C. Scale workhorse",IF(AND(I916&gt;='Read Me &amp; Markers'!$B$24,I916&lt;'Read Me &amp; Markers'!$B$18,J916&gt;='Read Me &amp; Markers'!$B$25,L916&gt;='Read Me &amp; Markers'!$B$26),"D. Promising (needs more spend)",""))))</f>
        <v/>
      </c>
      <c r="C916" s="4" t="s">
        <v>3040</v>
      </c>
      <c r="D916" s="4" t="s">
        <v>206</v>
      </c>
      <c r="E916" s="4" t="s">
        <v>1719</v>
      </c>
      <c r="F916" s="4" t="s">
        <v>253</v>
      </c>
      <c r="G916" s="4" t="s">
        <v>1363</v>
      </c>
      <c r="H916" s="4" t="s">
        <v>3041</v>
      </c>
      <c r="I916" s="5" t="n">
        <v>3.19</v>
      </c>
      <c r="J916" s="7" t="n">
        <v>0</v>
      </c>
      <c r="K916" s="5" t="n">
        <v>0</v>
      </c>
      <c r="L916" s="8" t="n">
        <v>0</v>
      </c>
      <c r="M916" s="9" t="n">
        <v>0</v>
      </c>
      <c r="N916" s="10" t="n">
        <v>0</v>
      </c>
      <c r="O916" s="5" t="n">
        <v>67.87</v>
      </c>
      <c r="P916" s="11" t="n">
        <v>1.305556</v>
      </c>
      <c r="Q916" s="7" t="n">
        <v>47</v>
      </c>
      <c r="R916" s="7" t="n">
        <v>0</v>
      </c>
      <c r="S916" s="7" t="n">
        <v>0</v>
      </c>
      <c r="T916" s="7" t="n">
        <v>0</v>
      </c>
      <c r="U916" s="7" t="n">
        <v>0</v>
      </c>
      <c r="V916" s="7" t="n">
        <v>0</v>
      </c>
    </row>
    <row r="917" customFormat="false" ht="15" hidden="false" customHeight="false" outlineLevel="0" collapsed="false">
      <c r="A917" s="4" t="s">
        <v>3042</v>
      </c>
      <c r="B917" s="4" t="str">
        <f aca="false">IF(AND(I917&gt;='Read Me &amp; Markers'!$B$18,J917&gt;='Read Me &amp; Markers'!$B$19,L917&gt;='Read Me &amp; Markers'!$B$20),"A. Proven winner",IF(AND(I917&gt;='Read Me &amp; Markers'!$B$18,J917&gt;='Read Me &amp; Markers'!$B$19,L917&gt;='Read Me &amp; Markers'!$B$21),"B. Strong performer",IF(AND(I917&gt;='Read Me &amp; Markers'!$B$22,L917&gt;='Read Me &amp; Markers'!$B$23),"C. Scale workhorse",IF(AND(I917&gt;='Read Me &amp; Markers'!$B$24,I917&lt;'Read Me &amp; Markers'!$B$18,J917&gt;='Read Me &amp; Markers'!$B$25,L917&gt;='Read Me &amp; Markers'!$B$26),"D. Promising (needs more spend)",""))))</f>
        <v/>
      </c>
      <c r="C917" s="4" t="s">
        <v>3043</v>
      </c>
      <c r="D917" s="4" t="s">
        <v>109</v>
      </c>
      <c r="E917" s="4" t="s">
        <v>1936</v>
      </c>
      <c r="F917" s="4" t="s">
        <v>111</v>
      </c>
      <c r="G917" s="4" t="s">
        <v>1937</v>
      </c>
      <c r="H917" s="4" t="s">
        <v>3044</v>
      </c>
      <c r="I917" s="5" t="n">
        <v>3.16</v>
      </c>
      <c r="J917" s="7" t="n">
        <v>0</v>
      </c>
      <c r="K917" s="5" t="n">
        <v>0</v>
      </c>
      <c r="L917" s="8" t="n">
        <v>0</v>
      </c>
      <c r="M917" s="9" t="n">
        <v>0</v>
      </c>
      <c r="N917" s="10" t="n">
        <v>0.02439024</v>
      </c>
      <c r="O917" s="5" t="n">
        <v>77.07</v>
      </c>
      <c r="P917" s="11" t="n">
        <v>1.242424</v>
      </c>
      <c r="Q917" s="7" t="n">
        <v>41</v>
      </c>
      <c r="R917" s="7" t="n">
        <v>1</v>
      </c>
      <c r="S917" s="7" t="n">
        <v>0</v>
      </c>
      <c r="T917" s="7" t="n">
        <v>0</v>
      </c>
      <c r="U917" s="7" t="n">
        <v>35</v>
      </c>
      <c r="V917" s="7" t="n">
        <v>5</v>
      </c>
    </row>
    <row r="918" customFormat="false" ht="15" hidden="false" customHeight="false" outlineLevel="0" collapsed="false">
      <c r="A918" s="4" t="s">
        <v>3045</v>
      </c>
      <c r="B918" s="4" t="str">
        <f aca="false">IF(AND(I918&gt;='Read Me &amp; Markers'!$B$18,J918&gt;='Read Me &amp; Markers'!$B$19,L918&gt;='Read Me &amp; Markers'!$B$20),"A. Proven winner",IF(AND(I918&gt;='Read Me &amp; Markers'!$B$18,J918&gt;='Read Me &amp; Markers'!$B$19,L918&gt;='Read Me &amp; Markers'!$B$21),"B. Strong performer",IF(AND(I918&gt;='Read Me &amp; Markers'!$B$22,L918&gt;='Read Me &amp; Markers'!$B$23),"C. Scale workhorse",IF(AND(I918&gt;='Read Me &amp; Markers'!$B$24,I918&lt;'Read Me &amp; Markers'!$B$18,J918&gt;='Read Me &amp; Markers'!$B$25,L918&gt;='Read Me &amp; Markers'!$B$26),"D. Promising (needs more spend)",""))))</f>
        <v/>
      </c>
      <c r="C918" s="4" t="s">
        <v>3046</v>
      </c>
      <c r="D918" s="4" t="s">
        <v>109</v>
      </c>
      <c r="E918" s="4" t="s">
        <v>469</v>
      </c>
      <c r="F918" s="4" t="s">
        <v>172</v>
      </c>
      <c r="G918" s="4" t="s">
        <v>470</v>
      </c>
      <c r="H918" s="4" t="s">
        <v>3047</v>
      </c>
      <c r="I918" s="5" t="n">
        <v>3.16</v>
      </c>
      <c r="J918" s="7" t="n">
        <v>0</v>
      </c>
      <c r="K918" s="5" t="n">
        <v>0</v>
      </c>
      <c r="L918" s="8" t="n">
        <v>0</v>
      </c>
      <c r="M918" s="9" t="n">
        <v>0</v>
      </c>
      <c r="N918" s="10" t="n">
        <v>0</v>
      </c>
      <c r="O918" s="5" t="n">
        <v>45.8</v>
      </c>
      <c r="P918" s="11" t="n">
        <v>1.112903</v>
      </c>
      <c r="Q918" s="7" t="n">
        <v>69</v>
      </c>
      <c r="R918" s="7" t="n">
        <v>0</v>
      </c>
      <c r="S918" s="7" t="n">
        <v>0</v>
      </c>
      <c r="T918" s="7" t="n">
        <v>0</v>
      </c>
      <c r="U918" s="7" t="n">
        <v>0</v>
      </c>
      <c r="V918" s="7" t="n">
        <v>0</v>
      </c>
    </row>
    <row r="919" customFormat="false" ht="15" hidden="false" customHeight="false" outlineLevel="0" collapsed="false">
      <c r="A919" s="4" t="s">
        <v>3048</v>
      </c>
      <c r="B919" s="4" t="str">
        <f aca="false">IF(AND(I919&gt;='Read Me &amp; Markers'!$B$18,J919&gt;='Read Me &amp; Markers'!$B$19,L919&gt;='Read Me &amp; Markers'!$B$20),"A. Proven winner",IF(AND(I919&gt;='Read Me &amp; Markers'!$B$18,J919&gt;='Read Me &amp; Markers'!$B$19,L919&gt;='Read Me &amp; Markers'!$B$21),"B. Strong performer",IF(AND(I919&gt;='Read Me &amp; Markers'!$B$22,L919&gt;='Read Me &amp; Markers'!$B$23),"C. Scale workhorse",IF(AND(I919&gt;='Read Me &amp; Markers'!$B$24,I919&lt;'Read Me &amp; Markers'!$B$18,J919&gt;='Read Me &amp; Markers'!$B$25,L919&gt;='Read Me &amp; Markers'!$B$26),"D. Promising (needs more spend)",""))))</f>
        <v/>
      </c>
      <c r="C919" s="4" t="s">
        <v>3049</v>
      </c>
      <c r="D919" s="4" t="s">
        <v>109</v>
      </c>
      <c r="E919" s="4" t="s">
        <v>1501</v>
      </c>
      <c r="F919" s="4" t="s">
        <v>111</v>
      </c>
      <c r="G919" s="4" t="s">
        <v>1502</v>
      </c>
      <c r="H919" s="4" t="s">
        <v>3050</v>
      </c>
      <c r="I919" s="5" t="n">
        <v>3.14</v>
      </c>
      <c r="J919" s="7" t="n">
        <v>0</v>
      </c>
      <c r="K919" s="5" t="n">
        <v>0</v>
      </c>
      <c r="L919" s="8" t="n">
        <v>0</v>
      </c>
      <c r="M919" s="9" t="n">
        <v>0</v>
      </c>
      <c r="N919" s="10" t="n">
        <v>0.05882353</v>
      </c>
      <c r="O919" s="5" t="n">
        <v>184.71</v>
      </c>
      <c r="P919" s="11" t="n">
        <v>1.214286</v>
      </c>
      <c r="Q919" s="7" t="n">
        <v>17</v>
      </c>
      <c r="R919" s="7" t="n">
        <v>1</v>
      </c>
      <c r="S919" s="7" t="n">
        <v>0</v>
      </c>
      <c r="T919" s="7" t="n">
        <v>0</v>
      </c>
      <c r="U919" s="7" t="n">
        <v>16</v>
      </c>
      <c r="V919" s="7" t="n">
        <v>4</v>
      </c>
    </row>
    <row r="920" customFormat="false" ht="15" hidden="false" customHeight="false" outlineLevel="0" collapsed="false">
      <c r="A920" s="4" t="s">
        <v>3051</v>
      </c>
      <c r="B920" s="4" t="str">
        <f aca="false">IF(AND(I920&gt;='Read Me &amp; Markers'!$B$18,J920&gt;='Read Me &amp; Markers'!$B$19,L920&gt;='Read Me &amp; Markers'!$B$20),"A. Proven winner",IF(AND(I920&gt;='Read Me &amp; Markers'!$B$18,J920&gt;='Read Me &amp; Markers'!$B$19,L920&gt;='Read Me &amp; Markers'!$B$21),"B. Strong performer",IF(AND(I920&gt;='Read Me &amp; Markers'!$B$22,L920&gt;='Read Me &amp; Markers'!$B$23),"C. Scale workhorse",IF(AND(I920&gt;='Read Me &amp; Markers'!$B$24,I920&lt;'Read Me &amp; Markers'!$B$18,J920&gt;='Read Me &amp; Markers'!$B$25,L920&gt;='Read Me &amp; Markers'!$B$26),"D. Promising (needs more spend)",""))))</f>
        <v/>
      </c>
      <c r="C920" s="4" t="s">
        <v>3052</v>
      </c>
      <c r="D920" s="4" t="s">
        <v>109</v>
      </c>
      <c r="E920" s="4" t="s">
        <v>1701</v>
      </c>
      <c r="F920" s="4" t="s">
        <v>111</v>
      </c>
      <c r="G920" s="4" t="s">
        <v>1702</v>
      </c>
      <c r="H920" s="4" t="s">
        <v>3053</v>
      </c>
      <c r="I920" s="5" t="n">
        <v>3.13</v>
      </c>
      <c r="J920" s="7" t="n">
        <v>0</v>
      </c>
      <c r="K920" s="5" t="n">
        <v>0</v>
      </c>
      <c r="L920" s="8" t="n">
        <v>0</v>
      </c>
      <c r="M920" s="9" t="n">
        <v>0</v>
      </c>
      <c r="N920" s="10" t="n">
        <v>0.03773585</v>
      </c>
      <c r="O920" s="5" t="n">
        <v>59.06</v>
      </c>
      <c r="P920" s="11" t="n">
        <v>1.039216</v>
      </c>
      <c r="Q920" s="7" t="n">
        <v>53</v>
      </c>
      <c r="R920" s="7" t="n">
        <v>2</v>
      </c>
      <c r="S920" s="7" t="n">
        <v>0</v>
      </c>
      <c r="T920" s="7" t="n">
        <v>0</v>
      </c>
      <c r="U920" s="7" t="n">
        <v>52</v>
      </c>
      <c r="V920" s="7" t="n">
        <v>11</v>
      </c>
    </row>
    <row r="921" customFormat="false" ht="15" hidden="false" customHeight="false" outlineLevel="0" collapsed="false">
      <c r="A921" s="4" t="s">
        <v>3054</v>
      </c>
      <c r="B921" s="4" t="str">
        <f aca="false">IF(AND(I921&gt;='Read Me &amp; Markers'!$B$18,J921&gt;='Read Me &amp; Markers'!$B$19,L921&gt;='Read Me &amp; Markers'!$B$20),"A. Proven winner",IF(AND(I921&gt;='Read Me &amp; Markers'!$B$18,J921&gt;='Read Me &amp; Markers'!$B$19,L921&gt;='Read Me &amp; Markers'!$B$21),"B. Strong performer",IF(AND(I921&gt;='Read Me &amp; Markers'!$B$22,L921&gt;='Read Me &amp; Markers'!$B$23),"C. Scale workhorse",IF(AND(I921&gt;='Read Me &amp; Markers'!$B$24,I921&lt;'Read Me &amp; Markers'!$B$18,J921&gt;='Read Me &amp; Markers'!$B$25,L921&gt;='Read Me &amp; Markers'!$B$26),"D. Promising (needs more spend)",""))))</f>
        <v/>
      </c>
      <c r="C921" s="4" t="s">
        <v>3055</v>
      </c>
      <c r="D921" s="4" t="s">
        <v>109</v>
      </c>
      <c r="E921" s="4" t="s">
        <v>1688</v>
      </c>
      <c r="F921" s="4" t="s">
        <v>172</v>
      </c>
      <c r="G921" s="4" t="s">
        <v>317</v>
      </c>
      <c r="H921" s="4" t="s">
        <v>3056</v>
      </c>
      <c r="I921" s="5" t="n">
        <v>3.13</v>
      </c>
      <c r="J921" s="7" t="n">
        <v>0</v>
      </c>
      <c r="K921" s="5" t="n">
        <v>0</v>
      </c>
      <c r="L921" s="8" t="n">
        <v>0</v>
      </c>
      <c r="M921" s="9" t="n">
        <v>0</v>
      </c>
      <c r="N921" s="10" t="n">
        <v>0.04347826</v>
      </c>
      <c r="O921" s="5" t="n">
        <v>136.09</v>
      </c>
      <c r="P921" s="11" t="n">
        <v>1.095238</v>
      </c>
      <c r="Q921" s="7" t="n">
        <v>23</v>
      </c>
      <c r="R921" s="7" t="n">
        <v>1</v>
      </c>
      <c r="S921" s="7" t="n">
        <v>0</v>
      </c>
      <c r="T921" s="7" t="n">
        <v>0</v>
      </c>
      <c r="U921" s="7" t="n">
        <v>18</v>
      </c>
      <c r="V921" s="7" t="n">
        <v>4</v>
      </c>
    </row>
    <row r="922" customFormat="false" ht="15" hidden="false" customHeight="false" outlineLevel="0" collapsed="false">
      <c r="A922" s="4" t="s">
        <v>3057</v>
      </c>
      <c r="B922" s="4" t="str">
        <f aca="false">IF(AND(I922&gt;='Read Me &amp; Markers'!$B$18,J922&gt;='Read Me &amp; Markers'!$B$19,L922&gt;='Read Me &amp; Markers'!$B$20),"A. Proven winner",IF(AND(I922&gt;='Read Me &amp; Markers'!$B$18,J922&gt;='Read Me &amp; Markers'!$B$19,L922&gt;='Read Me &amp; Markers'!$B$21),"B. Strong performer",IF(AND(I922&gt;='Read Me &amp; Markers'!$B$22,L922&gt;='Read Me &amp; Markers'!$B$23),"C. Scale workhorse",IF(AND(I922&gt;='Read Me &amp; Markers'!$B$24,I922&lt;'Read Me &amp; Markers'!$B$18,J922&gt;='Read Me &amp; Markers'!$B$25,L922&gt;='Read Me &amp; Markers'!$B$26),"D. Promising (needs more spend)",""))))</f>
        <v/>
      </c>
      <c r="C922" s="4" t="s">
        <v>2631</v>
      </c>
      <c r="D922" s="4" t="s">
        <v>100</v>
      </c>
      <c r="E922" s="4" t="s">
        <v>904</v>
      </c>
      <c r="F922" s="4" t="s">
        <v>172</v>
      </c>
      <c r="G922" s="4" t="s">
        <v>348</v>
      </c>
      <c r="H922" s="4" t="s">
        <v>3058</v>
      </c>
      <c r="I922" s="5" t="n">
        <v>3.12</v>
      </c>
      <c r="J922" s="7" t="n">
        <v>0</v>
      </c>
      <c r="K922" s="5" t="n">
        <v>0</v>
      </c>
      <c r="L922" s="8" t="n">
        <v>0</v>
      </c>
      <c r="M922" s="9" t="n">
        <v>0</v>
      </c>
      <c r="N922" s="10" t="n">
        <v>0</v>
      </c>
      <c r="O922" s="5" t="n">
        <v>69.33</v>
      </c>
      <c r="P922" s="11" t="n">
        <v>1.40625</v>
      </c>
      <c r="Q922" s="7" t="n">
        <v>45</v>
      </c>
      <c r="R922" s="7" t="n">
        <v>0</v>
      </c>
      <c r="S922" s="7" t="n">
        <v>0</v>
      </c>
      <c r="T922" s="7" t="n">
        <v>0</v>
      </c>
      <c r="U922" s="7" t="n">
        <v>25</v>
      </c>
      <c r="V922" s="7" t="n">
        <v>0</v>
      </c>
    </row>
    <row r="923" customFormat="false" ht="15" hidden="false" customHeight="false" outlineLevel="0" collapsed="false">
      <c r="A923" s="4" t="s">
        <v>3059</v>
      </c>
      <c r="B923" s="4" t="str">
        <f aca="false">IF(AND(I923&gt;='Read Me &amp; Markers'!$B$18,J923&gt;='Read Me &amp; Markers'!$B$19,L923&gt;='Read Me &amp; Markers'!$B$20),"A. Proven winner",IF(AND(I923&gt;='Read Me &amp; Markers'!$B$18,J923&gt;='Read Me &amp; Markers'!$B$19,L923&gt;='Read Me &amp; Markers'!$B$21),"B. Strong performer",IF(AND(I923&gt;='Read Me &amp; Markers'!$B$22,L923&gt;='Read Me &amp; Markers'!$B$23),"C. Scale workhorse",IF(AND(I923&gt;='Read Me &amp; Markers'!$B$24,I923&lt;'Read Me &amp; Markers'!$B$18,J923&gt;='Read Me &amp; Markers'!$B$25,L923&gt;='Read Me &amp; Markers'!$B$26),"D. Promising (needs more spend)",""))))</f>
        <v/>
      </c>
      <c r="C923" s="4" t="s">
        <v>3060</v>
      </c>
      <c r="D923" s="4" t="s">
        <v>109</v>
      </c>
      <c r="E923" s="4" t="s">
        <v>2620</v>
      </c>
      <c r="F923" s="4" t="s">
        <v>111</v>
      </c>
      <c r="G923" s="4" t="s">
        <v>739</v>
      </c>
      <c r="H923" s="4" t="s">
        <v>3061</v>
      </c>
      <c r="I923" s="5" t="n">
        <v>3.11</v>
      </c>
      <c r="J923" s="7" t="n">
        <v>0</v>
      </c>
      <c r="K923" s="5" t="n">
        <v>0</v>
      </c>
      <c r="L923" s="8" t="n">
        <v>0</v>
      </c>
      <c r="M923" s="9" t="n">
        <v>0</v>
      </c>
      <c r="N923" s="10" t="n">
        <v>0</v>
      </c>
      <c r="O923" s="5" t="n">
        <v>345.56</v>
      </c>
      <c r="P923" s="11" t="n">
        <v>1.5</v>
      </c>
      <c r="Q923" s="7" t="n">
        <v>9</v>
      </c>
      <c r="R923" s="7" t="n">
        <v>0</v>
      </c>
      <c r="S923" s="7" t="n">
        <v>0</v>
      </c>
      <c r="T923" s="7" t="n">
        <v>0</v>
      </c>
      <c r="U923" s="7" t="n">
        <v>1</v>
      </c>
      <c r="V923" s="7" t="n">
        <v>0</v>
      </c>
    </row>
    <row r="924" customFormat="false" ht="15" hidden="false" customHeight="false" outlineLevel="0" collapsed="false">
      <c r="A924" s="4" t="s">
        <v>3062</v>
      </c>
      <c r="B924" s="4" t="str">
        <f aca="false">IF(AND(I924&gt;='Read Me &amp; Markers'!$B$18,J924&gt;='Read Me &amp; Markers'!$B$19,L924&gt;='Read Me &amp; Markers'!$B$20),"A. Proven winner",IF(AND(I924&gt;='Read Me &amp; Markers'!$B$18,J924&gt;='Read Me &amp; Markers'!$B$19,L924&gt;='Read Me &amp; Markers'!$B$21),"B. Strong performer",IF(AND(I924&gt;='Read Me &amp; Markers'!$B$22,L924&gt;='Read Me &amp; Markers'!$B$23),"C. Scale workhorse",IF(AND(I924&gt;='Read Me &amp; Markers'!$B$24,I924&lt;'Read Me &amp; Markers'!$B$18,J924&gt;='Read Me &amp; Markers'!$B$25,L924&gt;='Read Me &amp; Markers'!$B$26),"D. Promising (needs more spend)",""))))</f>
        <v/>
      </c>
      <c r="C924" s="4" t="s">
        <v>3063</v>
      </c>
      <c r="D924" s="4" t="s">
        <v>109</v>
      </c>
      <c r="E924" s="4" t="s">
        <v>429</v>
      </c>
      <c r="F924" s="4" t="s">
        <v>111</v>
      </c>
      <c r="G924" s="4" t="s">
        <v>431</v>
      </c>
      <c r="H924" s="4" t="s">
        <v>3064</v>
      </c>
      <c r="I924" s="5" t="n">
        <v>3.05</v>
      </c>
      <c r="J924" s="7" t="n">
        <v>0</v>
      </c>
      <c r="K924" s="5" t="n">
        <v>0</v>
      </c>
      <c r="L924" s="8" t="n">
        <v>0</v>
      </c>
      <c r="M924" s="9" t="n">
        <v>0</v>
      </c>
      <c r="N924" s="10" t="n">
        <v>0.02083333</v>
      </c>
      <c r="O924" s="5" t="n">
        <v>63.54</v>
      </c>
      <c r="P924" s="11" t="n">
        <v>1.170732</v>
      </c>
      <c r="Q924" s="7" t="n">
        <v>48</v>
      </c>
      <c r="R924" s="7" t="n">
        <v>1</v>
      </c>
      <c r="S924" s="7" t="n">
        <v>0</v>
      </c>
      <c r="T924" s="7" t="n">
        <v>0</v>
      </c>
      <c r="U924" s="7" t="n">
        <v>0</v>
      </c>
      <c r="V924" s="7" t="n">
        <v>0</v>
      </c>
    </row>
    <row r="925" customFormat="false" ht="15" hidden="false" customHeight="false" outlineLevel="0" collapsed="false">
      <c r="A925" s="4" t="s">
        <v>3065</v>
      </c>
      <c r="B925" s="4" t="str">
        <f aca="false">IF(AND(I925&gt;='Read Me &amp; Markers'!$B$18,J925&gt;='Read Me &amp; Markers'!$B$19,L925&gt;='Read Me &amp; Markers'!$B$20),"A. Proven winner",IF(AND(I925&gt;='Read Me &amp; Markers'!$B$18,J925&gt;='Read Me &amp; Markers'!$B$19,L925&gt;='Read Me &amp; Markers'!$B$21),"B. Strong performer",IF(AND(I925&gt;='Read Me &amp; Markers'!$B$22,L925&gt;='Read Me &amp; Markers'!$B$23),"C. Scale workhorse",IF(AND(I925&gt;='Read Me &amp; Markers'!$B$24,I925&lt;'Read Me &amp; Markers'!$B$18,J925&gt;='Read Me &amp; Markers'!$B$25,L925&gt;='Read Me &amp; Markers'!$B$26),"D. Promising (needs more spend)",""))))</f>
        <v/>
      </c>
      <c r="C925" s="4" t="s">
        <v>3040</v>
      </c>
      <c r="D925" s="4" t="s">
        <v>206</v>
      </c>
      <c r="E925" s="4" t="s">
        <v>1362</v>
      </c>
      <c r="F925" s="4" t="s">
        <v>253</v>
      </c>
      <c r="G925" s="4" t="s">
        <v>1363</v>
      </c>
      <c r="H925" s="4" t="s">
        <v>3066</v>
      </c>
      <c r="I925" s="5" t="n">
        <v>3.02</v>
      </c>
      <c r="J925" s="7" t="n">
        <v>0</v>
      </c>
      <c r="K925" s="5" t="n">
        <v>0</v>
      </c>
      <c r="L925" s="8" t="n">
        <v>0</v>
      </c>
      <c r="M925" s="9" t="n">
        <v>0</v>
      </c>
      <c r="N925" s="10" t="n">
        <v>0</v>
      </c>
      <c r="O925" s="5" t="n">
        <v>45.76</v>
      </c>
      <c r="P925" s="11" t="n">
        <v>1.32</v>
      </c>
      <c r="Q925" s="7" t="n">
        <v>66</v>
      </c>
      <c r="R925" s="7" t="n">
        <v>0</v>
      </c>
      <c r="S925" s="7" t="n">
        <v>0</v>
      </c>
      <c r="T925" s="7" t="n">
        <v>0</v>
      </c>
      <c r="U925" s="7" t="n">
        <v>0</v>
      </c>
      <c r="V925" s="7" t="n">
        <v>0</v>
      </c>
    </row>
    <row r="926" customFormat="false" ht="15" hidden="false" customHeight="false" outlineLevel="0" collapsed="false">
      <c r="A926" s="4" t="s">
        <v>3067</v>
      </c>
      <c r="B926" s="4" t="str">
        <f aca="false">IF(AND(I926&gt;='Read Me &amp; Markers'!$B$18,J926&gt;='Read Me &amp; Markers'!$B$19,L926&gt;='Read Me &amp; Markers'!$B$20),"A. Proven winner",IF(AND(I926&gt;='Read Me &amp; Markers'!$B$18,J926&gt;='Read Me &amp; Markers'!$B$19,L926&gt;='Read Me &amp; Markers'!$B$21),"B. Strong performer",IF(AND(I926&gt;='Read Me &amp; Markers'!$B$22,L926&gt;='Read Me &amp; Markers'!$B$23),"C. Scale workhorse",IF(AND(I926&gt;='Read Me &amp; Markers'!$B$24,I926&lt;'Read Me &amp; Markers'!$B$18,J926&gt;='Read Me &amp; Markers'!$B$25,L926&gt;='Read Me &amp; Markers'!$B$26),"D. Promising (needs more spend)",""))))</f>
        <v/>
      </c>
      <c r="C926" s="4" t="s">
        <v>121</v>
      </c>
      <c r="D926" s="4" t="s">
        <v>100</v>
      </c>
      <c r="E926" s="4" t="s">
        <v>2405</v>
      </c>
      <c r="F926" s="4" t="s">
        <v>87</v>
      </c>
      <c r="G926" s="4" t="s">
        <v>294</v>
      </c>
      <c r="H926" s="4" t="s">
        <v>3068</v>
      </c>
      <c r="I926" s="5" t="n">
        <v>3.01</v>
      </c>
      <c r="J926" s="7" t="n">
        <v>0</v>
      </c>
      <c r="K926" s="5" t="n">
        <v>0</v>
      </c>
      <c r="L926" s="8" t="n">
        <v>0</v>
      </c>
      <c r="M926" s="9" t="n">
        <v>0</v>
      </c>
      <c r="N926" s="10" t="n">
        <v>0.01428571</v>
      </c>
      <c r="O926" s="5" t="n">
        <v>21.5</v>
      </c>
      <c r="P926" s="11" t="n">
        <v>1.09375</v>
      </c>
      <c r="Q926" s="7" t="n">
        <v>140</v>
      </c>
      <c r="R926" s="7" t="n">
        <v>2</v>
      </c>
      <c r="S926" s="7" t="n">
        <v>0</v>
      </c>
      <c r="T926" s="7" t="n">
        <v>0</v>
      </c>
      <c r="U926" s="7" t="n">
        <v>103</v>
      </c>
      <c r="V926" s="7" t="n">
        <v>8</v>
      </c>
    </row>
    <row r="927" customFormat="false" ht="15" hidden="false" customHeight="false" outlineLevel="0" collapsed="false">
      <c r="A927" s="4" t="s">
        <v>3069</v>
      </c>
      <c r="B927" s="4" t="str">
        <f aca="false">IF(AND(I927&gt;='Read Me &amp; Markers'!$B$18,J927&gt;='Read Me &amp; Markers'!$B$19,L927&gt;='Read Me &amp; Markers'!$B$20),"A. Proven winner",IF(AND(I927&gt;='Read Me &amp; Markers'!$B$18,J927&gt;='Read Me &amp; Markers'!$B$19,L927&gt;='Read Me &amp; Markers'!$B$21),"B. Strong performer",IF(AND(I927&gt;='Read Me &amp; Markers'!$B$22,L927&gt;='Read Me &amp; Markers'!$B$23),"C. Scale workhorse",IF(AND(I927&gt;='Read Me &amp; Markers'!$B$24,I927&lt;'Read Me &amp; Markers'!$B$18,J927&gt;='Read Me &amp; Markers'!$B$25,L927&gt;='Read Me &amp; Markers'!$B$26),"D. Promising (needs more spend)",""))))</f>
        <v/>
      </c>
      <c r="C927" s="4" t="s">
        <v>3070</v>
      </c>
      <c r="D927" s="4" t="s">
        <v>1049</v>
      </c>
      <c r="E927" s="4" t="s">
        <v>1050</v>
      </c>
      <c r="F927" s="4" t="s">
        <v>172</v>
      </c>
      <c r="G927" s="4" t="s">
        <v>436</v>
      </c>
      <c r="H927" s="4" t="s">
        <v>513</v>
      </c>
      <c r="I927" s="5" t="n">
        <v>3</v>
      </c>
      <c r="J927" s="7" t="n">
        <v>0</v>
      </c>
      <c r="K927" s="5" t="n">
        <v>0</v>
      </c>
      <c r="L927" s="8" t="n">
        <v>0</v>
      </c>
      <c r="M927" s="9" t="n">
        <v>0</v>
      </c>
      <c r="N927" s="10" t="n">
        <v>0</v>
      </c>
      <c r="O927" s="5" t="n">
        <v>85.71</v>
      </c>
      <c r="P927" s="11" t="n">
        <v>1.029412</v>
      </c>
      <c r="Q927" s="7" t="n">
        <v>35</v>
      </c>
      <c r="R927" s="7" t="n">
        <v>0</v>
      </c>
      <c r="S927" s="7" t="n">
        <v>0</v>
      </c>
      <c r="T927" s="7" t="n">
        <v>0</v>
      </c>
      <c r="U927" s="7" t="n">
        <v>33</v>
      </c>
      <c r="V927" s="7" t="n">
        <v>9</v>
      </c>
    </row>
    <row r="928" customFormat="false" ht="15" hidden="false" customHeight="false" outlineLevel="0" collapsed="false">
      <c r="A928" s="4" t="s">
        <v>3071</v>
      </c>
      <c r="B928" s="4" t="str">
        <f aca="false">IF(AND(I928&gt;='Read Me &amp; Markers'!$B$18,J928&gt;='Read Me &amp; Markers'!$B$19,L928&gt;='Read Me &amp; Markers'!$B$20),"A. Proven winner",IF(AND(I928&gt;='Read Me &amp; Markers'!$B$18,J928&gt;='Read Me &amp; Markers'!$B$19,L928&gt;='Read Me &amp; Markers'!$B$21),"B. Strong performer",IF(AND(I928&gt;='Read Me &amp; Markers'!$B$22,L928&gt;='Read Me &amp; Markers'!$B$23),"C. Scale workhorse",IF(AND(I928&gt;='Read Me &amp; Markers'!$B$24,I928&lt;'Read Me &amp; Markers'!$B$18,J928&gt;='Read Me &amp; Markers'!$B$25,L928&gt;='Read Me &amp; Markers'!$B$26),"D. Promising (needs more spend)",""))))</f>
        <v/>
      </c>
      <c r="C928" s="4" t="s">
        <v>3072</v>
      </c>
      <c r="D928" s="4" t="s">
        <v>109</v>
      </c>
      <c r="E928" s="4" t="s">
        <v>435</v>
      </c>
      <c r="F928" s="4" t="s">
        <v>111</v>
      </c>
      <c r="G928" s="4" t="s">
        <v>500</v>
      </c>
      <c r="H928" s="4" t="s">
        <v>3073</v>
      </c>
      <c r="I928" s="5" t="n">
        <v>2.96</v>
      </c>
      <c r="J928" s="7" t="n">
        <v>0</v>
      </c>
      <c r="K928" s="5" t="n">
        <v>0</v>
      </c>
      <c r="L928" s="8" t="n">
        <v>0</v>
      </c>
      <c r="M928" s="9" t="n">
        <v>0</v>
      </c>
      <c r="N928" s="10" t="n">
        <v>0</v>
      </c>
      <c r="O928" s="5" t="n">
        <v>55.85</v>
      </c>
      <c r="P928" s="11" t="n">
        <v>1.152174</v>
      </c>
      <c r="Q928" s="7" t="n">
        <v>53</v>
      </c>
      <c r="R928" s="7" t="n">
        <v>0</v>
      </c>
      <c r="S928" s="7" t="n">
        <v>0</v>
      </c>
      <c r="T928" s="7" t="n">
        <v>0</v>
      </c>
      <c r="U928" s="7" t="n">
        <v>1</v>
      </c>
      <c r="V928" s="7" t="n">
        <v>0</v>
      </c>
    </row>
    <row r="929" customFormat="false" ht="15" hidden="false" customHeight="false" outlineLevel="0" collapsed="false">
      <c r="A929" s="4" t="s">
        <v>3074</v>
      </c>
      <c r="B929" s="4" t="str">
        <f aca="false">IF(AND(I929&gt;='Read Me &amp; Markers'!$B$18,J929&gt;='Read Me &amp; Markers'!$B$19,L929&gt;='Read Me &amp; Markers'!$B$20),"A. Proven winner",IF(AND(I929&gt;='Read Me &amp; Markers'!$B$18,J929&gt;='Read Me &amp; Markers'!$B$19,L929&gt;='Read Me &amp; Markers'!$B$21),"B. Strong performer",IF(AND(I929&gt;='Read Me &amp; Markers'!$B$22,L929&gt;='Read Me &amp; Markers'!$B$23),"C. Scale workhorse",IF(AND(I929&gt;='Read Me &amp; Markers'!$B$24,I929&lt;'Read Me &amp; Markers'!$B$18,J929&gt;='Read Me &amp; Markers'!$B$25,L929&gt;='Read Me &amp; Markers'!$B$26),"D. Promising (needs more spend)",""))))</f>
        <v/>
      </c>
      <c r="C929" s="4" t="s">
        <v>3075</v>
      </c>
      <c r="D929" s="4" t="s">
        <v>100</v>
      </c>
      <c r="E929" s="4" t="s">
        <v>983</v>
      </c>
      <c r="F929" s="4" t="s">
        <v>253</v>
      </c>
      <c r="G929" s="4" t="s">
        <v>984</v>
      </c>
      <c r="H929" s="4" t="s">
        <v>3076</v>
      </c>
      <c r="I929" s="5" t="n">
        <v>2.94</v>
      </c>
      <c r="J929" s="7" t="n">
        <v>0</v>
      </c>
      <c r="K929" s="5" t="n">
        <v>0</v>
      </c>
      <c r="L929" s="8" t="n">
        <v>0</v>
      </c>
      <c r="M929" s="9" t="n">
        <v>0</v>
      </c>
      <c r="N929" s="10" t="n">
        <v>0.0212766</v>
      </c>
      <c r="O929" s="5" t="n">
        <v>62.55</v>
      </c>
      <c r="P929" s="11" t="n">
        <v>1.093023</v>
      </c>
      <c r="Q929" s="7" t="n">
        <v>47</v>
      </c>
      <c r="R929" s="7" t="n">
        <v>1</v>
      </c>
      <c r="S929" s="7" t="n">
        <v>0</v>
      </c>
      <c r="T929" s="7" t="n">
        <v>1</v>
      </c>
      <c r="U929" s="7" t="n">
        <v>0</v>
      </c>
      <c r="V929" s="7" t="n">
        <v>0</v>
      </c>
    </row>
    <row r="930" customFormat="false" ht="15" hidden="false" customHeight="false" outlineLevel="0" collapsed="false">
      <c r="A930" s="4" t="s">
        <v>3077</v>
      </c>
      <c r="B930" s="4" t="str">
        <f aca="false">IF(AND(I930&gt;='Read Me &amp; Markers'!$B$18,J930&gt;='Read Me &amp; Markers'!$B$19,L930&gt;='Read Me &amp; Markers'!$B$20),"A. Proven winner",IF(AND(I930&gt;='Read Me &amp; Markers'!$B$18,J930&gt;='Read Me &amp; Markers'!$B$19,L930&gt;='Read Me &amp; Markers'!$B$21),"B. Strong performer",IF(AND(I930&gt;='Read Me &amp; Markers'!$B$22,L930&gt;='Read Me &amp; Markers'!$B$23),"C. Scale workhorse",IF(AND(I930&gt;='Read Me &amp; Markers'!$B$24,I930&lt;'Read Me &amp; Markers'!$B$18,J930&gt;='Read Me &amp; Markers'!$B$25,L930&gt;='Read Me &amp; Markers'!$B$26),"D. Promising (needs more spend)",""))))</f>
        <v/>
      </c>
      <c r="C930" s="4" t="s">
        <v>121</v>
      </c>
      <c r="D930" s="4" t="s">
        <v>100</v>
      </c>
      <c r="E930" s="4" t="s">
        <v>900</v>
      </c>
      <c r="F930" s="4" t="s">
        <v>230</v>
      </c>
      <c r="G930" s="4" t="s">
        <v>254</v>
      </c>
      <c r="H930" s="4" t="s">
        <v>3078</v>
      </c>
      <c r="I930" s="5" t="n">
        <v>2.94</v>
      </c>
      <c r="J930" s="7" t="n">
        <v>0</v>
      </c>
      <c r="K930" s="5" t="n">
        <v>0</v>
      </c>
      <c r="L930" s="8" t="n">
        <v>0</v>
      </c>
      <c r="M930" s="9" t="n">
        <v>0</v>
      </c>
      <c r="N930" s="10" t="n">
        <v>0.11111111</v>
      </c>
      <c r="O930" s="5" t="n">
        <v>108.89</v>
      </c>
      <c r="P930" s="11" t="n">
        <v>1.173913</v>
      </c>
      <c r="Q930" s="7" t="n">
        <v>27</v>
      </c>
      <c r="R930" s="7" t="n">
        <v>3</v>
      </c>
      <c r="S930" s="7" t="n">
        <v>0</v>
      </c>
      <c r="T930" s="7" t="n">
        <v>0</v>
      </c>
      <c r="U930" s="7" t="n">
        <v>24</v>
      </c>
      <c r="V930" s="7" t="n">
        <v>5</v>
      </c>
    </row>
    <row r="931" customFormat="false" ht="15" hidden="false" customHeight="false" outlineLevel="0" collapsed="false">
      <c r="A931" s="4" t="s">
        <v>3079</v>
      </c>
      <c r="B931" s="4" t="str">
        <f aca="false">IF(AND(I931&gt;='Read Me &amp; Markers'!$B$18,J931&gt;='Read Me &amp; Markers'!$B$19,L931&gt;='Read Me &amp; Markers'!$B$20),"A. Proven winner",IF(AND(I931&gt;='Read Me &amp; Markers'!$B$18,J931&gt;='Read Me &amp; Markers'!$B$19,L931&gt;='Read Me &amp; Markers'!$B$21),"B. Strong performer",IF(AND(I931&gt;='Read Me &amp; Markers'!$B$22,L931&gt;='Read Me &amp; Markers'!$B$23),"C. Scale workhorse",IF(AND(I931&gt;='Read Me &amp; Markers'!$B$24,I931&lt;'Read Me &amp; Markers'!$B$18,J931&gt;='Read Me &amp; Markers'!$B$25,L931&gt;='Read Me &amp; Markers'!$B$26),"D. Promising (needs more spend)",""))))</f>
        <v/>
      </c>
      <c r="C931" s="4" t="s">
        <v>121</v>
      </c>
      <c r="D931" s="4" t="s">
        <v>206</v>
      </c>
      <c r="E931" s="4" t="s">
        <v>2228</v>
      </c>
      <c r="F931" s="4" t="s">
        <v>253</v>
      </c>
      <c r="G931" s="4" t="s">
        <v>208</v>
      </c>
      <c r="H931" s="4" t="s">
        <v>3080</v>
      </c>
      <c r="I931" s="5" t="n">
        <v>2.91</v>
      </c>
      <c r="J931" s="7" t="n">
        <v>0</v>
      </c>
      <c r="K931" s="5" t="n">
        <v>0</v>
      </c>
      <c r="L931" s="8" t="n">
        <v>0</v>
      </c>
      <c r="M931" s="9" t="n">
        <v>0</v>
      </c>
      <c r="N931" s="10" t="n">
        <v>0</v>
      </c>
      <c r="O931" s="5" t="n">
        <v>76.58</v>
      </c>
      <c r="P931" s="11" t="n">
        <v>1.310345</v>
      </c>
      <c r="Q931" s="7" t="n">
        <v>38</v>
      </c>
      <c r="R931" s="7" t="n">
        <v>0</v>
      </c>
      <c r="S931" s="7" t="n">
        <v>0</v>
      </c>
      <c r="T931" s="7" t="n">
        <v>0</v>
      </c>
      <c r="U931" s="7" t="n">
        <v>27</v>
      </c>
      <c r="V931" s="7" t="n">
        <v>2</v>
      </c>
    </row>
    <row r="932" customFormat="false" ht="15" hidden="false" customHeight="false" outlineLevel="0" collapsed="false">
      <c r="A932" s="4" t="s">
        <v>3081</v>
      </c>
      <c r="B932" s="4" t="str">
        <f aca="false">IF(AND(I932&gt;='Read Me &amp; Markers'!$B$18,J932&gt;='Read Me &amp; Markers'!$B$19,L932&gt;='Read Me &amp; Markers'!$B$20),"A. Proven winner",IF(AND(I932&gt;='Read Me &amp; Markers'!$B$18,J932&gt;='Read Me &amp; Markers'!$B$19,L932&gt;='Read Me &amp; Markers'!$B$21),"B. Strong performer",IF(AND(I932&gt;='Read Me &amp; Markers'!$B$22,L932&gt;='Read Me &amp; Markers'!$B$23),"C. Scale workhorse",IF(AND(I932&gt;='Read Me &amp; Markers'!$B$24,I932&lt;'Read Me &amp; Markers'!$B$18,J932&gt;='Read Me &amp; Markers'!$B$25,L932&gt;='Read Me &amp; Markers'!$B$26),"D. Promising (needs more spend)",""))))</f>
        <v/>
      </c>
      <c r="C932" s="4" t="s">
        <v>3082</v>
      </c>
      <c r="D932" s="4" t="s">
        <v>109</v>
      </c>
      <c r="E932" s="4" t="s">
        <v>1413</v>
      </c>
      <c r="F932" s="4" t="s">
        <v>172</v>
      </c>
      <c r="G932" s="4" t="s">
        <v>317</v>
      </c>
      <c r="H932" s="4" t="s">
        <v>3083</v>
      </c>
      <c r="I932" s="5" t="n">
        <v>2.9</v>
      </c>
      <c r="J932" s="7" t="n">
        <v>0</v>
      </c>
      <c r="K932" s="5" t="n">
        <v>0</v>
      </c>
      <c r="L932" s="8" t="n">
        <v>0</v>
      </c>
      <c r="M932" s="9" t="n">
        <v>0</v>
      </c>
      <c r="N932" s="10" t="n">
        <v>0</v>
      </c>
      <c r="O932" s="5" t="n">
        <v>72.5</v>
      </c>
      <c r="P932" s="11" t="n">
        <v>1.142857</v>
      </c>
      <c r="Q932" s="7" t="n">
        <v>40</v>
      </c>
      <c r="R932" s="7" t="n">
        <v>0</v>
      </c>
      <c r="S932" s="7" t="n">
        <v>0</v>
      </c>
      <c r="T932" s="7" t="n">
        <v>0</v>
      </c>
      <c r="U932" s="7" t="n">
        <v>0</v>
      </c>
      <c r="V932" s="7" t="n">
        <v>0</v>
      </c>
    </row>
    <row r="933" customFormat="false" ht="15" hidden="false" customHeight="false" outlineLevel="0" collapsed="false">
      <c r="A933" s="4" t="s">
        <v>3084</v>
      </c>
      <c r="B933" s="4" t="str">
        <f aca="false">IF(AND(I933&gt;='Read Me &amp; Markers'!$B$18,J933&gt;='Read Me &amp; Markers'!$B$19,L933&gt;='Read Me &amp; Markers'!$B$20),"A. Proven winner",IF(AND(I933&gt;='Read Me &amp; Markers'!$B$18,J933&gt;='Read Me &amp; Markers'!$B$19,L933&gt;='Read Me &amp; Markers'!$B$21),"B. Strong performer",IF(AND(I933&gt;='Read Me &amp; Markers'!$B$22,L933&gt;='Read Me &amp; Markers'!$B$23),"C. Scale workhorse",IF(AND(I933&gt;='Read Me &amp; Markers'!$B$24,I933&lt;'Read Me &amp; Markers'!$B$18,J933&gt;='Read Me &amp; Markers'!$B$25,L933&gt;='Read Me &amp; Markers'!$B$26),"D. Promising (needs more spend)",""))))</f>
        <v/>
      </c>
      <c r="C933" s="4" t="s">
        <v>3085</v>
      </c>
      <c r="D933" s="4" t="s">
        <v>109</v>
      </c>
      <c r="E933" s="4" t="s">
        <v>489</v>
      </c>
      <c r="F933" s="4" t="s">
        <v>111</v>
      </c>
      <c r="G933" s="4" t="s">
        <v>490</v>
      </c>
      <c r="H933" s="4" t="s">
        <v>3086</v>
      </c>
      <c r="I933" s="5" t="n">
        <v>2.82</v>
      </c>
      <c r="J933" s="7" t="n">
        <v>0</v>
      </c>
      <c r="K933" s="5" t="n">
        <v>0</v>
      </c>
      <c r="L933" s="8" t="n">
        <v>0</v>
      </c>
      <c r="M933" s="9" t="n">
        <v>0</v>
      </c>
      <c r="N933" s="10" t="n">
        <v>0</v>
      </c>
      <c r="O933" s="5" t="n">
        <v>55.29</v>
      </c>
      <c r="P933" s="11" t="n">
        <v>1.085106</v>
      </c>
      <c r="Q933" s="7" t="n">
        <v>51</v>
      </c>
      <c r="R933" s="7" t="n">
        <v>0</v>
      </c>
      <c r="S933" s="7" t="n">
        <v>0</v>
      </c>
      <c r="T933" s="7" t="n">
        <v>0</v>
      </c>
      <c r="U933" s="7" t="n">
        <v>2</v>
      </c>
      <c r="V933" s="7" t="n">
        <v>0</v>
      </c>
    </row>
    <row r="934" customFormat="false" ht="15" hidden="false" customHeight="false" outlineLevel="0" collapsed="false">
      <c r="A934" s="4" t="s">
        <v>3087</v>
      </c>
      <c r="B934" s="4" t="str">
        <f aca="false">IF(AND(I934&gt;='Read Me &amp; Markers'!$B$18,J934&gt;='Read Me &amp; Markers'!$B$19,L934&gt;='Read Me &amp; Markers'!$B$20),"A. Proven winner",IF(AND(I934&gt;='Read Me &amp; Markers'!$B$18,J934&gt;='Read Me &amp; Markers'!$B$19,L934&gt;='Read Me &amp; Markers'!$B$21),"B. Strong performer",IF(AND(I934&gt;='Read Me &amp; Markers'!$B$22,L934&gt;='Read Me &amp; Markers'!$B$23),"C. Scale workhorse",IF(AND(I934&gt;='Read Me &amp; Markers'!$B$24,I934&lt;'Read Me &amp; Markers'!$B$18,J934&gt;='Read Me &amp; Markers'!$B$25,L934&gt;='Read Me &amp; Markers'!$B$26),"D. Promising (needs more spend)",""))))</f>
        <v/>
      </c>
      <c r="C934" s="4" t="s">
        <v>129</v>
      </c>
      <c r="D934" s="4" t="s">
        <v>100</v>
      </c>
      <c r="E934" s="4" t="s">
        <v>1064</v>
      </c>
      <c r="F934" s="4" t="s">
        <v>230</v>
      </c>
      <c r="G934" s="4" t="s">
        <v>279</v>
      </c>
      <c r="H934" s="4" t="s">
        <v>3088</v>
      </c>
      <c r="I934" s="5" t="n">
        <v>2.82</v>
      </c>
      <c r="J934" s="7" t="n">
        <v>0</v>
      </c>
      <c r="K934" s="5" t="n">
        <v>0</v>
      </c>
      <c r="L934" s="8" t="n">
        <v>0</v>
      </c>
      <c r="M934" s="9" t="n">
        <v>0</v>
      </c>
      <c r="N934" s="10" t="n">
        <v>0.03703704</v>
      </c>
      <c r="O934" s="5" t="n">
        <v>104.44</v>
      </c>
      <c r="P934" s="11" t="n">
        <v>1</v>
      </c>
      <c r="Q934" s="7" t="n">
        <v>27</v>
      </c>
      <c r="R934" s="7" t="n">
        <v>1</v>
      </c>
      <c r="S934" s="7" t="n">
        <v>0</v>
      </c>
      <c r="T934" s="7" t="n">
        <v>0</v>
      </c>
      <c r="U934" s="7" t="n">
        <v>21</v>
      </c>
      <c r="V934" s="7" t="n">
        <v>6</v>
      </c>
    </row>
    <row r="935" customFormat="false" ht="15" hidden="false" customHeight="false" outlineLevel="0" collapsed="false">
      <c r="A935" s="4" t="s">
        <v>3089</v>
      </c>
      <c r="B935" s="4" t="str">
        <f aca="false">IF(AND(I935&gt;='Read Me &amp; Markers'!$B$18,J935&gt;='Read Me &amp; Markers'!$B$19,L935&gt;='Read Me &amp; Markers'!$B$20),"A. Proven winner",IF(AND(I935&gt;='Read Me &amp; Markers'!$B$18,J935&gt;='Read Me &amp; Markers'!$B$19,L935&gt;='Read Me &amp; Markers'!$B$21),"B. Strong performer",IF(AND(I935&gt;='Read Me &amp; Markers'!$B$22,L935&gt;='Read Me &amp; Markers'!$B$23),"C. Scale workhorse",IF(AND(I935&gt;='Read Me &amp; Markers'!$B$24,I935&lt;'Read Me &amp; Markers'!$B$18,J935&gt;='Read Me &amp; Markers'!$B$25,L935&gt;='Read Me &amp; Markers'!$B$26),"D. Promising (needs more spend)",""))))</f>
        <v/>
      </c>
      <c r="C935" s="4" t="s">
        <v>3090</v>
      </c>
      <c r="D935" s="4" t="s">
        <v>109</v>
      </c>
      <c r="E935" s="4" t="s">
        <v>979</v>
      </c>
      <c r="F935" s="4" t="s">
        <v>172</v>
      </c>
      <c r="G935" s="4" t="s">
        <v>659</v>
      </c>
      <c r="H935" s="4" t="s">
        <v>3091</v>
      </c>
      <c r="I935" s="5" t="n">
        <v>2.8</v>
      </c>
      <c r="J935" s="7" t="n">
        <v>0</v>
      </c>
      <c r="K935" s="5" t="n">
        <v>0</v>
      </c>
      <c r="L935" s="8" t="n">
        <v>0</v>
      </c>
      <c r="M935" s="9" t="n">
        <v>0</v>
      </c>
      <c r="N935" s="10" t="n">
        <v>0.04347826</v>
      </c>
      <c r="O935" s="5" t="n">
        <v>121.74</v>
      </c>
      <c r="P935" s="11" t="n">
        <v>1</v>
      </c>
      <c r="Q935" s="7" t="n">
        <v>23</v>
      </c>
      <c r="R935" s="7" t="n">
        <v>1</v>
      </c>
      <c r="S935" s="7" t="n">
        <v>0</v>
      </c>
      <c r="T935" s="7" t="n">
        <v>0</v>
      </c>
      <c r="U935" s="7" t="n">
        <v>21</v>
      </c>
      <c r="V935" s="7" t="n">
        <v>2</v>
      </c>
    </row>
    <row r="936" customFormat="false" ht="15" hidden="false" customHeight="false" outlineLevel="0" collapsed="false">
      <c r="A936" s="4" t="s">
        <v>3092</v>
      </c>
      <c r="B936" s="4" t="str">
        <f aca="false">IF(AND(I936&gt;='Read Me &amp; Markers'!$B$18,J936&gt;='Read Me &amp; Markers'!$B$19,L936&gt;='Read Me &amp; Markers'!$B$20),"A. Proven winner",IF(AND(I936&gt;='Read Me &amp; Markers'!$B$18,J936&gt;='Read Me &amp; Markers'!$B$19,L936&gt;='Read Me &amp; Markers'!$B$21),"B. Strong performer",IF(AND(I936&gt;='Read Me &amp; Markers'!$B$22,L936&gt;='Read Me &amp; Markers'!$B$23),"C. Scale workhorse",IF(AND(I936&gt;='Read Me &amp; Markers'!$B$24,I936&lt;'Read Me &amp; Markers'!$B$18,J936&gt;='Read Me &amp; Markers'!$B$25,L936&gt;='Read Me &amp; Markers'!$B$26),"D. Promising (needs more spend)",""))))</f>
        <v/>
      </c>
      <c r="C936" s="4" t="s">
        <v>129</v>
      </c>
      <c r="D936" s="4" t="s">
        <v>206</v>
      </c>
      <c r="E936" s="4" t="s">
        <v>1438</v>
      </c>
      <c r="F936" s="4" t="s">
        <v>253</v>
      </c>
      <c r="G936" s="4" t="s">
        <v>208</v>
      </c>
      <c r="H936" s="4" t="s">
        <v>3093</v>
      </c>
      <c r="I936" s="5" t="n">
        <v>2.78</v>
      </c>
      <c r="J936" s="7" t="n">
        <v>0</v>
      </c>
      <c r="K936" s="5" t="n">
        <v>0</v>
      </c>
      <c r="L936" s="8" t="n">
        <v>0</v>
      </c>
      <c r="M936" s="9" t="n">
        <v>0</v>
      </c>
      <c r="N936" s="10" t="n">
        <v>0.0625</v>
      </c>
      <c r="O936" s="5" t="n">
        <v>86.88</v>
      </c>
      <c r="P936" s="11" t="n">
        <v>1.066667</v>
      </c>
      <c r="Q936" s="7" t="n">
        <v>32</v>
      </c>
      <c r="R936" s="7" t="n">
        <v>2</v>
      </c>
      <c r="S936" s="7" t="n">
        <v>0</v>
      </c>
      <c r="T936" s="7" t="n">
        <v>0</v>
      </c>
      <c r="U936" s="7" t="n">
        <v>26</v>
      </c>
      <c r="V936" s="7" t="n">
        <v>1</v>
      </c>
    </row>
    <row r="937" customFormat="false" ht="15" hidden="false" customHeight="false" outlineLevel="0" collapsed="false">
      <c r="A937" s="4" t="s">
        <v>3094</v>
      </c>
      <c r="B937" s="4" t="str">
        <f aca="false">IF(AND(I937&gt;='Read Me &amp; Markers'!$B$18,J937&gt;='Read Me &amp; Markers'!$B$19,L937&gt;='Read Me &amp; Markers'!$B$20),"A. Proven winner",IF(AND(I937&gt;='Read Me &amp; Markers'!$B$18,J937&gt;='Read Me &amp; Markers'!$B$19,L937&gt;='Read Me &amp; Markers'!$B$21),"B. Strong performer",IF(AND(I937&gt;='Read Me &amp; Markers'!$B$22,L937&gt;='Read Me &amp; Markers'!$B$23),"C. Scale workhorse",IF(AND(I937&gt;='Read Me &amp; Markers'!$B$24,I937&lt;'Read Me &amp; Markers'!$B$18,J937&gt;='Read Me &amp; Markers'!$B$25,L937&gt;='Read Me &amp; Markers'!$B$26),"D. Promising (needs more spend)",""))))</f>
        <v/>
      </c>
      <c r="C937" s="4" t="s">
        <v>3095</v>
      </c>
      <c r="D937" s="4" t="s">
        <v>109</v>
      </c>
      <c r="E937" s="4" t="s">
        <v>2620</v>
      </c>
      <c r="F937" s="4" t="s">
        <v>111</v>
      </c>
      <c r="G937" s="4" t="s">
        <v>739</v>
      </c>
      <c r="H937" s="4" t="s">
        <v>3096</v>
      </c>
      <c r="I937" s="5" t="n">
        <v>2.76</v>
      </c>
      <c r="J937" s="7" t="n">
        <v>0</v>
      </c>
      <c r="K937" s="5" t="n">
        <v>0</v>
      </c>
      <c r="L937" s="8" t="n">
        <v>0</v>
      </c>
      <c r="M937" s="9" t="n">
        <v>0</v>
      </c>
      <c r="N937" s="10" t="n">
        <v>0</v>
      </c>
      <c r="O937" s="5" t="n">
        <v>53.08</v>
      </c>
      <c r="P937" s="11" t="n">
        <v>1.444444</v>
      </c>
      <c r="Q937" s="7" t="n">
        <v>52</v>
      </c>
      <c r="R937" s="7" t="n">
        <v>0</v>
      </c>
      <c r="S937" s="7" t="n">
        <v>0</v>
      </c>
      <c r="T937" s="7" t="n">
        <v>0</v>
      </c>
      <c r="U937" s="7" t="n">
        <v>3</v>
      </c>
      <c r="V937" s="7" t="n">
        <v>0</v>
      </c>
    </row>
    <row r="938" customFormat="false" ht="15" hidden="false" customHeight="false" outlineLevel="0" collapsed="false">
      <c r="A938" s="4" t="s">
        <v>3097</v>
      </c>
      <c r="B938" s="4" t="str">
        <f aca="false">IF(AND(I938&gt;='Read Me &amp; Markers'!$B$18,J938&gt;='Read Me &amp; Markers'!$B$19,L938&gt;='Read Me &amp; Markers'!$B$20),"A. Proven winner",IF(AND(I938&gt;='Read Me &amp; Markers'!$B$18,J938&gt;='Read Me &amp; Markers'!$B$19,L938&gt;='Read Me &amp; Markers'!$B$21),"B. Strong performer",IF(AND(I938&gt;='Read Me &amp; Markers'!$B$22,L938&gt;='Read Me &amp; Markers'!$B$23),"C. Scale workhorse",IF(AND(I938&gt;='Read Me &amp; Markers'!$B$24,I938&lt;'Read Me &amp; Markers'!$B$18,J938&gt;='Read Me &amp; Markers'!$B$25,L938&gt;='Read Me &amp; Markers'!$B$26),"D. Promising (needs more spend)",""))))</f>
        <v/>
      </c>
      <c r="C938" s="4" t="s">
        <v>3098</v>
      </c>
      <c r="D938" s="4" t="s">
        <v>109</v>
      </c>
      <c r="E938" s="4" t="s">
        <v>424</v>
      </c>
      <c r="F938" s="4" t="s">
        <v>111</v>
      </c>
      <c r="G938" s="4" t="s">
        <v>425</v>
      </c>
      <c r="H938" s="4" t="s">
        <v>3099</v>
      </c>
      <c r="I938" s="5" t="n">
        <v>2.74</v>
      </c>
      <c r="J938" s="7" t="n">
        <v>0</v>
      </c>
      <c r="K938" s="5" t="n">
        <v>0</v>
      </c>
      <c r="L938" s="8" t="n">
        <v>0</v>
      </c>
      <c r="M938" s="9" t="n">
        <v>0</v>
      </c>
      <c r="N938" s="10" t="n">
        <v>0.09090909</v>
      </c>
      <c r="O938" s="5" t="n">
        <v>124.55</v>
      </c>
      <c r="P938" s="11" t="n">
        <v>1.047619</v>
      </c>
      <c r="Q938" s="7" t="n">
        <v>22</v>
      </c>
      <c r="R938" s="7" t="n">
        <v>2</v>
      </c>
      <c r="S938" s="7" t="n">
        <v>0</v>
      </c>
      <c r="T938" s="7" t="n">
        <v>0</v>
      </c>
      <c r="U938" s="7" t="n">
        <v>21</v>
      </c>
      <c r="V938" s="7" t="n">
        <v>6</v>
      </c>
    </row>
    <row r="939" customFormat="false" ht="15" hidden="false" customHeight="false" outlineLevel="0" collapsed="false">
      <c r="A939" s="4" t="s">
        <v>3100</v>
      </c>
      <c r="B939" s="4" t="str">
        <f aca="false">IF(AND(I939&gt;='Read Me &amp; Markers'!$B$18,J939&gt;='Read Me &amp; Markers'!$B$19,L939&gt;='Read Me &amp; Markers'!$B$20),"A. Proven winner",IF(AND(I939&gt;='Read Me &amp; Markers'!$B$18,J939&gt;='Read Me &amp; Markers'!$B$19,L939&gt;='Read Me &amp; Markers'!$B$21),"B. Strong performer",IF(AND(I939&gt;='Read Me &amp; Markers'!$B$22,L939&gt;='Read Me &amp; Markers'!$B$23),"C. Scale workhorse",IF(AND(I939&gt;='Read Me &amp; Markers'!$B$24,I939&lt;'Read Me &amp; Markers'!$B$18,J939&gt;='Read Me &amp; Markers'!$B$25,L939&gt;='Read Me &amp; Markers'!$B$26),"D. Promising (needs more spend)",""))))</f>
        <v/>
      </c>
      <c r="C939" s="4" t="s">
        <v>129</v>
      </c>
      <c r="D939" s="4" t="s">
        <v>100</v>
      </c>
      <c r="E939" s="4" t="s">
        <v>1662</v>
      </c>
      <c r="F939" s="4" t="s">
        <v>87</v>
      </c>
      <c r="G939" s="4" t="s">
        <v>294</v>
      </c>
      <c r="H939" s="4" t="s">
        <v>3101</v>
      </c>
      <c r="I939" s="5" t="n">
        <v>2.7</v>
      </c>
      <c r="J939" s="7" t="n">
        <v>0</v>
      </c>
      <c r="K939" s="5" t="n">
        <v>0</v>
      </c>
      <c r="L939" s="8" t="n">
        <v>0</v>
      </c>
      <c r="M939" s="9" t="n">
        <v>0</v>
      </c>
      <c r="N939" s="10" t="n">
        <v>0.04166667</v>
      </c>
      <c r="O939" s="5" t="n">
        <v>112.5</v>
      </c>
      <c r="P939" s="11" t="n">
        <v>1</v>
      </c>
      <c r="Q939" s="7" t="n">
        <v>24</v>
      </c>
      <c r="R939" s="7" t="n">
        <v>1</v>
      </c>
      <c r="S939" s="7" t="n">
        <v>0</v>
      </c>
      <c r="T939" s="7" t="n">
        <v>0</v>
      </c>
      <c r="U939" s="7" t="n">
        <v>19</v>
      </c>
      <c r="V939" s="7" t="n">
        <v>5</v>
      </c>
    </row>
    <row r="940" customFormat="false" ht="15" hidden="false" customHeight="false" outlineLevel="0" collapsed="false">
      <c r="A940" s="4" t="s">
        <v>3102</v>
      </c>
      <c r="B940" s="4" t="str">
        <f aca="false">IF(AND(I940&gt;='Read Me &amp; Markers'!$B$18,J940&gt;='Read Me &amp; Markers'!$B$19,L940&gt;='Read Me &amp; Markers'!$B$20),"A. Proven winner",IF(AND(I940&gt;='Read Me &amp; Markers'!$B$18,J940&gt;='Read Me &amp; Markers'!$B$19,L940&gt;='Read Me &amp; Markers'!$B$21),"B. Strong performer",IF(AND(I940&gt;='Read Me &amp; Markers'!$B$22,L940&gt;='Read Me &amp; Markers'!$B$23),"C. Scale workhorse",IF(AND(I940&gt;='Read Me &amp; Markers'!$B$24,I940&lt;'Read Me &amp; Markers'!$B$18,J940&gt;='Read Me &amp; Markers'!$B$25,L940&gt;='Read Me &amp; Markers'!$B$26),"D. Promising (needs more spend)",""))))</f>
        <v/>
      </c>
      <c r="C940" s="4" t="s">
        <v>3103</v>
      </c>
      <c r="D940" s="4" t="s">
        <v>109</v>
      </c>
      <c r="E940" s="4" t="s">
        <v>2620</v>
      </c>
      <c r="F940" s="4" t="s">
        <v>111</v>
      </c>
      <c r="G940" s="4" t="s">
        <v>739</v>
      </c>
      <c r="H940" s="4" t="s">
        <v>3104</v>
      </c>
      <c r="I940" s="5" t="n">
        <v>2.68</v>
      </c>
      <c r="J940" s="7" t="n">
        <v>0</v>
      </c>
      <c r="K940" s="5" t="n">
        <v>0</v>
      </c>
      <c r="L940" s="8" t="n">
        <v>0</v>
      </c>
      <c r="M940" s="9" t="n">
        <v>0</v>
      </c>
      <c r="N940" s="10" t="n">
        <v>0</v>
      </c>
      <c r="O940" s="5" t="n">
        <v>157.65</v>
      </c>
      <c r="P940" s="11" t="n">
        <v>1.888889</v>
      </c>
      <c r="Q940" s="7" t="n">
        <v>17</v>
      </c>
      <c r="R940" s="7" t="n">
        <v>0</v>
      </c>
      <c r="S940" s="7" t="n">
        <v>0</v>
      </c>
      <c r="T940" s="7" t="n">
        <v>0</v>
      </c>
      <c r="U940" s="7" t="n">
        <v>0</v>
      </c>
      <c r="V940" s="7" t="n">
        <v>0</v>
      </c>
    </row>
    <row r="941" customFormat="false" ht="15" hidden="false" customHeight="false" outlineLevel="0" collapsed="false">
      <c r="A941" s="4" t="s">
        <v>3105</v>
      </c>
      <c r="B941" s="4" t="str">
        <f aca="false">IF(AND(I941&gt;='Read Me &amp; Markers'!$B$18,J941&gt;='Read Me &amp; Markers'!$B$19,L941&gt;='Read Me &amp; Markers'!$B$20),"A. Proven winner",IF(AND(I941&gt;='Read Me &amp; Markers'!$B$18,J941&gt;='Read Me &amp; Markers'!$B$19,L941&gt;='Read Me &amp; Markers'!$B$21),"B. Strong performer",IF(AND(I941&gt;='Read Me &amp; Markers'!$B$22,L941&gt;='Read Me &amp; Markers'!$B$23),"C. Scale workhorse",IF(AND(I941&gt;='Read Me &amp; Markers'!$B$24,I941&lt;'Read Me &amp; Markers'!$B$18,J941&gt;='Read Me &amp; Markers'!$B$25,L941&gt;='Read Me &amp; Markers'!$B$26),"D. Promising (needs more spend)",""))))</f>
        <v/>
      </c>
      <c r="C941" s="4" t="s">
        <v>3106</v>
      </c>
      <c r="D941" s="4" t="s">
        <v>109</v>
      </c>
      <c r="E941" s="4" t="s">
        <v>512</v>
      </c>
      <c r="F941" s="4" t="s">
        <v>111</v>
      </c>
      <c r="G941" s="4" t="s">
        <v>490</v>
      </c>
      <c r="H941" s="4" t="s">
        <v>3107</v>
      </c>
      <c r="I941" s="5" t="n">
        <v>2.68</v>
      </c>
      <c r="J941" s="7" t="n">
        <v>0</v>
      </c>
      <c r="K941" s="5" t="n">
        <v>0</v>
      </c>
      <c r="L941" s="8" t="n">
        <v>0</v>
      </c>
      <c r="M941" s="9" t="n">
        <v>0</v>
      </c>
      <c r="N941" s="10" t="n">
        <v>0</v>
      </c>
      <c r="O941" s="5" t="n">
        <v>50.57</v>
      </c>
      <c r="P941" s="11" t="n">
        <v>1.292683</v>
      </c>
      <c r="Q941" s="7" t="n">
        <v>53</v>
      </c>
      <c r="R941" s="7" t="n">
        <v>0</v>
      </c>
      <c r="S941" s="7" t="n">
        <v>0</v>
      </c>
      <c r="T941" s="7" t="n">
        <v>0</v>
      </c>
      <c r="U941" s="7" t="n">
        <v>0</v>
      </c>
      <c r="V941" s="7" t="n">
        <v>0</v>
      </c>
    </row>
    <row r="942" customFormat="false" ht="15" hidden="false" customHeight="false" outlineLevel="0" collapsed="false">
      <c r="A942" s="4" t="s">
        <v>3108</v>
      </c>
      <c r="B942" s="4" t="str">
        <f aca="false">IF(AND(I942&gt;='Read Me &amp; Markers'!$B$18,J942&gt;='Read Me &amp; Markers'!$B$19,L942&gt;='Read Me &amp; Markers'!$B$20),"A. Proven winner",IF(AND(I942&gt;='Read Me &amp; Markers'!$B$18,J942&gt;='Read Me &amp; Markers'!$B$19,L942&gt;='Read Me &amp; Markers'!$B$21),"B. Strong performer",IF(AND(I942&gt;='Read Me &amp; Markers'!$B$22,L942&gt;='Read Me &amp; Markers'!$B$23),"C. Scale workhorse",IF(AND(I942&gt;='Read Me &amp; Markers'!$B$24,I942&lt;'Read Me &amp; Markers'!$B$18,J942&gt;='Read Me &amp; Markers'!$B$25,L942&gt;='Read Me &amp; Markers'!$B$26),"D. Promising (needs more spend)",""))))</f>
        <v/>
      </c>
      <c r="C942" s="4" t="s">
        <v>121</v>
      </c>
      <c r="D942" s="4" t="s">
        <v>206</v>
      </c>
      <c r="E942" s="4" t="s">
        <v>1369</v>
      </c>
      <c r="F942" s="4" t="s">
        <v>253</v>
      </c>
      <c r="G942" s="4" t="s">
        <v>254</v>
      </c>
      <c r="H942" s="4" t="s">
        <v>3109</v>
      </c>
      <c r="I942" s="5" t="n">
        <v>2.66</v>
      </c>
      <c r="J942" s="7" t="n">
        <v>0</v>
      </c>
      <c r="K942" s="5" t="n">
        <v>0</v>
      </c>
      <c r="L942" s="8" t="n">
        <v>0</v>
      </c>
      <c r="M942" s="9" t="n">
        <v>0</v>
      </c>
      <c r="N942" s="10" t="n">
        <v>0.08108108</v>
      </c>
      <c r="O942" s="5" t="n">
        <v>71.89</v>
      </c>
      <c r="P942" s="11" t="n">
        <v>1.027778</v>
      </c>
      <c r="Q942" s="7" t="n">
        <v>37</v>
      </c>
      <c r="R942" s="7" t="n">
        <v>3</v>
      </c>
      <c r="S942" s="7" t="n">
        <v>0</v>
      </c>
      <c r="T942" s="7" t="n">
        <v>0</v>
      </c>
      <c r="U942" s="7" t="n">
        <v>30</v>
      </c>
      <c r="V942" s="7" t="n">
        <v>2</v>
      </c>
    </row>
    <row r="943" customFormat="false" ht="15" hidden="false" customHeight="false" outlineLevel="0" collapsed="false">
      <c r="A943" s="4" t="s">
        <v>3110</v>
      </c>
      <c r="B943" s="4" t="str">
        <f aca="false">IF(AND(I943&gt;='Read Me &amp; Markers'!$B$18,J943&gt;='Read Me &amp; Markers'!$B$19,L943&gt;='Read Me &amp; Markers'!$B$20),"A. Proven winner",IF(AND(I943&gt;='Read Me &amp; Markers'!$B$18,J943&gt;='Read Me &amp; Markers'!$B$19,L943&gt;='Read Me &amp; Markers'!$B$21),"B. Strong performer",IF(AND(I943&gt;='Read Me &amp; Markers'!$B$22,L943&gt;='Read Me &amp; Markers'!$B$23),"C. Scale workhorse",IF(AND(I943&gt;='Read Me &amp; Markers'!$B$24,I943&lt;'Read Me &amp; Markers'!$B$18,J943&gt;='Read Me &amp; Markers'!$B$25,L943&gt;='Read Me &amp; Markers'!$B$26),"D. Promising (needs more spend)",""))))</f>
        <v/>
      </c>
      <c r="C943" s="4" t="s">
        <v>3111</v>
      </c>
      <c r="D943" s="4" t="s">
        <v>109</v>
      </c>
      <c r="E943" s="4" t="s">
        <v>435</v>
      </c>
      <c r="F943" s="4" t="s">
        <v>111</v>
      </c>
      <c r="G943" s="4" t="s">
        <v>500</v>
      </c>
      <c r="H943" s="4" t="s">
        <v>3112</v>
      </c>
      <c r="I943" s="5" t="n">
        <v>2.64</v>
      </c>
      <c r="J943" s="7" t="n">
        <v>0</v>
      </c>
      <c r="K943" s="5" t="n">
        <v>0</v>
      </c>
      <c r="L943" s="8" t="n">
        <v>0</v>
      </c>
      <c r="M943" s="9" t="n">
        <v>0</v>
      </c>
      <c r="N943" s="10" t="n">
        <v>0.01075269</v>
      </c>
      <c r="O943" s="5" t="n">
        <v>28.39</v>
      </c>
      <c r="P943" s="11" t="n">
        <v>1.1625</v>
      </c>
      <c r="Q943" s="7" t="n">
        <v>93</v>
      </c>
      <c r="R943" s="7" t="n">
        <v>1</v>
      </c>
      <c r="S943" s="7" t="n">
        <v>0</v>
      </c>
      <c r="T943" s="7" t="n">
        <v>0</v>
      </c>
      <c r="U943" s="7" t="n">
        <v>0</v>
      </c>
      <c r="V943" s="7" t="n">
        <v>0</v>
      </c>
    </row>
    <row r="944" customFormat="false" ht="15" hidden="false" customHeight="false" outlineLevel="0" collapsed="false">
      <c r="A944" s="4" t="s">
        <v>3113</v>
      </c>
      <c r="B944" s="4" t="str">
        <f aca="false">IF(AND(I944&gt;='Read Me &amp; Markers'!$B$18,J944&gt;='Read Me &amp; Markers'!$B$19,L944&gt;='Read Me &amp; Markers'!$B$20),"A. Proven winner",IF(AND(I944&gt;='Read Me &amp; Markers'!$B$18,J944&gt;='Read Me &amp; Markers'!$B$19,L944&gt;='Read Me &amp; Markers'!$B$21),"B. Strong performer",IF(AND(I944&gt;='Read Me &amp; Markers'!$B$22,L944&gt;='Read Me &amp; Markers'!$B$23),"C. Scale workhorse",IF(AND(I944&gt;='Read Me &amp; Markers'!$B$24,I944&lt;'Read Me &amp; Markers'!$B$18,J944&gt;='Read Me &amp; Markers'!$B$25,L944&gt;='Read Me &amp; Markers'!$B$26),"D. Promising (needs more spend)",""))))</f>
        <v/>
      </c>
      <c r="C944" s="4" t="s">
        <v>169</v>
      </c>
      <c r="D944" s="4" t="s">
        <v>100</v>
      </c>
      <c r="E944" s="4" t="s">
        <v>1662</v>
      </c>
      <c r="F944" s="4" t="s">
        <v>87</v>
      </c>
      <c r="G944" s="4" t="s">
        <v>294</v>
      </c>
      <c r="H944" s="4" t="s">
        <v>3114</v>
      </c>
      <c r="I944" s="5" t="n">
        <v>2.63</v>
      </c>
      <c r="J944" s="7" t="n">
        <v>0</v>
      </c>
      <c r="K944" s="5" t="n">
        <v>0</v>
      </c>
      <c r="L944" s="8" t="n">
        <v>0</v>
      </c>
      <c r="M944" s="9" t="n">
        <v>0</v>
      </c>
      <c r="N944" s="10" t="n">
        <v>0.02040816</v>
      </c>
      <c r="O944" s="5" t="n">
        <v>53.67</v>
      </c>
      <c r="P944" s="11" t="n">
        <v>1.113636</v>
      </c>
      <c r="Q944" s="7" t="n">
        <v>49</v>
      </c>
      <c r="R944" s="7" t="n">
        <v>1</v>
      </c>
      <c r="S944" s="7" t="n">
        <v>2</v>
      </c>
      <c r="T944" s="7" t="n">
        <v>1</v>
      </c>
      <c r="U944" s="7" t="n">
        <v>43</v>
      </c>
      <c r="V944" s="7" t="n">
        <v>5</v>
      </c>
    </row>
    <row r="945" customFormat="false" ht="15" hidden="false" customHeight="false" outlineLevel="0" collapsed="false">
      <c r="A945" s="4" t="s">
        <v>3115</v>
      </c>
      <c r="B945" s="4" t="str">
        <f aca="false">IF(AND(I945&gt;='Read Me &amp; Markers'!$B$18,J945&gt;='Read Me &amp; Markers'!$B$19,L945&gt;='Read Me &amp; Markers'!$B$20),"A. Proven winner",IF(AND(I945&gt;='Read Me &amp; Markers'!$B$18,J945&gt;='Read Me &amp; Markers'!$B$19,L945&gt;='Read Me &amp; Markers'!$B$21),"B. Strong performer",IF(AND(I945&gt;='Read Me &amp; Markers'!$B$22,L945&gt;='Read Me &amp; Markers'!$B$23),"C. Scale workhorse",IF(AND(I945&gt;='Read Me &amp; Markers'!$B$24,I945&lt;'Read Me &amp; Markers'!$B$18,J945&gt;='Read Me &amp; Markers'!$B$25,L945&gt;='Read Me &amp; Markers'!$B$26),"D. Promising (needs more spend)",""))))</f>
        <v/>
      </c>
      <c r="C945" s="4" t="s">
        <v>129</v>
      </c>
      <c r="D945" s="4" t="s">
        <v>154</v>
      </c>
      <c r="E945" s="4" t="s">
        <v>3116</v>
      </c>
      <c r="F945" s="4" t="s">
        <v>253</v>
      </c>
      <c r="G945" s="4" t="s">
        <v>142</v>
      </c>
      <c r="H945" s="4" t="s">
        <v>3117</v>
      </c>
      <c r="I945" s="5" t="n">
        <v>2.61</v>
      </c>
      <c r="J945" s="7" t="n">
        <v>0</v>
      </c>
      <c r="K945" s="5" t="n">
        <v>0</v>
      </c>
      <c r="L945" s="8" t="n">
        <v>0</v>
      </c>
      <c r="M945" s="9" t="n">
        <v>0</v>
      </c>
      <c r="N945" s="10" t="n">
        <v>0.01851852</v>
      </c>
      <c r="O945" s="5" t="n">
        <v>48.33</v>
      </c>
      <c r="P945" s="11" t="n">
        <v>1.125</v>
      </c>
      <c r="Q945" s="7" t="n">
        <v>54</v>
      </c>
      <c r="R945" s="7" t="n">
        <v>1</v>
      </c>
      <c r="S945" s="7" t="n">
        <v>0</v>
      </c>
      <c r="T945" s="7" t="n">
        <v>0</v>
      </c>
      <c r="U945" s="7" t="n">
        <v>31</v>
      </c>
      <c r="V945" s="7" t="n">
        <v>2</v>
      </c>
    </row>
    <row r="946" customFormat="false" ht="15" hidden="false" customHeight="false" outlineLevel="0" collapsed="false">
      <c r="A946" s="4" t="s">
        <v>3118</v>
      </c>
      <c r="B946" s="4" t="str">
        <f aca="false">IF(AND(I946&gt;='Read Me &amp; Markers'!$B$18,J946&gt;='Read Me &amp; Markers'!$B$19,L946&gt;='Read Me &amp; Markers'!$B$20),"A. Proven winner",IF(AND(I946&gt;='Read Me &amp; Markers'!$B$18,J946&gt;='Read Me &amp; Markers'!$B$19,L946&gt;='Read Me &amp; Markers'!$B$21),"B. Strong performer",IF(AND(I946&gt;='Read Me &amp; Markers'!$B$22,L946&gt;='Read Me &amp; Markers'!$B$23),"C. Scale workhorse",IF(AND(I946&gt;='Read Me &amp; Markers'!$B$24,I946&lt;'Read Me &amp; Markers'!$B$18,J946&gt;='Read Me &amp; Markers'!$B$25,L946&gt;='Read Me &amp; Markers'!$B$26),"D. Promising (needs more spend)",""))))</f>
        <v/>
      </c>
      <c r="C946" s="4" t="s">
        <v>3119</v>
      </c>
      <c r="D946" s="4" t="s">
        <v>109</v>
      </c>
      <c r="E946" s="4" t="s">
        <v>435</v>
      </c>
      <c r="F946" s="4" t="s">
        <v>111</v>
      </c>
      <c r="G946" s="4" t="s">
        <v>500</v>
      </c>
      <c r="H946" s="4" t="s">
        <v>3120</v>
      </c>
      <c r="I946" s="5" t="n">
        <v>2.6</v>
      </c>
      <c r="J946" s="7" t="n">
        <v>0</v>
      </c>
      <c r="K946" s="5" t="n">
        <v>0</v>
      </c>
      <c r="L946" s="8" t="n">
        <v>0</v>
      </c>
      <c r="M946" s="9" t="n">
        <v>0</v>
      </c>
      <c r="N946" s="10" t="n">
        <v>0</v>
      </c>
      <c r="O946" s="5" t="n">
        <v>144.44</v>
      </c>
      <c r="P946" s="11" t="n">
        <v>1.285714</v>
      </c>
      <c r="Q946" s="7" t="n">
        <v>18</v>
      </c>
      <c r="R946" s="7" t="n">
        <v>0</v>
      </c>
      <c r="S946" s="7" t="n">
        <v>0</v>
      </c>
      <c r="T946" s="7" t="n">
        <v>0</v>
      </c>
      <c r="U946" s="7" t="n">
        <v>0</v>
      </c>
      <c r="V946" s="7" t="n">
        <v>0</v>
      </c>
    </row>
    <row r="947" customFormat="false" ht="15" hidden="false" customHeight="false" outlineLevel="0" collapsed="false">
      <c r="A947" s="4" t="s">
        <v>3121</v>
      </c>
      <c r="B947" s="4" t="str">
        <f aca="false">IF(AND(I947&gt;='Read Me &amp; Markers'!$B$18,J947&gt;='Read Me &amp; Markers'!$B$19,L947&gt;='Read Me &amp; Markers'!$B$20),"A. Proven winner",IF(AND(I947&gt;='Read Me &amp; Markers'!$B$18,J947&gt;='Read Me &amp; Markers'!$B$19,L947&gt;='Read Me &amp; Markers'!$B$21),"B. Strong performer",IF(AND(I947&gt;='Read Me &amp; Markers'!$B$22,L947&gt;='Read Me &amp; Markers'!$B$23),"C. Scale workhorse",IF(AND(I947&gt;='Read Me &amp; Markers'!$B$24,I947&lt;'Read Me &amp; Markers'!$B$18,J947&gt;='Read Me &amp; Markers'!$B$25,L947&gt;='Read Me &amp; Markers'!$B$26),"D. Promising (needs more spend)",""))))</f>
        <v/>
      </c>
      <c r="C947" s="4" t="s">
        <v>3122</v>
      </c>
      <c r="D947" s="4" t="s">
        <v>109</v>
      </c>
      <c r="E947" s="4" t="s">
        <v>482</v>
      </c>
      <c r="F947" s="4" t="s">
        <v>111</v>
      </c>
      <c r="G947" s="4" t="s">
        <v>483</v>
      </c>
      <c r="H947" s="4" t="s">
        <v>3123</v>
      </c>
      <c r="I947" s="5" t="n">
        <v>2.57</v>
      </c>
      <c r="J947" s="7" t="n">
        <v>0</v>
      </c>
      <c r="K947" s="5" t="n">
        <v>0</v>
      </c>
      <c r="L947" s="8" t="n">
        <v>0</v>
      </c>
      <c r="M947" s="9" t="n">
        <v>0</v>
      </c>
      <c r="N947" s="10" t="n">
        <v>0</v>
      </c>
      <c r="O947" s="5" t="n">
        <v>82.9</v>
      </c>
      <c r="P947" s="11" t="n">
        <v>1.409091</v>
      </c>
      <c r="Q947" s="7" t="n">
        <v>31</v>
      </c>
      <c r="R947" s="7" t="n">
        <v>0</v>
      </c>
      <c r="S947" s="7" t="n">
        <v>0</v>
      </c>
      <c r="T947" s="7" t="n">
        <v>0</v>
      </c>
      <c r="U947" s="7" t="n">
        <v>1</v>
      </c>
      <c r="V947" s="7" t="n">
        <v>0</v>
      </c>
    </row>
    <row r="948" customFormat="false" ht="15" hidden="false" customHeight="false" outlineLevel="0" collapsed="false">
      <c r="A948" s="4" t="s">
        <v>3124</v>
      </c>
      <c r="B948" s="4" t="str">
        <f aca="false">IF(AND(I948&gt;='Read Me &amp; Markers'!$B$18,J948&gt;='Read Me &amp; Markers'!$B$19,L948&gt;='Read Me &amp; Markers'!$B$20),"A. Proven winner",IF(AND(I948&gt;='Read Me &amp; Markers'!$B$18,J948&gt;='Read Me &amp; Markers'!$B$19,L948&gt;='Read Me &amp; Markers'!$B$21),"B. Strong performer",IF(AND(I948&gt;='Read Me &amp; Markers'!$B$22,L948&gt;='Read Me &amp; Markers'!$B$23),"C. Scale workhorse",IF(AND(I948&gt;='Read Me &amp; Markers'!$B$24,I948&lt;'Read Me &amp; Markers'!$B$18,J948&gt;='Read Me &amp; Markers'!$B$25,L948&gt;='Read Me &amp; Markers'!$B$26),"D. Promising (needs more spend)",""))))</f>
        <v/>
      </c>
      <c r="C948" s="4" t="s">
        <v>3125</v>
      </c>
      <c r="D948" s="4" t="s">
        <v>109</v>
      </c>
      <c r="E948" s="4" t="s">
        <v>1936</v>
      </c>
      <c r="F948" s="4" t="s">
        <v>111</v>
      </c>
      <c r="G948" s="4" t="s">
        <v>1937</v>
      </c>
      <c r="H948" s="4" t="s">
        <v>3126</v>
      </c>
      <c r="I948" s="5" t="n">
        <v>2.56</v>
      </c>
      <c r="J948" s="7" t="n">
        <v>0</v>
      </c>
      <c r="K948" s="5" t="n">
        <v>0</v>
      </c>
      <c r="L948" s="8" t="n">
        <v>0</v>
      </c>
      <c r="M948" s="9" t="n">
        <v>0</v>
      </c>
      <c r="N948" s="10" t="n">
        <v>0.05882353</v>
      </c>
      <c r="O948" s="5" t="n">
        <v>150.59</v>
      </c>
      <c r="P948" s="11" t="n">
        <v>1.133333</v>
      </c>
      <c r="Q948" s="7" t="n">
        <v>17</v>
      </c>
      <c r="R948" s="7" t="n">
        <v>1</v>
      </c>
      <c r="S948" s="7" t="n">
        <v>0</v>
      </c>
      <c r="T948" s="7" t="n">
        <v>0</v>
      </c>
      <c r="U948" s="7" t="n">
        <v>16</v>
      </c>
      <c r="V948" s="7" t="n">
        <v>4</v>
      </c>
    </row>
    <row r="949" customFormat="false" ht="15" hidden="false" customHeight="false" outlineLevel="0" collapsed="false">
      <c r="A949" s="4" t="s">
        <v>3127</v>
      </c>
      <c r="B949" s="4" t="str">
        <f aca="false">IF(AND(I949&gt;='Read Me &amp; Markers'!$B$18,J949&gt;='Read Me &amp; Markers'!$B$19,L949&gt;='Read Me &amp; Markers'!$B$20),"A. Proven winner",IF(AND(I949&gt;='Read Me &amp; Markers'!$B$18,J949&gt;='Read Me &amp; Markers'!$B$19,L949&gt;='Read Me &amp; Markers'!$B$21),"B. Strong performer",IF(AND(I949&gt;='Read Me &amp; Markers'!$B$22,L949&gt;='Read Me &amp; Markers'!$B$23),"C. Scale workhorse",IF(AND(I949&gt;='Read Me &amp; Markers'!$B$24,I949&lt;'Read Me &amp; Markers'!$B$18,J949&gt;='Read Me &amp; Markers'!$B$25,L949&gt;='Read Me &amp; Markers'!$B$26),"D. Promising (needs more spend)",""))))</f>
        <v/>
      </c>
      <c r="C949" s="4" t="s">
        <v>3128</v>
      </c>
      <c r="D949" s="4" t="s">
        <v>109</v>
      </c>
      <c r="E949" s="4" t="s">
        <v>1736</v>
      </c>
      <c r="F949" s="4" t="s">
        <v>111</v>
      </c>
      <c r="G949" s="4" t="s">
        <v>286</v>
      </c>
      <c r="H949" s="4" t="s">
        <v>3129</v>
      </c>
      <c r="I949" s="5" t="n">
        <v>2.56</v>
      </c>
      <c r="J949" s="7" t="n">
        <v>0</v>
      </c>
      <c r="K949" s="5" t="n">
        <v>0</v>
      </c>
      <c r="L949" s="8" t="n">
        <v>0</v>
      </c>
      <c r="M949" s="9" t="n">
        <v>0</v>
      </c>
      <c r="N949" s="10" t="n">
        <v>0</v>
      </c>
      <c r="O949" s="5" t="n">
        <v>284.44</v>
      </c>
      <c r="P949" s="11" t="n">
        <v>1.125</v>
      </c>
      <c r="Q949" s="7" t="n">
        <v>9</v>
      </c>
      <c r="R949" s="7" t="n">
        <v>0</v>
      </c>
      <c r="S949" s="7" t="n">
        <v>0</v>
      </c>
      <c r="T949" s="7" t="n">
        <v>0</v>
      </c>
      <c r="U949" s="7" t="n">
        <v>9</v>
      </c>
      <c r="V949" s="7" t="n">
        <v>1</v>
      </c>
    </row>
    <row r="950" customFormat="false" ht="15" hidden="false" customHeight="false" outlineLevel="0" collapsed="false">
      <c r="A950" s="4" t="s">
        <v>3130</v>
      </c>
      <c r="B950" s="4" t="str">
        <f aca="false">IF(AND(I950&gt;='Read Me &amp; Markers'!$B$18,J950&gt;='Read Me &amp; Markers'!$B$19,L950&gt;='Read Me &amp; Markers'!$B$20),"A. Proven winner",IF(AND(I950&gt;='Read Me &amp; Markers'!$B$18,J950&gt;='Read Me &amp; Markers'!$B$19,L950&gt;='Read Me &amp; Markers'!$B$21),"B. Strong performer",IF(AND(I950&gt;='Read Me &amp; Markers'!$B$22,L950&gt;='Read Me &amp; Markers'!$B$23),"C. Scale workhorse",IF(AND(I950&gt;='Read Me &amp; Markers'!$B$24,I950&lt;'Read Me &amp; Markers'!$B$18,J950&gt;='Read Me &amp; Markers'!$B$25,L950&gt;='Read Me &amp; Markers'!$B$26),"D. Promising (needs more spend)",""))))</f>
        <v/>
      </c>
      <c r="C950" s="4" t="s">
        <v>169</v>
      </c>
      <c r="D950" s="4" t="s">
        <v>206</v>
      </c>
      <c r="E950" s="4" t="s">
        <v>3131</v>
      </c>
      <c r="F950" s="4" t="s">
        <v>253</v>
      </c>
      <c r="G950" s="4" t="s">
        <v>1363</v>
      </c>
      <c r="H950" s="4" t="s">
        <v>3132</v>
      </c>
      <c r="I950" s="5" t="n">
        <v>2.56</v>
      </c>
      <c r="J950" s="7" t="n">
        <v>0</v>
      </c>
      <c r="K950" s="5" t="n">
        <v>0</v>
      </c>
      <c r="L950" s="8" t="n">
        <v>0</v>
      </c>
      <c r="M950" s="9" t="n">
        <v>0</v>
      </c>
      <c r="N950" s="10" t="n">
        <v>0.02631579</v>
      </c>
      <c r="O950" s="5" t="n">
        <v>67.37</v>
      </c>
      <c r="P950" s="11" t="n">
        <v>1.027027</v>
      </c>
      <c r="Q950" s="7" t="n">
        <v>38</v>
      </c>
      <c r="R950" s="7" t="n">
        <v>1</v>
      </c>
      <c r="S950" s="7" t="n">
        <v>0</v>
      </c>
      <c r="T950" s="7" t="n">
        <v>0</v>
      </c>
      <c r="U950" s="7" t="n">
        <v>30</v>
      </c>
      <c r="V950" s="7" t="n">
        <v>0</v>
      </c>
    </row>
    <row r="951" customFormat="false" ht="15" hidden="false" customHeight="false" outlineLevel="0" collapsed="false">
      <c r="A951" s="4" t="s">
        <v>3133</v>
      </c>
      <c r="B951" s="4" t="str">
        <f aca="false">IF(AND(I951&gt;='Read Me &amp; Markers'!$B$18,J951&gt;='Read Me &amp; Markers'!$B$19,L951&gt;='Read Me &amp; Markers'!$B$20),"A. Proven winner",IF(AND(I951&gt;='Read Me &amp; Markers'!$B$18,J951&gt;='Read Me &amp; Markers'!$B$19,L951&gt;='Read Me &amp; Markers'!$B$21),"B. Strong performer",IF(AND(I951&gt;='Read Me &amp; Markers'!$B$22,L951&gt;='Read Me &amp; Markers'!$B$23),"C. Scale workhorse",IF(AND(I951&gt;='Read Me &amp; Markers'!$B$24,I951&lt;'Read Me &amp; Markers'!$B$18,J951&gt;='Read Me &amp; Markers'!$B$25,L951&gt;='Read Me &amp; Markers'!$B$26),"D. Promising (needs more spend)",""))))</f>
        <v/>
      </c>
      <c r="C951" s="4" t="s">
        <v>3134</v>
      </c>
      <c r="D951" s="4" t="s">
        <v>1204</v>
      </c>
      <c r="E951" s="4" t="s">
        <v>3135</v>
      </c>
      <c r="F951" s="4" t="s">
        <v>253</v>
      </c>
      <c r="G951" s="4" t="s">
        <v>1206</v>
      </c>
      <c r="H951" s="4" t="s">
        <v>3136</v>
      </c>
      <c r="I951" s="5" t="n">
        <v>2.49</v>
      </c>
      <c r="J951" s="7" t="n">
        <v>0</v>
      </c>
      <c r="K951" s="5" t="n">
        <v>0</v>
      </c>
      <c r="L951" s="8" t="n">
        <v>0</v>
      </c>
      <c r="M951" s="9" t="n">
        <v>0</v>
      </c>
      <c r="N951" s="10" t="n">
        <v>0.025</v>
      </c>
      <c r="O951" s="5" t="n">
        <v>62.25</v>
      </c>
      <c r="P951" s="11" t="n">
        <v>1.290323</v>
      </c>
      <c r="Q951" s="7" t="n">
        <v>40</v>
      </c>
      <c r="R951" s="7" t="n">
        <v>1</v>
      </c>
      <c r="S951" s="7" t="n">
        <v>0</v>
      </c>
      <c r="T951" s="7" t="n">
        <v>0</v>
      </c>
      <c r="U951" s="7" t="n">
        <v>33</v>
      </c>
      <c r="V951" s="7" t="n">
        <v>3</v>
      </c>
    </row>
    <row r="952" customFormat="false" ht="15" hidden="false" customHeight="false" outlineLevel="0" collapsed="false">
      <c r="A952" s="4" t="s">
        <v>3137</v>
      </c>
      <c r="B952" s="4" t="str">
        <f aca="false">IF(AND(I952&gt;='Read Me &amp; Markers'!$B$18,J952&gt;='Read Me &amp; Markers'!$B$19,L952&gt;='Read Me &amp; Markers'!$B$20),"A. Proven winner",IF(AND(I952&gt;='Read Me &amp; Markers'!$B$18,J952&gt;='Read Me &amp; Markers'!$B$19,L952&gt;='Read Me &amp; Markers'!$B$21),"B. Strong performer",IF(AND(I952&gt;='Read Me &amp; Markers'!$B$22,L952&gt;='Read Me &amp; Markers'!$B$23),"C. Scale workhorse",IF(AND(I952&gt;='Read Me &amp; Markers'!$B$24,I952&lt;'Read Me &amp; Markers'!$B$18,J952&gt;='Read Me &amp; Markers'!$B$25,L952&gt;='Read Me &amp; Markers'!$B$26),"D. Promising (needs more spend)",""))))</f>
        <v/>
      </c>
      <c r="C952" s="4" t="s">
        <v>121</v>
      </c>
      <c r="D952" s="4" t="s">
        <v>154</v>
      </c>
      <c r="E952" s="4" t="s">
        <v>3138</v>
      </c>
      <c r="F952" s="4" t="s">
        <v>253</v>
      </c>
      <c r="G952" s="4" t="s">
        <v>2136</v>
      </c>
      <c r="H952" s="4" t="s">
        <v>3139</v>
      </c>
      <c r="I952" s="5" t="n">
        <v>2.48</v>
      </c>
      <c r="J952" s="7" t="n">
        <v>0</v>
      </c>
      <c r="K952" s="5" t="n">
        <v>0</v>
      </c>
      <c r="L952" s="8" t="n">
        <v>0</v>
      </c>
      <c r="M952" s="9" t="n">
        <v>0</v>
      </c>
      <c r="N952" s="10" t="n">
        <v>0</v>
      </c>
      <c r="O952" s="5" t="n">
        <v>67.03</v>
      </c>
      <c r="P952" s="11" t="n">
        <v>1.233333</v>
      </c>
      <c r="Q952" s="7" t="n">
        <v>37</v>
      </c>
      <c r="R952" s="7" t="n">
        <v>0</v>
      </c>
      <c r="S952" s="7" t="n">
        <v>0</v>
      </c>
      <c r="T952" s="7" t="n">
        <v>0</v>
      </c>
      <c r="U952" s="7" t="n">
        <v>21</v>
      </c>
      <c r="V952" s="7" t="n">
        <v>3</v>
      </c>
    </row>
    <row r="953" customFormat="false" ht="15" hidden="false" customHeight="false" outlineLevel="0" collapsed="false">
      <c r="A953" s="4" t="s">
        <v>3140</v>
      </c>
      <c r="B953" s="4" t="str">
        <f aca="false">IF(AND(I953&gt;='Read Me &amp; Markers'!$B$18,J953&gt;='Read Me &amp; Markers'!$B$19,L953&gt;='Read Me &amp; Markers'!$B$20),"A. Proven winner",IF(AND(I953&gt;='Read Me &amp; Markers'!$B$18,J953&gt;='Read Me &amp; Markers'!$B$19,L953&gt;='Read Me &amp; Markers'!$B$21),"B. Strong performer",IF(AND(I953&gt;='Read Me &amp; Markers'!$B$22,L953&gt;='Read Me &amp; Markers'!$B$23),"C. Scale workhorse",IF(AND(I953&gt;='Read Me &amp; Markers'!$B$24,I953&lt;'Read Me &amp; Markers'!$B$18,J953&gt;='Read Me &amp; Markers'!$B$25,L953&gt;='Read Me &amp; Markers'!$B$26),"D. Promising (needs more spend)",""))))</f>
        <v/>
      </c>
      <c r="C953" s="4" t="s">
        <v>3141</v>
      </c>
      <c r="D953" s="4" t="s">
        <v>109</v>
      </c>
      <c r="E953" s="4" t="s">
        <v>435</v>
      </c>
      <c r="F953" s="4" t="s">
        <v>111</v>
      </c>
      <c r="G953" s="4" t="s">
        <v>500</v>
      </c>
      <c r="H953" s="4" t="s">
        <v>3142</v>
      </c>
      <c r="I953" s="5" t="n">
        <v>2.47</v>
      </c>
      <c r="J953" s="7" t="n">
        <v>0</v>
      </c>
      <c r="K953" s="5" t="n">
        <v>0</v>
      </c>
      <c r="L953" s="8" t="n">
        <v>0</v>
      </c>
      <c r="M953" s="9" t="n">
        <v>0</v>
      </c>
      <c r="N953" s="10" t="n">
        <v>0</v>
      </c>
      <c r="O953" s="5" t="n">
        <v>72.65</v>
      </c>
      <c r="P953" s="11" t="n">
        <v>1.416667</v>
      </c>
      <c r="Q953" s="7" t="n">
        <v>34</v>
      </c>
      <c r="R953" s="7" t="n">
        <v>0</v>
      </c>
      <c r="S953" s="7" t="n">
        <v>0</v>
      </c>
      <c r="T953" s="7" t="n">
        <v>0</v>
      </c>
      <c r="U953" s="7" t="n">
        <v>0</v>
      </c>
      <c r="V953" s="7" t="n">
        <v>0</v>
      </c>
    </row>
    <row r="954" customFormat="false" ht="15" hidden="false" customHeight="false" outlineLevel="0" collapsed="false">
      <c r="A954" s="4" t="s">
        <v>3143</v>
      </c>
      <c r="B954" s="4" t="str">
        <f aca="false">IF(AND(I954&gt;='Read Me &amp; Markers'!$B$18,J954&gt;='Read Me &amp; Markers'!$B$19,L954&gt;='Read Me &amp; Markers'!$B$20),"A. Proven winner",IF(AND(I954&gt;='Read Me &amp; Markers'!$B$18,J954&gt;='Read Me &amp; Markers'!$B$19,L954&gt;='Read Me &amp; Markers'!$B$21),"B. Strong performer",IF(AND(I954&gt;='Read Me &amp; Markers'!$B$22,L954&gt;='Read Me &amp; Markers'!$B$23),"C. Scale workhorse",IF(AND(I954&gt;='Read Me &amp; Markers'!$B$24,I954&lt;'Read Me &amp; Markers'!$B$18,J954&gt;='Read Me &amp; Markers'!$B$25,L954&gt;='Read Me &amp; Markers'!$B$26),"D. Promising (needs more spend)",""))))</f>
        <v/>
      </c>
      <c r="C954" s="4" t="s">
        <v>3144</v>
      </c>
      <c r="D954" s="4" t="s">
        <v>1204</v>
      </c>
      <c r="E954" s="4" t="s">
        <v>1943</v>
      </c>
      <c r="F954" s="4" t="s">
        <v>253</v>
      </c>
      <c r="G954" s="4" t="s">
        <v>1206</v>
      </c>
      <c r="H954" s="4" t="s">
        <v>3145</v>
      </c>
      <c r="I954" s="5" t="n">
        <v>2.46</v>
      </c>
      <c r="J954" s="7" t="n">
        <v>0</v>
      </c>
      <c r="K954" s="5" t="n">
        <v>0</v>
      </c>
      <c r="L954" s="8" t="n">
        <v>0</v>
      </c>
      <c r="M954" s="9" t="n">
        <v>0</v>
      </c>
      <c r="N954" s="10" t="n">
        <v>0</v>
      </c>
      <c r="O954" s="5" t="n">
        <v>117.14</v>
      </c>
      <c r="P954" s="11" t="n">
        <v>1.235294</v>
      </c>
      <c r="Q954" s="7" t="n">
        <v>21</v>
      </c>
      <c r="R954" s="7" t="n">
        <v>0</v>
      </c>
      <c r="S954" s="7" t="n">
        <v>0</v>
      </c>
      <c r="T954" s="7" t="n">
        <v>0</v>
      </c>
      <c r="U954" s="7" t="n">
        <v>18</v>
      </c>
      <c r="V954" s="7" t="n">
        <v>4</v>
      </c>
    </row>
    <row r="955" customFormat="false" ht="15" hidden="false" customHeight="false" outlineLevel="0" collapsed="false">
      <c r="A955" s="4" t="s">
        <v>3146</v>
      </c>
      <c r="B955" s="4" t="str">
        <f aca="false">IF(AND(I955&gt;='Read Me &amp; Markers'!$B$18,J955&gt;='Read Me &amp; Markers'!$B$19,L955&gt;='Read Me &amp; Markers'!$B$20),"A. Proven winner",IF(AND(I955&gt;='Read Me &amp; Markers'!$B$18,J955&gt;='Read Me &amp; Markers'!$B$19,L955&gt;='Read Me &amp; Markers'!$B$21),"B. Strong performer",IF(AND(I955&gt;='Read Me &amp; Markers'!$B$22,L955&gt;='Read Me &amp; Markers'!$B$23),"C. Scale workhorse",IF(AND(I955&gt;='Read Me &amp; Markers'!$B$24,I955&lt;'Read Me &amp; Markers'!$B$18,J955&gt;='Read Me &amp; Markers'!$B$25,L955&gt;='Read Me &amp; Markers'!$B$26),"D. Promising (needs more spend)",""))))</f>
        <v/>
      </c>
      <c r="C955" s="4" t="s">
        <v>3147</v>
      </c>
      <c r="D955" s="4" t="s">
        <v>528</v>
      </c>
      <c r="E955" s="4" t="s">
        <v>1908</v>
      </c>
      <c r="F955" s="4" t="s">
        <v>230</v>
      </c>
      <c r="G955" s="4" t="s">
        <v>378</v>
      </c>
      <c r="H955" s="4" t="s">
        <v>3148</v>
      </c>
      <c r="I955" s="5" t="n">
        <v>2.46</v>
      </c>
      <c r="J955" s="7" t="n">
        <v>0</v>
      </c>
      <c r="K955" s="5" t="n">
        <v>0</v>
      </c>
      <c r="L955" s="8" t="n">
        <v>0</v>
      </c>
      <c r="M955" s="9" t="n">
        <v>0</v>
      </c>
      <c r="N955" s="10" t="n">
        <v>0.07142857</v>
      </c>
      <c r="O955" s="5" t="n">
        <v>175.71</v>
      </c>
      <c r="P955" s="11" t="n">
        <v>1</v>
      </c>
      <c r="Q955" s="7" t="n">
        <v>14</v>
      </c>
      <c r="R955" s="7" t="n">
        <v>1</v>
      </c>
      <c r="S955" s="7" t="n">
        <v>0</v>
      </c>
      <c r="T955" s="7" t="n">
        <v>0</v>
      </c>
      <c r="U955" s="7" t="n">
        <v>13</v>
      </c>
      <c r="V955" s="7" t="n">
        <v>4</v>
      </c>
    </row>
    <row r="956" customFormat="false" ht="15" hidden="false" customHeight="false" outlineLevel="0" collapsed="false">
      <c r="A956" s="4" t="s">
        <v>3149</v>
      </c>
      <c r="B956" s="4" t="str">
        <f aca="false">IF(AND(I956&gt;='Read Me &amp; Markers'!$B$18,J956&gt;='Read Me &amp; Markers'!$B$19,L956&gt;='Read Me &amp; Markers'!$B$20),"A. Proven winner",IF(AND(I956&gt;='Read Me &amp; Markers'!$B$18,J956&gt;='Read Me &amp; Markers'!$B$19,L956&gt;='Read Me &amp; Markers'!$B$21),"B. Strong performer",IF(AND(I956&gt;='Read Me &amp; Markers'!$B$22,L956&gt;='Read Me &amp; Markers'!$B$23),"C. Scale workhorse",IF(AND(I956&gt;='Read Me &amp; Markers'!$B$24,I956&lt;'Read Me &amp; Markers'!$B$18,J956&gt;='Read Me &amp; Markers'!$B$25,L956&gt;='Read Me &amp; Markers'!$B$26),"D. Promising (needs more spend)",""))))</f>
        <v/>
      </c>
      <c r="C956" s="4" t="s">
        <v>3150</v>
      </c>
      <c r="D956" s="4" t="s">
        <v>109</v>
      </c>
      <c r="E956" s="4" t="s">
        <v>1501</v>
      </c>
      <c r="F956" s="4" t="s">
        <v>111</v>
      </c>
      <c r="G956" s="4" t="s">
        <v>1502</v>
      </c>
      <c r="H956" s="4" t="s">
        <v>3151</v>
      </c>
      <c r="I956" s="5" t="n">
        <v>2.44</v>
      </c>
      <c r="J956" s="7" t="n">
        <v>0</v>
      </c>
      <c r="K956" s="5" t="n">
        <v>0</v>
      </c>
      <c r="L956" s="8" t="n">
        <v>0</v>
      </c>
      <c r="M956" s="9" t="n">
        <v>0</v>
      </c>
      <c r="N956" s="10" t="n">
        <v>0</v>
      </c>
      <c r="O956" s="5" t="n">
        <v>110.91</v>
      </c>
      <c r="P956" s="11" t="n">
        <v>1.1</v>
      </c>
      <c r="Q956" s="7" t="n">
        <v>22</v>
      </c>
      <c r="R956" s="7" t="n">
        <v>0</v>
      </c>
      <c r="S956" s="7" t="n">
        <v>0</v>
      </c>
      <c r="T956" s="7" t="n">
        <v>0</v>
      </c>
      <c r="U956" s="7" t="n">
        <v>19</v>
      </c>
      <c r="V956" s="7" t="n">
        <v>3</v>
      </c>
    </row>
    <row r="957" customFormat="false" ht="15" hidden="false" customHeight="false" outlineLevel="0" collapsed="false">
      <c r="A957" s="4" t="s">
        <v>3152</v>
      </c>
      <c r="B957" s="4" t="str">
        <f aca="false">IF(AND(I957&gt;='Read Me &amp; Markers'!$B$18,J957&gt;='Read Me &amp; Markers'!$B$19,L957&gt;='Read Me &amp; Markers'!$B$20),"A. Proven winner",IF(AND(I957&gt;='Read Me &amp; Markers'!$B$18,J957&gt;='Read Me &amp; Markers'!$B$19,L957&gt;='Read Me &amp; Markers'!$B$21),"B. Strong performer",IF(AND(I957&gt;='Read Me &amp; Markers'!$B$22,L957&gt;='Read Me &amp; Markers'!$B$23),"C. Scale workhorse",IF(AND(I957&gt;='Read Me &amp; Markers'!$B$24,I957&lt;'Read Me &amp; Markers'!$B$18,J957&gt;='Read Me &amp; Markers'!$B$25,L957&gt;='Read Me &amp; Markers'!$B$26),"D. Promising (needs more spend)",""))))</f>
        <v/>
      </c>
      <c r="C957" s="4" t="s">
        <v>3153</v>
      </c>
      <c r="D957" s="4" t="s">
        <v>109</v>
      </c>
      <c r="E957" s="4" t="s">
        <v>738</v>
      </c>
      <c r="F957" s="4" t="s">
        <v>111</v>
      </c>
      <c r="G957" s="4" t="s">
        <v>739</v>
      </c>
      <c r="H957" s="4" t="s">
        <v>3154</v>
      </c>
      <c r="I957" s="5" t="n">
        <v>2.42</v>
      </c>
      <c r="J957" s="7" t="n">
        <v>0</v>
      </c>
      <c r="K957" s="5" t="n">
        <v>0</v>
      </c>
      <c r="L957" s="8" t="n">
        <v>0</v>
      </c>
      <c r="M957" s="9" t="n">
        <v>0</v>
      </c>
      <c r="N957" s="10" t="n">
        <v>0</v>
      </c>
      <c r="O957" s="5" t="n">
        <v>65.41</v>
      </c>
      <c r="P957" s="11" t="n">
        <v>1.193548</v>
      </c>
      <c r="Q957" s="7" t="n">
        <v>37</v>
      </c>
      <c r="R957" s="7" t="n">
        <v>0</v>
      </c>
      <c r="S957" s="7" t="n">
        <v>0</v>
      </c>
      <c r="T957" s="7" t="n">
        <v>0</v>
      </c>
      <c r="U957" s="7" t="n">
        <v>2</v>
      </c>
      <c r="V957" s="7" t="n">
        <v>0</v>
      </c>
    </row>
    <row r="958" customFormat="false" ht="15" hidden="false" customHeight="false" outlineLevel="0" collapsed="false">
      <c r="A958" s="4" t="s">
        <v>3155</v>
      </c>
      <c r="B958" s="4" t="str">
        <f aca="false">IF(AND(I958&gt;='Read Me &amp; Markers'!$B$18,J958&gt;='Read Me &amp; Markers'!$B$19,L958&gt;='Read Me &amp; Markers'!$B$20),"A. Proven winner",IF(AND(I958&gt;='Read Me &amp; Markers'!$B$18,J958&gt;='Read Me &amp; Markers'!$B$19,L958&gt;='Read Me &amp; Markers'!$B$21),"B. Strong performer",IF(AND(I958&gt;='Read Me &amp; Markers'!$B$22,L958&gt;='Read Me &amp; Markers'!$B$23),"C. Scale workhorse",IF(AND(I958&gt;='Read Me &amp; Markers'!$B$24,I958&lt;'Read Me &amp; Markers'!$B$18,J958&gt;='Read Me &amp; Markers'!$B$25,L958&gt;='Read Me &amp; Markers'!$B$26),"D. Promising (needs more spend)",""))))</f>
        <v/>
      </c>
      <c r="C958" s="4" t="s">
        <v>169</v>
      </c>
      <c r="D958" s="4" t="s">
        <v>206</v>
      </c>
      <c r="E958" s="4" t="s">
        <v>3156</v>
      </c>
      <c r="F958" s="4" t="s">
        <v>253</v>
      </c>
      <c r="G958" s="4" t="s">
        <v>132</v>
      </c>
      <c r="H958" s="4" t="s">
        <v>3157</v>
      </c>
      <c r="I958" s="5" t="n">
        <v>2.39</v>
      </c>
      <c r="J958" s="7" t="n">
        <v>0</v>
      </c>
      <c r="K958" s="5" t="n">
        <v>0</v>
      </c>
      <c r="L958" s="8" t="n">
        <v>0</v>
      </c>
      <c r="M958" s="9" t="n">
        <v>0</v>
      </c>
      <c r="N958" s="10" t="n">
        <v>0</v>
      </c>
      <c r="O958" s="5" t="n">
        <v>85.36</v>
      </c>
      <c r="P958" s="11" t="n">
        <v>1.076923</v>
      </c>
      <c r="Q958" s="7" t="n">
        <v>28</v>
      </c>
      <c r="R958" s="7" t="n">
        <v>0</v>
      </c>
      <c r="S958" s="7" t="n">
        <v>0</v>
      </c>
      <c r="T958" s="7" t="n">
        <v>0</v>
      </c>
      <c r="U958" s="7" t="n">
        <v>24</v>
      </c>
      <c r="V958" s="7" t="n">
        <v>6</v>
      </c>
    </row>
    <row r="959" customFormat="false" ht="15" hidden="false" customHeight="false" outlineLevel="0" collapsed="false">
      <c r="A959" s="4" t="s">
        <v>3158</v>
      </c>
      <c r="B959" s="4" t="str">
        <f aca="false">IF(AND(I959&gt;='Read Me &amp; Markers'!$B$18,J959&gt;='Read Me &amp; Markers'!$B$19,L959&gt;='Read Me &amp; Markers'!$B$20),"A. Proven winner",IF(AND(I959&gt;='Read Me &amp; Markers'!$B$18,J959&gt;='Read Me &amp; Markers'!$B$19,L959&gt;='Read Me &amp; Markers'!$B$21),"B. Strong performer",IF(AND(I959&gt;='Read Me &amp; Markers'!$B$22,L959&gt;='Read Me &amp; Markers'!$B$23),"C. Scale workhorse",IF(AND(I959&gt;='Read Me &amp; Markers'!$B$24,I959&lt;'Read Me &amp; Markers'!$B$18,J959&gt;='Read Me &amp; Markers'!$B$25,L959&gt;='Read Me &amp; Markers'!$B$26),"D. Promising (needs more spend)",""))))</f>
        <v/>
      </c>
      <c r="C959" s="4" t="s">
        <v>129</v>
      </c>
      <c r="D959" s="4" t="s">
        <v>206</v>
      </c>
      <c r="E959" s="4" t="s">
        <v>1691</v>
      </c>
      <c r="F959" s="4" t="s">
        <v>253</v>
      </c>
      <c r="G959" s="4" t="s">
        <v>132</v>
      </c>
      <c r="H959" s="4" t="s">
        <v>3159</v>
      </c>
      <c r="I959" s="5" t="n">
        <v>2.39</v>
      </c>
      <c r="J959" s="7" t="n">
        <v>0</v>
      </c>
      <c r="K959" s="5" t="n">
        <v>0</v>
      </c>
      <c r="L959" s="8" t="n">
        <v>0</v>
      </c>
      <c r="M959" s="9" t="n">
        <v>0</v>
      </c>
      <c r="N959" s="10" t="n">
        <v>0.06896552</v>
      </c>
      <c r="O959" s="5" t="n">
        <v>82.41</v>
      </c>
      <c r="P959" s="11" t="n">
        <v>1.035714</v>
      </c>
      <c r="Q959" s="7" t="n">
        <v>29</v>
      </c>
      <c r="R959" s="7" t="n">
        <v>2</v>
      </c>
      <c r="S959" s="7" t="n">
        <v>0</v>
      </c>
      <c r="T959" s="7" t="n">
        <v>0</v>
      </c>
      <c r="U959" s="7" t="n">
        <v>24</v>
      </c>
      <c r="V959" s="7" t="n">
        <v>7</v>
      </c>
    </row>
    <row r="960" customFormat="false" ht="15" hidden="false" customHeight="false" outlineLevel="0" collapsed="false">
      <c r="A960" s="4" t="s">
        <v>3160</v>
      </c>
      <c r="B960" s="4" t="str">
        <f aca="false">IF(AND(I960&gt;='Read Me &amp; Markers'!$B$18,J960&gt;='Read Me &amp; Markers'!$B$19,L960&gt;='Read Me &amp; Markers'!$B$20),"A. Proven winner",IF(AND(I960&gt;='Read Me &amp; Markers'!$B$18,J960&gt;='Read Me &amp; Markers'!$B$19,L960&gt;='Read Me &amp; Markers'!$B$21),"B. Strong performer",IF(AND(I960&gt;='Read Me &amp; Markers'!$B$22,L960&gt;='Read Me &amp; Markers'!$B$23),"C. Scale workhorse",IF(AND(I960&gt;='Read Me &amp; Markers'!$B$24,I960&lt;'Read Me &amp; Markers'!$B$18,J960&gt;='Read Me &amp; Markers'!$B$25,L960&gt;='Read Me &amp; Markers'!$B$26),"D. Promising (needs more spend)",""))))</f>
        <v/>
      </c>
      <c r="C960" s="4" t="s">
        <v>3161</v>
      </c>
      <c r="D960" s="4" t="s">
        <v>109</v>
      </c>
      <c r="E960" s="4" t="s">
        <v>435</v>
      </c>
      <c r="F960" s="4" t="s">
        <v>111</v>
      </c>
      <c r="G960" s="4" t="s">
        <v>500</v>
      </c>
      <c r="H960" s="4" t="s">
        <v>3162</v>
      </c>
      <c r="I960" s="5" t="n">
        <v>2.38</v>
      </c>
      <c r="J960" s="7" t="n">
        <v>0</v>
      </c>
      <c r="K960" s="5" t="n">
        <v>0</v>
      </c>
      <c r="L960" s="8" t="n">
        <v>0</v>
      </c>
      <c r="M960" s="9" t="n">
        <v>0</v>
      </c>
      <c r="N960" s="10" t="n">
        <v>0</v>
      </c>
      <c r="O960" s="5" t="n">
        <v>216.36</v>
      </c>
      <c r="P960" s="11" t="n">
        <v>1</v>
      </c>
      <c r="Q960" s="7" t="n">
        <v>11</v>
      </c>
      <c r="R960" s="7" t="n">
        <v>0</v>
      </c>
      <c r="S960" s="7" t="n">
        <v>0</v>
      </c>
      <c r="T960" s="7" t="n">
        <v>0</v>
      </c>
      <c r="U960" s="7" t="n">
        <v>10</v>
      </c>
      <c r="V960" s="7" t="n">
        <v>2</v>
      </c>
    </row>
    <row r="961" customFormat="false" ht="15" hidden="false" customHeight="false" outlineLevel="0" collapsed="false">
      <c r="A961" s="4" t="s">
        <v>3163</v>
      </c>
      <c r="B961" s="4" t="str">
        <f aca="false">IF(AND(I961&gt;='Read Me &amp; Markers'!$B$18,J961&gt;='Read Me &amp; Markers'!$B$19,L961&gt;='Read Me &amp; Markers'!$B$20),"A. Proven winner",IF(AND(I961&gt;='Read Me &amp; Markers'!$B$18,J961&gt;='Read Me &amp; Markers'!$B$19,L961&gt;='Read Me &amp; Markers'!$B$21),"B. Strong performer",IF(AND(I961&gt;='Read Me &amp; Markers'!$B$22,L961&gt;='Read Me &amp; Markers'!$B$23),"C. Scale workhorse",IF(AND(I961&gt;='Read Me &amp; Markers'!$B$24,I961&lt;'Read Me &amp; Markers'!$B$18,J961&gt;='Read Me &amp; Markers'!$B$25,L961&gt;='Read Me &amp; Markers'!$B$26),"D. Promising (needs more spend)",""))))</f>
        <v/>
      </c>
      <c r="C961" s="4" t="s">
        <v>1732</v>
      </c>
      <c r="D961" s="4" t="s">
        <v>206</v>
      </c>
      <c r="E961" s="4" t="s">
        <v>2475</v>
      </c>
      <c r="F961" s="4" t="s">
        <v>253</v>
      </c>
      <c r="G961" s="4" t="s">
        <v>1363</v>
      </c>
      <c r="H961" s="4" t="s">
        <v>3164</v>
      </c>
      <c r="I961" s="5" t="n">
        <v>2.37</v>
      </c>
      <c r="J961" s="7" t="n">
        <v>0</v>
      </c>
      <c r="K961" s="5" t="n">
        <v>0</v>
      </c>
      <c r="L961" s="8" t="n">
        <v>0</v>
      </c>
      <c r="M961" s="9" t="n">
        <v>0</v>
      </c>
      <c r="N961" s="10" t="n">
        <v>0</v>
      </c>
      <c r="O961" s="5" t="n">
        <v>237</v>
      </c>
      <c r="P961" s="11" t="n">
        <v>1</v>
      </c>
      <c r="Q961" s="7" t="n">
        <v>10</v>
      </c>
      <c r="R961" s="7" t="n">
        <v>0</v>
      </c>
      <c r="S961" s="7" t="n">
        <v>0</v>
      </c>
      <c r="T961" s="7" t="n">
        <v>0</v>
      </c>
      <c r="U961" s="7" t="n">
        <v>0</v>
      </c>
      <c r="V961" s="7" t="n">
        <v>0</v>
      </c>
    </row>
    <row r="962" customFormat="false" ht="15" hidden="false" customHeight="false" outlineLevel="0" collapsed="false">
      <c r="A962" s="4" t="s">
        <v>3165</v>
      </c>
      <c r="B962" s="4" t="str">
        <f aca="false">IF(AND(I962&gt;='Read Me &amp; Markers'!$B$18,J962&gt;='Read Me &amp; Markers'!$B$19,L962&gt;='Read Me &amp; Markers'!$B$20),"A. Proven winner",IF(AND(I962&gt;='Read Me &amp; Markers'!$B$18,J962&gt;='Read Me &amp; Markers'!$B$19,L962&gt;='Read Me &amp; Markers'!$B$21),"B. Strong performer",IF(AND(I962&gt;='Read Me &amp; Markers'!$B$22,L962&gt;='Read Me &amp; Markers'!$B$23),"C. Scale workhorse",IF(AND(I962&gt;='Read Me &amp; Markers'!$B$24,I962&lt;'Read Me &amp; Markers'!$B$18,J962&gt;='Read Me &amp; Markers'!$B$25,L962&gt;='Read Me &amp; Markers'!$B$26),"D. Promising (needs more spend)",""))))</f>
        <v/>
      </c>
      <c r="C962" s="4" t="s">
        <v>3166</v>
      </c>
      <c r="D962" s="4" t="s">
        <v>109</v>
      </c>
      <c r="E962" s="4" t="s">
        <v>738</v>
      </c>
      <c r="F962" s="4" t="s">
        <v>111</v>
      </c>
      <c r="G962" s="4" t="s">
        <v>739</v>
      </c>
      <c r="H962" s="4" t="s">
        <v>3167</v>
      </c>
      <c r="I962" s="5" t="n">
        <v>2.36</v>
      </c>
      <c r="J962" s="7" t="n">
        <v>0</v>
      </c>
      <c r="K962" s="5" t="n">
        <v>0</v>
      </c>
      <c r="L962" s="8" t="n">
        <v>0</v>
      </c>
      <c r="M962" s="9" t="n">
        <v>0</v>
      </c>
      <c r="N962" s="10" t="n">
        <v>0</v>
      </c>
      <c r="O962" s="5" t="n">
        <v>76.13</v>
      </c>
      <c r="P962" s="11" t="n">
        <v>1.068966</v>
      </c>
      <c r="Q962" s="7" t="n">
        <v>31</v>
      </c>
      <c r="R962" s="7" t="n">
        <v>0</v>
      </c>
      <c r="S962" s="7" t="n">
        <v>0</v>
      </c>
      <c r="T962" s="7" t="n">
        <v>0</v>
      </c>
      <c r="U962" s="7" t="n">
        <v>25</v>
      </c>
      <c r="V962" s="7" t="n">
        <v>3</v>
      </c>
    </row>
    <row r="963" customFormat="false" ht="15" hidden="false" customHeight="false" outlineLevel="0" collapsed="false">
      <c r="A963" s="4" t="s">
        <v>3168</v>
      </c>
      <c r="B963" s="4" t="str">
        <f aca="false">IF(AND(I963&gt;='Read Me &amp; Markers'!$B$18,J963&gt;='Read Me &amp; Markers'!$B$19,L963&gt;='Read Me &amp; Markers'!$B$20),"A. Proven winner",IF(AND(I963&gt;='Read Me &amp; Markers'!$B$18,J963&gt;='Read Me &amp; Markers'!$B$19,L963&gt;='Read Me &amp; Markers'!$B$21),"B. Strong performer",IF(AND(I963&gt;='Read Me &amp; Markers'!$B$22,L963&gt;='Read Me &amp; Markers'!$B$23),"C. Scale workhorse",IF(AND(I963&gt;='Read Me &amp; Markers'!$B$24,I963&lt;'Read Me &amp; Markers'!$B$18,J963&gt;='Read Me &amp; Markers'!$B$25,L963&gt;='Read Me &amp; Markers'!$B$26),"D. Promising (needs more spend)",""))))</f>
        <v/>
      </c>
      <c r="C963" s="4" t="s">
        <v>3169</v>
      </c>
      <c r="D963" s="4" t="s">
        <v>100</v>
      </c>
      <c r="E963" s="4" t="s">
        <v>1890</v>
      </c>
      <c r="F963" s="4" t="s">
        <v>253</v>
      </c>
      <c r="G963" s="4" t="s">
        <v>984</v>
      </c>
      <c r="H963" s="4" t="s">
        <v>3170</v>
      </c>
      <c r="I963" s="5" t="n">
        <v>2.35</v>
      </c>
      <c r="J963" s="7" t="n">
        <v>0</v>
      </c>
      <c r="K963" s="5" t="n">
        <v>0</v>
      </c>
      <c r="L963" s="8" t="n">
        <v>0</v>
      </c>
      <c r="M963" s="9" t="n">
        <v>0</v>
      </c>
      <c r="N963" s="10" t="n">
        <v>0.01369863</v>
      </c>
      <c r="O963" s="5" t="n">
        <v>32.19</v>
      </c>
      <c r="P963" s="11" t="n">
        <v>1.15873</v>
      </c>
      <c r="Q963" s="7" t="n">
        <v>73</v>
      </c>
      <c r="R963" s="7" t="n">
        <v>1</v>
      </c>
      <c r="S963" s="7" t="n">
        <v>0</v>
      </c>
      <c r="T963" s="7" t="n">
        <v>0</v>
      </c>
      <c r="U963" s="7" t="n">
        <v>0</v>
      </c>
      <c r="V963" s="7" t="n">
        <v>0</v>
      </c>
    </row>
    <row r="964" customFormat="false" ht="15" hidden="false" customHeight="false" outlineLevel="0" collapsed="false">
      <c r="A964" s="4" t="s">
        <v>3171</v>
      </c>
      <c r="B964" s="4" t="str">
        <f aca="false">IF(AND(I964&gt;='Read Me &amp; Markers'!$B$18,J964&gt;='Read Me &amp; Markers'!$B$19,L964&gt;='Read Me &amp; Markers'!$B$20),"A. Proven winner",IF(AND(I964&gt;='Read Me &amp; Markers'!$B$18,J964&gt;='Read Me &amp; Markers'!$B$19,L964&gt;='Read Me &amp; Markers'!$B$21),"B. Strong performer",IF(AND(I964&gt;='Read Me &amp; Markers'!$B$22,L964&gt;='Read Me &amp; Markers'!$B$23),"C. Scale workhorse",IF(AND(I964&gt;='Read Me &amp; Markers'!$B$24,I964&lt;'Read Me &amp; Markers'!$B$18,J964&gt;='Read Me &amp; Markers'!$B$25,L964&gt;='Read Me &amp; Markers'!$B$26),"D. Promising (needs more spend)",""))))</f>
        <v/>
      </c>
      <c r="C964" s="4" t="s">
        <v>3172</v>
      </c>
      <c r="D964" s="4" t="s">
        <v>109</v>
      </c>
      <c r="E964" s="4" t="s">
        <v>738</v>
      </c>
      <c r="F964" s="4" t="s">
        <v>111</v>
      </c>
      <c r="G964" s="4" t="s">
        <v>739</v>
      </c>
      <c r="H964" s="4" t="s">
        <v>3173</v>
      </c>
      <c r="I964" s="5" t="n">
        <v>2.33</v>
      </c>
      <c r="J964" s="7" t="n">
        <v>0</v>
      </c>
      <c r="K964" s="5" t="n">
        <v>0</v>
      </c>
      <c r="L964" s="8" t="n">
        <v>0</v>
      </c>
      <c r="M964" s="9" t="n">
        <v>0</v>
      </c>
      <c r="N964" s="10" t="n">
        <v>0.03703704</v>
      </c>
      <c r="O964" s="5" t="n">
        <v>86.3</v>
      </c>
      <c r="P964" s="11" t="n">
        <v>1.173913</v>
      </c>
      <c r="Q964" s="7" t="n">
        <v>27</v>
      </c>
      <c r="R964" s="7" t="n">
        <v>1</v>
      </c>
      <c r="S964" s="7" t="n">
        <v>0</v>
      </c>
      <c r="T964" s="7" t="n">
        <v>0</v>
      </c>
      <c r="U964" s="7" t="n">
        <v>24</v>
      </c>
      <c r="V964" s="7" t="n">
        <v>5</v>
      </c>
    </row>
    <row r="965" customFormat="false" ht="15" hidden="false" customHeight="false" outlineLevel="0" collapsed="false">
      <c r="A965" s="4" t="s">
        <v>3174</v>
      </c>
      <c r="B965" s="4" t="str">
        <f aca="false">IF(AND(I965&gt;='Read Me &amp; Markers'!$B$18,J965&gt;='Read Me &amp; Markers'!$B$19,L965&gt;='Read Me &amp; Markers'!$B$20),"A. Proven winner",IF(AND(I965&gt;='Read Me &amp; Markers'!$B$18,J965&gt;='Read Me &amp; Markers'!$B$19,L965&gt;='Read Me &amp; Markers'!$B$21),"B. Strong performer",IF(AND(I965&gt;='Read Me &amp; Markers'!$B$22,L965&gt;='Read Me &amp; Markers'!$B$23),"C. Scale workhorse",IF(AND(I965&gt;='Read Me &amp; Markers'!$B$24,I965&lt;'Read Me &amp; Markers'!$B$18,J965&gt;='Read Me &amp; Markers'!$B$25,L965&gt;='Read Me &amp; Markers'!$B$26),"D. Promising (needs more spend)",""))))</f>
        <v/>
      </c>
      <c r="C965" s="4" t="s">
        <v>3175</v>
      </c>
      <c r="D965" s="4" t="s">
        <v>109</v>
      </c>
      <c r="E965" s="4" t="s">
        <v>482</v>
      </c>
      <c r="F965" s="4" t="s">
        <v>111</v>
      </c>
      <c r="G965" s="4" t="s">
        <v>483</v>
      </c>
      <c r="H965" s="4" t="s">
        <v>3176</v>
      </c>
      <c r="I965" s="5" t="n">
        <v>2.33</v>
      </c>
      <c r="J965" s="7" t="n">
        <v>0</v>
      </c>
      <c r="K965" s="5" t="n">
        <v>0</v>
      </c>
      <c r="L965" s="8" t="n">
        <v>0</v>
      </c>
      <c r="M965" s="9" t="n">
        <v>0</v>
      </c>
      <c r="N965" s="10" t="n">
        <v>0.00657895</v>
      </c>
      <c r="O965" s="5" t="n">
        <v>15.33</v>
      </c>
      <c r="P965" s="11" t="n">
        <v>1.381818</v>
      </c>
      <c r="Q965" s="7" t="n">
        <v>152</v>
      </c>
      <c r="R965" s="7" t="n">
        <v>1</v>
      </c>
      <c r="S965" s="7" t="n">
        <v>0</v>
      </c>
      <c r="T965" s="7" t="n">
        <v>0</v>
      </c>
      <c r="U965" s="7" t="n">
        <v>2</v>
      </c>
      <c r="V965" s="7" t="n">
        <v>0</v>
      </c>
    </row>
    <row r="966" customFormat="false" ht="15" hidden="false" customHeight="false" outlineLevel="0" collapsed="false">
      <c r="A966" s="4" t="s">
        <v>3177</v>
      </c>
      <c r="B966" s="4" t="str">
        <f aca="false">IF(AND(I966&gt;='Read Me &amp; Markers'!$B$18,J966&gt;='Read Me &amp; Markers'!$B$19,L966&gt;='Read Me &amp; Markers'!$B$20),"A. Proven winner",IF(AND(I966&gt;='Read Me &amp; Markers'!$B$18,J966&gt;='Read Me &amp; Markers'!$B$19,L966&gt;='Read Me &amp; Markers'!$B$21),"B. Strong performer",IF(AND(I966&gt;='Read Me &amp; Markers'!$B$22,L966&gt;='Read Me &amp; Markers'!$B$23),"C. Scale workhorse",IF(AND(I966&gt;='Read Me &amp; Markers'!$B$24,I966&lt;'Read Me &amp; Markers'!$B$18,J966&gt;='Read Me &amp; Markers'!$B$25,L966&gt;='Read Me &amp; Markers'!$B$26),"D. Promising (needs more spend)",""))))</f>
        <v/>
      </c>
      <c r="C966" s="4" t="s">
        <v>3178</v>
      </c>
      <c r="D966" s="4" t="s">
        <v>109</v>
      </c>
      <c r="E966" s="4" t="s">
        <v>512</v>
      </c>
      <c r="F966" s="4" t="s">
        <v>111</v>
      </c>
      <c r="G966" s="4" t="s">
        <v>490</v>
      </c>
      <c r="H966" s="4" t="s">
        <v>3179</v>
      </c>
      <c r="I966" s="5" t="n">
        <v>2.33</v>
      </c>
      <c r="J966" s="7" t="n">
        <v>0</v>
      </c>
      <c r="K966" s="5" t="n">
        <v>0</v>
      </c>
      <c r="L966" s="8" t="n">
        <v>0</v>
      </c>
      <c r="M966" s="9" t="n">
        <v>0</v>
      </c>
      <c r="N966" s="10" t="n">
        <v>0</v>
      </c>
      <c r="O966" s="5" t="n">
        <v>75.16</v>
      </c>
      <c r="P966" s="11" t="n">
        <v>1.192308</v>
      </c>
      <c r="Q966" s="7" t="n">
        <v>31</v>
      </c>
      <c r="R966" s="7" t="n">
        <v>0</v>
      </c>
      <c r="S966" s="7" t="n">
        <v>0</v>
      </c>
      <c r="T966" s="7" t="n">
        <v>0</v>
      </c>
      <c r="U966" s="7" t="n">
        <v>0</v>
      </c>
      <c r="V966" s="7" t="n">
        <v>0</v>
      </c>
    </row>
    <row r="967" customFormat="false" ht="15" hidden="false" customHeight="false" outlineLevel="0" collapsed="false">
      <c r="A967" s="4" t="s">
        <v>3180</v>
      </c>
      <c r="B967" s="4" t="str">
        <f aca="false">IF(AND(I967&gt;='Read Me &amp; Markers'!$B$18,J967&gt;='Read Me &amp; Markers'!$B$19,L967&gt;='Read Me &amp; Markers'!$B$20),"A. Proven winner",IF(AND(I967&gt;='Read Me &amp; Markers'!$B$18,J967&gt;='Read Me &amp; Markers'!$B$19,L967&gt;='Read Me &amp; Markers'!$B$21),"B. Strong performer",IF(AND(I967&gt;='Read Me &amp; Markers'!$B$22,L967&gt;='Read Me &amp; Markers'!$B$23),"C. Scale workhorse",IF(AND(I967&gt;='Read Me &amp; Markers'!$B$24,I967&lt;'Read Me &amp; Markers'!$B$18,J967&gt;='Read Me &amp; Markers'!$B$25,L967&gt;='Read Me &amp; Markers'!$B$26),"D. Promising (needs more spend)",""))))</f>
        <v/>
      </c>
      <c r="C967" s="4" t="s">
        <v>169</v>
      </c>
      <c r="D967" s="4" t="s">
        <v>100</v>
      </c>
      <c r="E967" s="4" t="s">
        <v>931</v>
      </c>
      <c r="F967" s="4" t="s">
        <v>230</v>
      </c>
      <c r="G967" s="4" t="s">
        <v>279</v>
      </c>
      <c r="H967" s="4" t="s">
        <v>3181</v>
      </c>
      <c r="I967" s="5" t="n">
        <v>2.33</v>
      </c>
      <c r="J967" s="7" t="n">
        <v>0</v>
      </c>
      <c r="K967" s="5" t="n">
        <v>0</v>
      </c>
      <c r="L967" s="8" t="n">
        <v>0</v>
      </c>
      <c r="M967" s="9" t="n">
        <v>0</v>
      </c>
      <c r="N967" s="10" t="n">
        <v>0.11111111</v>
      </c>
      <c r="O967" s="5" t="n">
        <v>129.44</v>
      </c>
      <c r="P967" s="11" t="n">
        <v>1</v>
      </c>
      <c r="Q967" s="7" t="n">
        <v>18</v>
      </c>
      <c r="R967" s="7" t="n">
        <v>2</v>
      </c>
      <c r="S967" s="7" t="n">
        <v>0</v>
      </c>
      <c r="T967" s="7" t="n">
        <v>0</v>
      </c>
      <c r="U967" s="7" t="n">
        <v>16</v>
      </c>
      <c r="V967" s="7" t="n">
        <v>1</v>
      </c>
    </row>
    <row r="968" customFormat="false" ht="15" hidden="false" customHeight="false" outlineLevel="0" collapsed="false">
      <c r="A968" s="4" t="s">
        <v>3182</v>
      </c>
      <c r="B968" s="4" t="str">
        <f aca="false">IF(AND(I968&gt;='Read Me &amp; Markers'!$B$18,J968&gt;='Read Me &amp; Markers'!$B$19,L968&gt;='Read Me &amp; Markers'!$B$20),"A. Proven winner",IF(AND(I968&gt;='Read Me &amp; Markers'!$B$18,J968&gt;='Read Me &amp; Markers'!$B$19,L968&gt;='Read Me &amp; Markers'!$B$21),"B. Strong performer",IF(AND(I968&gt;='Read Me &amp; Markers'!$B$22,L968&gt;='Read Me &amp; Markers'!$B$23),"C. Scale workhorse",IF(AND(I968&gt;='Read Me &amp; Markers'!$B$24,I968&lt;'Read Me &amp; Markers'!$B$18,J968&gt;='Read Me &amp; Markers'!$B$25,L968&gt;='Read Me &amp; Markers'!$B$26),"D. Promising (needs more spend)",""))))</f>
        <v/>
      </c>
      <c r="C968" s="4" t="s">
        <v>3183</v>
      </c>
      <c r="D968" s="4" t="s">
        <v>109</v>
      </c>
      <c r="E968" s="4" t="s">
        <v>1701</v>
      </c>
      <c r="F968" s="4" t="s">
        <v>111</v>
      </c>
      <c r="G968" s="4" t="s">
        <v>1702</v>
      </c>
      <c r="H968" s="4" t="s">
        <v>3184</v>
      </c>
      <c r="I968" s="5" t="n">
        <v>2.28</v>
      </c>
      <c r="J968" s="7" t="n">
        <v>0</v>
      </c>
      <c r="K968" s="5" t="n">
        <v>0</v>
      </c>
      <c r="L968" s="8" t="n">
        <v>0</v>
      </c>
      <c r="M968" s="9" t="n">
        <v>0</v>
      </c>
      <c r="N968" s="10" t="n">
        <v>0</v>
      </c>
      <c r="O968" s="5" t="n">
        <v>43.85</v>
      </c>
      <c r="P968" s="11" t="n">
        <v>1.333333</v>
      </c>
      <c r="Q968" s="7" t="n">
        <v>52</v>
      </c>
      <c r="R968" s="7" t="n">
        <v>0</v>
      </c>
      <c r="S968" s="7" t="n">
        <v>0</v>
      </c>
      <c r="T968" s="7" t="n">
        <v>0</v>
      </c>
      <c r="U968" s="7" t="n">
        <v>0</v>
      </c>
      <c r="V968" s="7" t="n">
        <v>0</v>
      </c>
    </row>
    <row r="969" customFormat="false" ht="15" hidden="false" customHeight="false" outlineLevel="0" collapsed="false">
      <c r="A969" s="4" t="s">
        <v>3185</v>
      </c>
      <c r="B969" s="4" t="str">
        <f aca="false">IF(AND(I969&gt;='Read Me &amp; Markers'!$B$18,J969&gt;='Read Me &amp; Markers'!$B$19,L969&gt;='Read Me &amp; Markers'!$B$20),"A. Proven winner",IF(AND(I969&gt;='Read Me &amp; Markers'!$B$18,J969&gt;='Read Me &amp; Markers'!$B$19,L969&gt;='Read Me &amp; Markers'!$B$21),"B. Strong performer",IF(AND(I969&gt;='Read Me &amp; Markers'!$B$22,L969&gt;='Read Me &amp; Markers'!$B$23),"C. Scale workhorse",IF(AND(I969&gt;='Read Me &amp; Markers'!$B$24,I969&lt;'Read Me &amp; Markers'!$B$18,J969&gt;='Read Me &amp; Markers'!$B$25,L969&gt;='Read Me &amp; Markers'!$B$26),"D. Promising (needs more spend)",""))))</f>
        <v/>
      </c>
      <c r="C969" s="4" t="s">
        <v>129</v>
      </c>
      <c r="D969" s="4" t="s">
        <v>206</v>
      </c>
      <c r="E969" s="4" t="s">
        <v>2013</v>
      </c>
      <c r="F969" s="4" t="s">
        <v>253</v>
      </c>
      <c r="G969" s="4" t="s">
        <v>132</v>
      </c>
      <c r="H969" s="4" t="s">
        <v>3186</v>
      </c>
      <c r="I969" s="5" t="n">
        <v>2.27</v>
      </c>
      <c r="J969" s="7" t="n">
        <v>0</v>
      </c>
      <c r="K969" s="5" t="n">
        <v>0</v>
      </c>
      <c r="L969" s="8" t="n">
        <v>0</v>
      </c>
      <c r="M969" s="9" t="n">
        <v>0</v>
      </c>
      <c r="N969" s="10" t="n">
        <v>0</v>
      </c>
      <c r="O969" s="5" t="n">
        <v>189.17</v>
      </c>
      <c r="P969" s="11" t="n">
        <v>1</v>
      </c>
      <c r="Q969" s="7" t="n">
        <v>12</v>
      </c>
      <c r="R969" s="7" t="n">
        <v>0</v>
      </c>
      <c r="S969" s="7" t="n">
        <v>0</v>
      </c>
      <c r="T969" s="7" t="n">
        <v>0</v>
      </c>
      <c r="U969" s="7" t="n">
        <v>11</v>
      </c>
      <c r="V969" s="7" t="n">
        <v>2</v>
      </c>
    </row>
    <row r="970" customFormat="false" ht="15" hidden="false" customHeight="false" outlineLevel="0" collapsed="false">
      <c r="A970" s="4" t="s">
        <v>3187</v>
      </c>
      <c r="B970" s="4" t="str">
        <f aca="false">IF(AND(I970&gt;='Read Me &amp; Markers'!$B$18,J970&gt;='Read Me &amp; Markers'!$B$19,L970&gt;='Read Me &amp; Markers'!$B$20),"A. Proven winner",IF(AND(I970&gt;='Read Me &amp; Markers'!$B$18,J970&gt;='Read Me &amp; Markers'!$B$19,L970&gt;='Read Me &amp; Markers'!$B$21),"B. Strong performer",IF(AND(I970&gt;='Read Me &amp; Markers'!$B$22,L970&gt;='Read Me &amp; Markers'!$B$23),"C. Scale workhorse",IF(AND(I970&gt;='Read Me &amp; Markers'!$B$24,I970&lt;'Read Me &amp; Markers'!$B$18,J970&gt;='Read Me &amp; Markers'!$B$25,L970&gt;='Read Me &amp; Markers'!$B$26),"D. Promising (needs more spend)",""))))</f>
        <v/>
      </c>
      <c r="C970" s="4" t="s">
        <v>3188</v>
      </c>
      <c r="D970" s="4" t="s">
        <v>109</v>
      </c>
      <c r="E970" s="4" t="s">
        <v>435</v>
      </c>
      <c r="F970" s="4" t="s">
        <v>111</v>
      </c>
      <c r="G970" s="4" t="s">
        <v>436</v>
      </c>
      <c r="H970" s="4" t="s">
        <v>3189</v>
      </c>
      <c r="I970" s="5" t="n">
        <v>2.26</v>
      </c>
      <c r="J970" s="7" t="n">
        <v>0</v>
      </c>
      <c r="K970" s="5" t="n">
        <v>0</v>
      </c>
      <c r="L970" s="8" t="n">
        <v>0</v>
      </c>
      <c r="M970" s="9" t="n">
        <v>0</v>
      </c>
      <c r="N970" s="10" t="n">
        <v>0</v>
      </c>
      <c r="O970" s="5" t="n">
        <v>57.95</v>
      </c>
      <c r="P970" s="11" t="n">
        <v>1.392857</v>
      </c>
      <c r="Q970" s="7" t="n">
        <v>39</v>
      </c>
      <c r="R970" s="7" t="n">
        <v>0</v>
      </c>
      <c r="S970" s="7" t="n">
        <v>0</v>
      </c>
      <c r="T970" s="7" t="n">
        <v>0</v>
      </c>
      <c r="U970" s="7" t="n">
        <v>0</v>
      </c>
      <c r="V970" s="7" t="n">
        <v>0</v>
      </c>
    </row>
    <row r="971" customFormat="false" ht="15" hidden="false" customHeight="false" outlineLevel="0" collapsed="false">
      <c r="A971" s="4" t="s">
        <v>3190</v>
      </c>
      <c r="B971" s="4" t="str">
        <f aca="false">IF(AND(I971&gt;='Read Me &amp; Markers'!$B$18,J971&gt;='Read Me &amp; Markers'!$B$19,L971&gt;='Read Me &amp; Markers'!$B$20),"A. Proven winner",IF(AND(I971&gt;='Read Me &amp; Markers'!$B$18,J971&gt;='Read Me &amp; Markers'!$B$19,L971&gt;='Read Me &amp; Markers'!$B$21),"B. Strong performer",IF(AND(I971&gt;='Read Me &amp; Markers'!$B$22,L971&gt;='Read Me &amp; Markers'!$B$23),"C. Scale workhorse",IF(AND(I971&gt;='Read Me &amp; Markers'!$B$24,I971&lt;'Read Me &amp; Markers'!$B$18,J971&gt;='Read Me &amp; Markers'!$B$25,L971&gt;='Read Me &amp; Markers'!$B$26),"D. Promising (needs more spend)",""))))</f>
        <v/>
      </c>
      <c r="C971" s="4" t="s">
        <v>129</v>
      </c>
      <c r="D971" s="4" t="s">
        <v>154</v>
      </c>
      <c r="E971" s="4" t="s">
        <v>3191</v>
      </c>
      <c r="F971" s="4" t="s">
        <v>253</v>
      </c>
      <c r="G971" s="4" t="s">
        <v>124</v>
      </c>
      <c r="H971" s="4" t="s">
        <v>3192</v>
      </c>
      <c r="I971" s="5" t="n">
        <v>2.24</v>
      </c>
      <c r="J971" s="7" t="n">
        <v>0</v>
      </c>
      <c r="K971" s="5" t="n">
        <v>0</v>
      </c>
      <c r="L971" s="8" t="n">
        <v>0</v>
      </c>
      <c r="M971" s="9" t="n">
        <v>0</v>
      </c>
      <c r="N971" s="10" t="n">
        <v>0.15384615</v>
      </c>
      <c r="O971" s="5" t="n">
        <v>86.15</v>
      </c>
      <c r="P971" s="11" t="n">
        <v>1.368421</v>
      </c>
      <c r="Q971" s="7" t="n">
        <v>26</v>
      </c>
      <c r="R971" s="7" t="n">
        <v>4</v>
      </c>
      <c r="S971" s="7" t="n">
        <v>0</v>
      </c>
      <c r="T971" s="7" t="n">
        <v>0</v>
      </c>
      <c r="U971" s="7" t="n">
        <v>21</v>
      </c>
      <c r="V971" s="7" t="n">
        <v>8</v>
      </c>
    </row>
    <row r="972" customFormat="false" ht="15" hidden="false" customHeight="false" outlineLevel="0" collapsed="false">
      <c r="A972" s="4" t="s">
        <v>3193</v>
      </c>
      <c r="B972" s="4" t="str">
        <f aca="false">IF(AND(I972&gt;='Read Me &amp; Markers'!$B$18,J972&gt;='Read Me &amp; Markers'!$B$19,L972&gt;='Read Me &amp; Markers'!$B$20),"A. Proven winner",IF(AND(I972&gt;='Read Me &amp; Markers'!$B$18,J972&gt;='Read Me &amp; Markers'!$B$19,L972&gt;='Read Me &amp; Markers'!$B$21),"B. Strong performer",IF(AND(I972&gt;='Read Me &amp; Markers'!$B$22,L972&gt;='Read Me &amp; Markers'!$B$23),"C. Scale workhorse",IF(AND(I972&gt;='Read Me &amp; Markers'!$B$24,I972&lt;'Read Me &amp; Markers'!$B$18,J972&gt;='Read Me &amp; Markers'!$B$25,L972&gt;='Read Me &amp; Markers'!$B$26),"D. Promising (needs more spend)",""))))</f>
        <v/>
      </c>
      <c r="C972" s="4" t="s">
        <v>3194</v>
      </c>
      <c r="D972" s="4" t="s">
        <v>1204</v>
      </c>
      <c r="E972" s="4" t="s">
        <v>1205</v>
      </c>
      <c r="F972" s="4" t="s">
        <v>253</v>
      </c>
      <c r="G972" s="4" t="s">
        <v>1206</v>
      </c>
      <c r="H972" s="4" t="s">
        <v>3195</v>
      </c>
      <c r="I972" s="5" t="n">
        <v>2.2</v>
      </c>
      <c r="J972" s="7" t="n">
        <v>0</v>
      </c>
      <c r="K972" s="5" t="n">
        <v>0</v>
      </c>
      <c r="L972" s="8" t="n">
        <v>0</v>
      </c>
      <c r="M972" s="9" t="n">
        <v>0</v>
      </c>
      <c r="N972" s="10" t="n">
        <v>0</v>
      </c>
      <c r="O972" s="5" t="n">
        <v>244.44</v>
      </c>
      <c r="P972" s="11" t="n">
        <v>1.285714</v>
      </c>
      <c r="Q972" s="7" t="n">
        <v>9</v>
      </c>
      <c r="R972" s="7" t="n">
        <v>0</v>
      </c>
      <c r="S972" s="7" t="n">
        <v>0</v>
      </c>
      <c r="T972" s="7" t="n">
        <v>0</v>
      </c>
      <c r="U972" s="7" t="n">
        <v>9</v>
      </c>
      <c r="V972" s="7" t="n">
        <v>2</v>
      </c>
    </row>
    <row r="973" customFormat="false" ht="15" hidden="false" customHeight="false" outlineLevel="0" collapsed="false">
      <c r="A973" s="4" t="s">
        <v>3196</v>
      </c>
      <c r="B973" s="4" t="str">
        <f aca="false">IF(AND(I973&gt;='Read Me &amp; Markers'!$B$18,J973&gt;='Read Me &amp; Markers'!$B$19,L973&gt;='Read Me &amp; Markers'!$B$20),"A. Proven winner",IF(AND(I973&gt;='Read Me &amp; Markers'!$B$18,J973&gt;='Read Me &amp; Markers'!$B$19,L973&gt;='Read Me &amp; Markers'!$B$21),"B. Strong performer",IF(AND(I973&gt;='Read Me &amp; Markers'!$B$22,L973&gt;='Read Me &amp; Markers'!$B$23),"C. Scale workhorse",IF(AND(I973&gt;='Read Me &amp; Markers'!$B$24,I973&lt;'Read Me &amp; Markers'!$B$18,J973&gt;='Read Me &amp; Markers'!$B$25,L973&gt;='Read Me &amp; Markers'!$B$26),"D. Promising (needs more spend)",""))))</f>
        <v/>
      </c>
      <c r="C973" s="4" t="s">
        <v>169</v>
      </c>
      <c r="D973" s="4" t="s">
        <v>100</v>
      </c>
      <c r="E973" s="4" t="s">
        <v>2589</v>
      </c>
      <c r="F973" s="4" t="s">
        <v>230</v>
      </c>
      <c r="G973" s="4" t="s">
        <v>279</v>
      </c>
      <c r="H973" s="4" t="s">
        <v>3197</v>
      </c>
      <c r="I973" s="5" t="n">
        <v>2.18</v>
      </c>
      <c r="J973" s="7" t="n">
        <v>0</v>
      </c>
      <c r="K973" s="5" t="n">
        <v>0</v>
      </c>
      <c r="L973" s="8" t="n">
        <v>0</v>
      </c>
      <c r="M973" s="9" t="n">
        <v>0</v>
      </c>
      <c r="N973" s="10" t="n">
        <v>0</v>
      </c>
      <c r="O973" s="5" t="n">
        <v>145.33</v>
      </c>
      <c r="P973" s="11" t="n">
        <v>1</v>
      </c>
      <c r="Q973" s="7" t="n">
        <v>15</v>
      </c>
      <c r="R973" s="7" t="n">
        <v>0</v>
      </c>
      <c r="S973" s="7" t="n">
        <v>0</v>
      </c>
      <c r="T973" s="7" t="n">
        <v>0</v>
      </c>
      <c r="U973" s="7" t="n">
        <v>12</v>
      </c>
      <c r="V973" s="7" t="n">
        <v>4</v>
      </c>
    </row>
    <row r="974" customFormat="false" ht="15" hidden="false" customHeight="false" outlineLevel="0" collapsed="false">
      <c r="A974" s="4" t="s">
        <v>3198</v>
      </c>
      <c r="B974" s="4" t="str">
        <f aca="false">IF(AND(I974&gt;='Read Me &amp; Markers'!$B$18,J974&gt;='Read Me &amp; Markers'!$B$19,L974&gt;='Read Me &amp; Markers'!$B$20),"A. Proven winner",IF(AND(I974&gt;='Read Me &amp; Markers'!$B$18,J974&gt;='Read Me &amp; Markers'!$B$19,L974&gt;='Read Me &amp; Markers'!$B$21),"B. Strong performer",IF(AND(I974&gt;='Read Me &amp; Markers'!$B$22,L974&gt;='Read Me &amp; Markers'!$B$23),"C. Scale workhorse",IF(AND(I974&gt;='Read Me &amp; Markers'!$B$24,I974&lt;'Read Me &amp; Markers'!$B$18,J974&gt;='Read Me &amp; Markers'!$B$25,L974&gt;='Read Me &amp; Markers'!$B$26),"D. Promising (needs more spend)",""))))</f>
        <v/>
      </c>
      <c r="C974" s="4" t="s">
        <v>3199</v>
      </c>
      <c r="D974" s="4" t="s">
        <v>109</v>
      </c>
      <c r="E974" s="4" t="s">
        <v>1936</v>
      </c>
      <c r="F974" s="4" t="s">
        <v>111</v>
      </c>
      <c r="G974" s="4" t="s">
        <v>1937</v>
      </c>
      <c r="H974" s="4" t="s">
        <v>3200</v>
      </c>
      <c r="I974" s="5" t="n">
        <v>2.17</v>
      </c>
      <c r="J974" s="7" t="n">
        <v>0</v>
      </c>
      <c r="K974" s="5" t="n">
        <v>0</v>
      </c>
      <c r="L974" s="8" t="n">
        <v>0</v>
      </c>
      <c r="M974" s="9" t="n">
        <v>0</v>
      </c>
      <c r="N974" s="10" t="n">
        <v>0</v>
      </c>
      <c r="O974" s="5" t="n">
        <v>80.37</v>
      </c>
      <c r="P974" s="11" t="n">
        <v>1.285714</v>
      </c>
      <c r="Q974" s="7" t="n">
        <v>27</v>
      </c>
      <c r="R974" s="7" t="n">
        <v>0</v>
      </c>
      <c r="S974" s="7" t="n">
        <v>0</v>
      </c>
      <c r="T974" s="7" t="n">
        <v>0</v>
      </c>
      <c r="U974" s="7" t="n">
        <v>0</v>
      </c>
      <c r="V974" s="7" t="n">
        <v>0</v>
      </c>
    </row>
    <row r="975" customFormat="false" ht="15" hidden="false" customHeight="false" outlineLevel="0" collapsed="false">
      <c r="A975" s="4" t="s">
        <v>3201</v>
      </c>
      <c r="B975" s="4" t="str">
        <f aca="false">IF(AND(I975&gt;='Read Me &amp; Markers'!$B$18,J975&gt;='Read Me &amp; Markers'!$B$19,L975&gt;='Read Me &amp; Markers'!$B$20),"A. Proven winner",IF(AND(I975&gt;='Read Me &amp; Markers'!$B$18,J975&gt;='Read Me &amp; Markers'!$B$19,L975&gt;='Read Me &amp; Markers'!$B$21),"B. Strong performer",IF(AND(I975&gt;='Read Me &amp; Markers'!$B$22,L975&gt;='Read Me &amp; Markers'!$B$23),"C. Scale workhorse",IF(AND(I975&gt;='Read Me &amp; Markers'!$B$24,I975&lt;'Read Me &amp; Markers'!$B$18,J975&gt;='Read Me &amp; Markers'!$B$25,L975&gt;='Read Me &amp; Markers'!$B$26),"D. Promising (needs more spend)",""))))</f>
        <v/>
      </c>
      <c r="C975" s="4" t="s">
        <v>121</v>
      </c>
      <c r="D975" s="4" t="s">
        <v>206</v>
      </c>
      <c r="E975" s="4" t="s">
        <v>1835</v>
      </c>
      <c r="F975" s="4" t="s">
        <v>253</v>
      </c>
      <c r="G975" s="4" t="s">
        <v>132</v>
      </c>
      <c r="H975" s="4" t="s">
        <v>3202</v>
      </c>
      <c r="I975" s="5" t="n">
        <v>2.16</v>
      </c>
      <c r="J975" s="7" t="n">
        <v>0</v>
      </c>
      <c r="K975" s="5" t="n">
        <v>0</v>
      </c>
      <c r="L975" s="8" t="n">
        <v>0</v>
      </c>
      <c r="M975" s="9" t="n">
        <v>0</v>
      </c>
      <c r="N975" s="10" t="n">
        <v>0</v>
      </c>
      <c r="O975" s="5" t="n">
        <v>93.91</v>
      </c>
      <c r="P975" s="11" t="n">
        <v>1</v>
      </c>
      <c r="Q975" s="7" t="n">
        <v>23</v>
      </c>
      <c r="R975" s="7" t="n">
        <v>0</v>
      </c>
      <c r="S975" s="7" t="n">
        <v>0</v>
      </c>
      <c r="T975" s="7" t="n">
        <v>0</v>
      </c>
      <c r="U975" s="7" t="n">
        <v>19</v>
      </c>
      <c r="V975" s="7" t="n">
        <v>6</v>
      </c>
    </row>
    <row r="976" customFormat="false" ht="15" hidden="false" customHeight="false" outlineLevel="0" collapsed="false">
      <c r="A976" s="4" t="s">
        <v>3203</v>
      </c>
      <c r="B976" s="4" t="str">
        <f aca="false">IF(AND(I976&gt;='Read Me &amp; Markers'!$B$18,J976&gt;='Read Me &amp; Markers'!$B$19,L976&gt;='Read Me &amp; Markers'!$B$20),"A. Proven winner",IF(AND(I976&gt;='Read Me &amp; Markers'!$B$18,J976&gt;='Read Me &amp; Markers'!$B$19,L976&gt;='Read Me &amp; Markers'!$B$21),"B. Strong performer",IF(AND(I976&gt;='Read Me &amp; Markers'!$B$22,L976&gt;='Read Me &amp; Markers'!$B$23),"C. Scale workhorse",IF(AND(I976&gt;='Read Me &amp; Markers'!$B$24,I976&lt;'Read Me &amp; Markers'!$B$18,J976&gt;='Read Me &amp; Markers'!$B$25,L976&gt;='Read Me &amp; Markers'!$B$26),"D. Promising (needs more spend)",""))))</f>
        <v/>
      </c>
      <c r="C976" s="4" t="s">
        <v>3204</v>
      </c>
      <c r="D976" s="4" t="s">
        <v>1049</v>
      </c>
      <c r="E976" s="4" t="s">
        <v>1050</v>
      </c>
      <c r="F976" s="4" t="s">
        <v>253</v>
      </c>
      <c r="G976" s="4" t="s">
        <v>436</v>
      </c>
      <c r="H976" s="4" t="s">
        <v>595</v>
      </c>
      <c r="I976" s="5" t="n">
        <v>2.15</v>
      </c>
      <c r="J976" s="7" t="n">
        <v>1</v>
      </c>
      <c r="K976" s="5" t="n">
        <v>59.78</v>
      </c>
      <c r="L976" s="8" t="n">
        <v>27.804651</v>
      </c>
      <c r="M976" s="9" t="n">
        <v>2.15</v>
      </c>
      <c r="N976" s="10" t="n">
        <v>0.66666667</v>
      </c>
      <c r="O976" s="5" t="n">
        <v>358.33</v>
      </c>
      <c r="P976" s="11" t="n">
        <v>1</v>
      </c>
      <c r="Q976" s="7" t="n">
        <v>6</v>
      </c>
      <c r="R976" s="7" t="n">
        <v>4</v>
      </c>
      <c r="S976" s="7" t="n">
        <v>1</v>
      </c>
      <c r="T976" s="7" t="n">
        <v>1</v>
      </c>
      <c r="U976" s="7" t="n">
        <v>4</v>
      </c>
      <c r="V976" s="7" t="n">
        <v>3</v>
      </c>
    </row>
    <row r="977" customFormat="false" ht="15" hidden="false" customHeight="false" outlineLevel="0" collapsed="false">
      <c r="A977" s="4" t="s">
        <v>3205</v>
      </c>
      <c r="B977" s="4" t="str">
        <f aca="false">IF(AND(I977&gt;='Read Me &amp; Markers'!$B$18,J977&gt;='Read Me &amp; Markers'!$B$19,L977&gt;='Read Me &amp; Markers'!$B$20),"A. Proven winner",IF(AND(I977&gt;='Read Me &amp; Markers'!$B$18,J977&gt;='Read Me &amp; Markers'!$B$19,L977&gt;='Read Me &amp; Markers'!$B$21),"B. Strong performer",IF(AND(I977&gt;='Read Me &amp; Markers'!$B$22,L977&gt;='Read Me &amp; Markers'!$B$23),"C. Scale workhorse",IF(AND(I977&gt;='Read Me &amp; Markers'!$B$24,I977&lt;'Read Me &amp; Markers'!$B$18,J977&gt;='Read Me &amp; Markers'!$B$25,L977&gt;='Read Me &amp; Markers'!$B$26),"D. Promising (needs more spend)",""))))</f>
        <v/>
      </c>
      <c r="C977" s="4" t="s">
        <v>3206</v>
      </c>
      <c r="D977" s="4" t="s">
        <v>109</v>
      </c>
      <c r="E977" s="4" t="s">
        <v>2714</v>
      </c>
      <c r="F977" s="4" t="s">
        <v>111</v>
      </c>
      <c r="G977" s="4" t="s">
        <v>286</v>
      </c>
      <c r="H977" s="4" t="s">
        <v>3207</v>
      </c>
      <c r="I977" s="5" t="n">
        <v>2.14</v>
      </c>
      <c r="J977" s="7" t="n">
        <v>0</v>
      </c>
      <c r="K977" s="5" t="n">
        <v>0</v>
      </c>
      <c r="L977" s="8" t="n">
        <v>0</v>
      </c>
      <c r="M977" s="9" t="n">
        <v>0</v>
      </c>
      <c r="N977" s="10" t="n">
        <v>0</v>
      </c>
      <c r="O977" s="5" t="n">
        <v>107</v>
      </c>
      <c r="P977" s="11" t="n">
        <v>1.176471</v>
      </c>
      <c r="Q977" s="7" t="n">
        <v>20</v>
      </c>
      <c r="R977" s="7" t="n">
        <v>0</v>
      </c>
      <c r="S977" s="7" t="n">
        <v>0</v>
      </c>
      <c r="T977" s="7" t="n">
        <v>0</v>
      </c>
      <c r="U977" s="7" t="n">
        <v>19</v>
      </c>
      <c r="V977" s="7" t="n">
        <v>3</v>
      </c>
    </row>
    <row r="978" customFormat="false" ht="15" hidden="false" customHeight="false" outlineLevel="0" collapsed="false">
      <c r="A978" s="4" t="s">
        <v>3208</v>
      </c>
      <c r="B978" s="4" t="str">
        <f aca="false">IF(AND(I978&gt;='Read Me &amp; Markers'!$B$18,J978&gt;='Read Me &amp; Markers'!$B$19,L978&gt;='Read Me &amp; Markers'!$B$20),"A. Proven winner",IF(AND(I978&gt;='Read Me &amp; Markers'!$B$18,J978&gt;='Read Me &amp; Markers'!$B$19,L978&gt;='Read Me &amp; Markers'!$B$21),"B. Strong performer",IF(AND(I978&gt;='Read Me &amp; Markers'!$B$22,L978&gt;='Read Me &amp; Markers'!$B$23),"C. Scale workhorse",IF(AND(I978&gt;='Read Me &amp; Markers'!$B$24,I978&lt;'Read Me &amp; Markers'!$B$18,J978&gt;='Read Me &amp; Markers'!$B$25,L978&gt;='Read Me &amp; Markers'!$B$26),"D. Promising (needs more spend)",""))))</f>
        <v/>
      </c>
      <c r="C978" s="4" t="s">
        <v>3209</v>
      </c>
      <c r="D978" s="4" t="s">
        <v>109</v>
      </c>
      <c r="E978" s="4" t="s">
        <v>435</v>
      </c>
      <c r="F978" s="4" t="s">
        <v>111</v>
      </c>
      <c r="G978" s="4" t="s">
        <v>500</v>
      </c>
      <c r="H978" s="4" t="s">
        <v>3210</v>
      </c>
      <c r="I978" s="5" t="n">
        <v>2.14</v>
      </c>
      <c r="J978" s="7" t="n">
        <v>0</v>
      </c>
      <c r="K978" s="5" t="n">
        <v>0</v>
      </c>
      <c r="L978" s="8" t="n">
        <v>0</v>
      </c>
      <c r="M978" s="9" t="n">
        <v>0</v>
      </c>
      <c r="N978" s="10" t="n">
        <v>0</v>
      </c>
      <c r="O978" s="5" t="n">
        <v>62.94</v>
      </c>
      <c r="P978" s="11" t="n">
        <v>1.214286</v>
      </c>
      <c r="Q978" s="7" t="n">
        <v>34</v>
      </c>
      <c r="R978" s="7" t="n">
        <v>0</v>
      </c>
      <c r="S978" s="7" t="n">
        <v>0</v>
      </c>
      <c r="T978" s="7" t="n">
        <v>0</v>
      </c>
      <c r="U978" s="7" t="n">
        <v>0</v>
      </c>
      <c r="V978" s="7" t="n">
        <v>0</v>
      </c>
    </row>
    <row r="979" customFormat="false" ht="15" hidden="false" customHeight="false" outlineLevel="0" collapsed="false">
      <c r="A979" s="4" t="s">
        <v>3211</v>
      </c>
      <c r="B979" s="4" t="str">
        <f aca="false">IF(AND(I979&gt;='Read Me &amp; Markers'!$B$18,J979&gt;='Read Me &amp; Markers'!$B$19,L979&gt;='Read Me &amp; Markers'!$B$20),"A. Proven winner",IF(AND(I979&gt;='Read Me &amp; Markers'!$B$18,J979&gt;='Read Me &amp; Markers'!$B$19,L979&gt;='Read Me &amp; Markers'!$B$21),"B. Strong performer",IF(AND(I979&gt;='Read Me &amp; Markers'!$B$22,L979&gt;='Read Me &amp; Markers'!$B$23),"C. Scale workhorse",IF(AND(I979&gt;='Read Me &amp; Markers'!$B$24,I979&lt;'Read Me &amp; Markers'!$B$18,J979&gt;='Read Me &amp; Markers'!$B$25,L979&gt;='Read Me &amp; Markers'!$B$26),"D. Promising (needs more spend)",""))))</f>
        <v/>
      </c>
      <c r="C979" s="4" t="s">
        <v>129</v>
      </c>
      <c r="D979" s="4" t="s">
        <v>154</v>
      </c>
      <c r="E979" s="4" t="s">
        <v>3212</v>
      </c>
      <c r="F979" s="4" t="s">
        <v>253</v>
      </c>
      <c r="G979" s="4" t="s">
        <v>88</v>
      </c>
      <c r="H979" s="4" t="s">
        <v>3213</v>
      </c>
      <c r="I979" s="5" t="n">
        <v>2.13</v>
      </c>
      <c r="J979" s="7" t="n">
        <v>0</v>
      </c>
      <c r="K979" s="5" t="n">
        <v>0</v>
      </c>
      <c r="L979" s="8" t="n">
        <v>0</v>
      </c>
      <c r="M979" s="9" t="n">
        <v>0</v>
      </c>
      <c r="N979" s="10" t="n">
        <v>0</v>
      </c>
      <c r="O979" s="5" t="n">
        <v>25.66</v>
      </c>
      <c r="P979" s="11" t="n">
        <v>1.238806</v>
      </c>
      <c r="Q979" s="7" t="n">
        <v>83</v>
      </c>
      <c r="R979" s="7" t="n">
        <v>0</v>
      </c>
      <c r="S979" s="7" t="n">
        <v>0</v>
      </c>
      <c r="T979" s="7" t="n">
        <v>0</v>
      </c>
      <c r="U979" s="7" t="n">
        <v>34</v>
      </c>
      <c r="V979" s="7" t="n">
        <v>6</v>
      </c>
    </row>
    <row r="980" customFormat="false" ht="15" hidden="false" customHeight="false" outlineLevel="0" collapsed="false">
      <c r="A980" s="4" t="s">
        <v>3214</v>
      </c>
      <c r="B980" s="4" t="str">
        <f aca="false">IF(AND(I980&gt;='Read Me &amp; Markers'!$B$18,J980&gt;='Read Me &amp; Markers'!$B$19,L980&gt;='Read Me &amp; Markers'!$B$20),"A. Proven winner",IF(AND(I980&gt;='Read Me &amp; Markers'!$B$18,J980&gt;='Read Me &amp; Markers'!$B$19,L980&gt;='Read Me &amp; Markers'!$B$21),"B. Strong performer",IF(AND(I980&gt;='Read Me &amp; Markers'!$B$22,L980&gt;='Read Me &amp; Markers'!$B$23),"C. Scale workhorse",IF(AND(I980&gt;='Read Me &amp; Markers'!$B$24,I980&lt;'Read Me &amp; Markers'!$B$18,J980&gt;='Read Me &amp; Markers'!$B$25,L980&gt;='Read Me &amp; Markers'!$B$26),"D. Promising (needs more spend)",""))))</f>
        <v/>
      </c>
      <c r="C980" s="4" t="s">
        <v>129</v>
      </c>
      <c r="D980" s="4" t="s">
        <v>100</v>
      </c>
      <c r="E980" s="4" t="s">
        <v>462</v>
      </c>
      <c r="F980" s="4" t="s">
        <v>87</v>
      </c>
      <c r="G980" s="4" t="s">
        <v>208</v>
      </c>
      <c r="H980" s="4" t="s">
        <v>3215</v>
      </c>
      <c r="I980" s="5" t="n">
        <v>2.12</v>
      </c>
      <c r="J980" s="7" t="n">
        <v>0</v>
      </c>
      <c r="K980" s="5" t="n">
        <v>0</v>
      </c>
      <c r="L980" s="8" t="n">
        <v>0</v>
      </c>
      <c r="M980" s="9" t="n">
        <v>0</v>
      </c>
      <c r="N980" s="10" t="n">
        <v>0</v>
      </c>
      <c r="O980" s="5" t="n">
        <v>84.8</v>
      </c>
      <c r="P980" s="11" t="n">
        <v>1</v>
      </c>
      <c r="Q980" s="7" t="n">
        <v>25</v>
      </c>
      <c r="R980" s="7" t="n">
        <v>0</v>
      </c>
      <c r="S980" s="7" t="n">
        <v>0</v>
      </c>
      <c r="T980" s="7" t="n">
        <v>0</v>
      </c>
      <c r="U980" s="7" t="n">
        <v>20</v>
      </c>
      <c r="V980" s="7" t="n">
        <v>4</v>
      </c>
    </row>
    <row r="981" customFormat="false" ht="15" hidden="false" customHeight="false" outlineLevel="0" collapsed="false">
      <c r="A981" s="4" t="s">
        <v>3216</v>
      </c>
      <c r="B981" s="4" t="str">
        <f aca="false">IF(AND(I981&gt;='Read Me &amp; Markers'!$B$18,J981&gt;='Read Me &amp; Markers'!$B$19,L981&gt;='Read Me &amp; Markers'!$B$20),"A. Proven winner",IF(AND(I981&gt;='Read Me &amp; Markers'!$B$18,J981&gt;='Read Me &amp; Markers'!$B$19,L981&gt;='Read Me &amp; Markers'!$B$21),"B. Strong performer",IF(AND(I981&gt;='Read Me &amp; Markers'!$B$22,L981&gt;='Read Me &amp; Markers'!$B$23),"C. Scale workhorse",IF(AND(I981&gt;='Read Me &amp; Markers'!$B$24,I981&lt;'Read Me &amp; Markers'!$B$18,J981&gt;='Read Me &amp; Markers'!$B$25,L981&gt;='Read Me &amp; Markers'!$B$26),"D. Promising (needs more spend)",""))))</f>
        <v/>
      </c>
      <c r="C981" s="4" t="s">
        <v>129</v>
      </c>
      <c r="D981" s="4" t="s">
        <v>206</v>
      </c>
      <c r="E981" s="4" t="s">
        <v>1035</v>
      </c>
      <c r="F981" s="4" t="s">
        <v>253</v>
      </c>
      <c r="G981" s="4" t="s">
        <v>743</v>
      </c>
      <c r="H981" s="4" t="s">
        <v>3217</v>
      </c>
      <c r="I981" s="5" t="n">
        <v>2.11</v>
      </c>
      <c r="J981" s="7" t="n">
        <v>0</v>
      </c>
      <c r="K981" s="5" t="n">
        <v>0</v>
      </c>
      <c r="L981" s="8" t="n">
        <v>0</v>
      </c>
      <c r="M981" s="9" t="n">
        <v>0</v>
      </c>
      <c r="N981" s="10" t="n">
        <v>0</v>
      </c>
      <c r="O981" s="5" t="n">
        <v>105.5</v>
      </c>
      <c r="P981" s="11" t="n">
        <v>1</v>
      </c>
      <c r="Q981" s="7" t="n">
        <v>20</v>
      </c>
      <c r="R981" s="7" t="n">
        <v>0</v>
      </c>
      <c r="S981" s="7" t="n">
        <v>0</v>
      </c>
      <c r="T981" s="7" t="n">
        <v>0</v>
      </c>
      <c r="U981" s="7" t="n">
        <v>17</v>
      </c>
      <c r="V981" s="7" t="n">
        <v>1</v>
      </c>
    </row>
    <row r="982" customFormat="false" ht="15" hidden="false" customHeight="false" outlineLevel="0" collapsed="false">
      <c r="A982" s="4" t="s">
        <v>3218</v>
      </c>
      <c r="B982" s="4" t="str">
        <f aca="false">IF(AND(I982&gt;='Read Me &amp; Markers'!$B$18,J982&gt;='Read Me &amp; Markers'!$B$19,L982&gt;='Read Me &amp; Markers'!$B$20),"A. Proven winner",IF(AND(I982&gt;='Read Me &amp; Markers'!$B$18,J982&gt;='Read Me &amp; Markers'!$B$19,L982&gt;='Read Me &amp; Markers'!$B$21),"B. Strong performer",IF(AND(I982&gt;='Read Me &amp; Markers'!$B$22,L982&gt;='Read Me &amp; Markers'!$B$23),"C. Scale workhorse",IF(AND(I982&gt;='Read Me &amp; Markers'!$B$24,I982&lt;'Read Me &amp; Markers'!$B$18,J982&gt;='Read Me &amp; Markers'!$B$25,L982&gt;='Read Me &amp; Markers'!$B$26),"D. Promising (needs more spend)",""))))</f>
        <v/>
      </c>
      <c r="C982" s="4" t="s">
        <v>3219</v>
      </c>
      <c r="D982" s="4" t="s">
        <v>109</v>
      </c>
      <c r="E982" s="4" t="s">
        <v>979</v>
      </c>
      <c r="F982" s="4" t="s">
        <v>172</v>
      </c>
      <c r="G982" s="4" t="s">
        <v>659</v>
      </c>
      <c r="H982" s="4" t="s">
        <v>3220</v>
      </c>
      <c r="I982" s="5" t="n">
        <v>2.1</v>
      </c>
      <c r="J982" s="7" t="n">
        <v>0</v>
      </c>
      <c r="K982" s="5" t="n">
        <v>0</v>
      </c>
      <c r="L982" s="8" t="n">
        <v>0</v>
      </c>
      <c r="M982" s="9" t="n">
        <v>0</v>
      </c>
      <c r="N982" s="10" t="n">
        <v>0</v>
      </c>
      <c r="O982" s="5" t="n">
        <v>87.5</v>
      </c>
      <c r="P982" s="11" t="n">
        <v>1.043478</v>
      </c>
      <c r="Q982" s="7" t="n">
        <v>24</v>
      </c>
      <c r="R982" s="7" t="n">
        <v>0</v>
      </c>
      <c r="S982" s="7" t="n">
        <v>0</v>
      </c>
      <c r="T982" s="7" t="n">
        <v>0</v>
      </c>
      <c r="U982" s="7" t="n">
        <v>21</v>
      </c>
      <c r="V982" s="7" t="n">
        <v>1</v>
      </c>
    </row>
    <row r="983" customFormat="false" ht="15" hidden="false" customHeight="false" outlineLevel="0" collapsed="false">
      <c r="A983" s="4" t="s">
        <v>3221</v>
      </c>
      <c r="B983" s="4" t="str">
        <f aca="false">IF(AND(I983&gt;='Read Me &amp; Markers'!$B$18,J983&gt;='Read Me &amp; Markers'!$B$19,L983&gt;='Read Me &amp; Markers'!$B$20),"A. Proven winner",IF(AND(I983&gt;='Read Me &amp; Markers'!$B$18,J983&gt;='Read Me &amp; Markers'!$B$19,L983&gt;='Read Me &amp; Markers'!$B$21),"B. Strong performer",IF(AND(I983&gt;='Read Me &amp; Markers'!$B$22,L983&gt;='Read Me &amp; Markers'!$B$23),"C. Scale workhorse",IF(AND(I983&gt;='Read Me &amp; Markers'!$B$24,I983&lt;'Read Me &amp; Markers'!$B$18,J983&gt;='Read Me &amp; Markers'!$B$25,L983&gt;='Read Me &amp; Markers'!$B$26),"D. Promising (needs more spend)",""))))</f>
        <v/>
      </c>
      <c r="C983" s="4" t="s">
        <v>3222</v>
      </c>
      <c r="D983" s="4" t="s">
        <v>109</v>
      </c>
      <c r="E983" s="4" t="s">
        <v>489</v>
      </c>
      <c r="F983" s="4" t="s">
        <v>111</v>
      </c>
      <c r="G983" s="4" t="s">
        <v>490</v>
      </c>
      <c r="H983" s="4" t="s">
        <v>3223</v>
      </c>
      <c r="I983" s="5" t="n">
        <v>2.08</v>
      </c>
      <c r="J983" s="7" t="n">
        <v>0</v>
      </c>
      <c r="K983" s="5" t="n">
        <v>0</v>
      </c>
      <c r="L983" s="8" t="n">
        <v>0</v>
      </c>
      <c r="M983" s="9" t="n">
        <v>0</v>
      </c>
      <c r="N983" s="10" t="n">
        <v>0.05555556</v>
      </c>
      <c r="O983" s="5" t="n">
        <v>115.56</v>
      </c>
      <c r="P983" s="11" t="n">
        <v>1.058824</v>
      </c>
      <c r="Q983" s="7" t="n">
        <v>18</v>
      </c>
      <c r="R983" s="7" t="n">
        <v>1</v>
      </c>
      <c r="S983" s="7" t="n">
        <v>0</v>
      </c>
      <c r="T983" s="7" t="n">
        <v>0</v>
      </c>
      <c r="U983" s="7" t="n">
        <v>17</v>
      </c>
      <c r="V983" s="7" t="n">
        <v>3</v>
      </c>
    </row>
    <row r="984" customFormat="false" ht="15" hidden="false" customHeight="false" outlineLevel="0" collapsed="false">
      <c r="A984" s="4" t="s">
        <v>3224</v>
      </c>
      <c r="B984" s="4" t="str">
        <f aca="false">IF(AND(I984&gt;='Read Me &amp; Markers'!$B$18,J984&gt;='Read Me &amp; Markers'!$B$19,L984&gt;='Read Me &amp; Markers'!$B$20),"A. Proven winner",IF(AND(I984&gt;='Read Me &amp; Markers'!$B$18,J984&gt;='Read Me &amp; Markers'!$B$19,L984&gt;='Read Me &amp; Markers'!$B$21),"B. Strong performer",IF(AND(I984&gt;='Read Me &amp; Markers'!$B$22,L984&gt;='Read Me &amp; Markers'!$B$23),"C. Scale workhorse",IF(AND(I984&gt;='Read Me &amp; Markers'!$B$24,I984&lt;'Read Me &amp; Markers'!$B$18,J984&gt;='Read Me &amp; Markers'!$B$25,L984&gt;='Read Me &amp; Markers'!$B$26),"D. Promising (needs more spend)",""))))</f>
        <v/>
      </c>
      <c r="C984" s="4" t="s">
        <v>3225</v>
      </c>
      <c r="D984" s="4" t="s">
        <v>109</v>
      </c>
      <c r="E984" s="4" t="s">
        <v>482</v>
      </c>
      <c r="F984" s="4" t="s">
        <v>111</v>
      </c>
      <c r="G984" s="4" t="s">
        <v>483</v>
      </c>
      <c r="H984" s="4" t="s">
        <v>3226</v>
      </c>
      <c r="I984" s="5" t="n">
        <v>2.04</v>
      </c>
      <c r="J984" s="7" t="n">
        <v>0</v>
      </c>
      <c r="K984" s="5" t="n">
        <v>0</v>
      </c>
      <c r="L984" s="8" t="n">
        <v>0</v>
      </c>
      <c r="M984" s="9" t="n">
        <v>0</v>
      </c>
      <c r="N984" s="10" t="n">
        <v>0.05882353</v>
      </c>
      <c r="O984" s="5" t="n">
        <v>120</v>
      </c>
      <c r="P984" s="11" t="n">
        <v>1.0625</v>
      </c>
      <c r="Q984" s="7" t="n">
        <v>17</v>
      </c>
      <c r="R984" s="7" t="n">
        <v>1</v>
      </c>
      <c r="S984" s="7" t="n">
        <v>0</v>
      </c>
      <c r="T984" s="7" t="n">
        <v>0</v>
      </c>
      <c r="U984" s="7" t="n">
        <v>17</v>
      </c>
      <c r="V984" s="7" t="n">
        <v>7</v>
      </c>
    </row>
    <row r="985" customFormat="false" ht="15" hidden="false" customHeight="false" outlineLevel="0" collapsed="false">
      <c r="A985" s="4" t="s">
        <v>3227</v>
      </c>
      <c r="B985" s="4" t="str">
        <f aca="false">IF(AND(I985&gt;='Read Me &amp; Markers'!$B$18,J985&gt;='Read Me &amp; Markers'!$B$19,L985&gt;='Read Me &amp; Markers'!$B$20),"A. Proven winner",IF(AND(I985&gt;='Read Me &amp; Markers'!$B$18,J985&gt;='Read Me &amp; Markers'!$B$19,L985&gt;='Read Me &amp; Markers'!$B$21),"B. Strong performer",IF(AND(I985&gt;='Read Me &amp; Markers'!$B$22,L985&gt;='Read Me &amp; Markers'!$B$23),"C. Scale workhorse",IF(AND(I985&gt;='Read Me &amp; Markers'!$B$24,I985&lt;'Read Me &amp; Markers'!$B$18,J985&gt;='Read Me &amp; Markers'!$B$25,L985&gt;='Read Me &amp; Markers'!$B$26),"D. Promising (needs more spend)",""))))</f>
        <v/>
      </c>
      <c r="C985" s="4" t="s">
        <v>3228</v>
      </c>
      <c r="D985" s="4" t="s">
        <v>1204</v>
      </c>
      <c r="E985" s="4" t="s">
        <v>2836</v>
      </c>
      <c r="F985" s="4" t="s">
        <v>253</v>
      </c>
      <c r="G985" s="4" t="s">
        <v>1206</v>
      </c>
      <c r="H985" s="4" t="s">
        <v>3229</v>
      </c>
      <c r="I985" s="5" t="n">
        <v>2.01</v>
      </c>
      <c r="J985" s="7" t="n">
        <v>0</v>
      </c>
      <c r="K985" s="5" t="n">
        <v>0</v>
      </c>
      <c r="L985" s="8" t="n">
        <v>0</v>
      </c>
      <c r="M985" s="9" t="n">
        <v>0</v>
      </c>
      <c r="N985" s="10" t="n">
        <v>0</v>
      </c>
      <c r="O985" s="5" t="n">
        <v>154.62</v>
      </c>
      <c r="P985" s="11" t="n">
        <v>1.083333</v>
      </c>
      <c r="Q985" s="7" t="n">
        <v>13</v>
      </c>
      <c r="R985" s="7" t="n">
        <v>0</v>
      </c>
      <c r="S985" s="7" t="n">
        <v>0</v>
      </c>
      <c r="T985" s="7" t="n">
        <v>0</v>
      </c>
      <c r="U985" s="7" t="n">
        <v>12</v>
      </c>
      <c r="V985" s="7" t="n">
        <v>2</v>
      </c>
    </row>
    <row r="986" customFormat="false" ht="15" hidden="false" customHeight="false" outlineLevel="0" collapsed="false">
      <c r="A986" s="4" t="s">
        <v>3230</v>
      </c>
      <c r="B986" s="4" t="str">
        <f aca="false">IF(AND(I986&gt;='Read Me &amp; Markers'!$B$18,J986&gt;='Read Me &amp; Markers'!$B$19,L986&gt;='Read Me &amp; Markers'!$B$20),"A. Proven winner",IF(AND(I986&gt;='Read Me &amp; Markers'!$B$18,J986&gt;='Read Me &amp; Markers'!$B$19,L986&gt;='Read Me &amp; Markers'!$B$21),"B. Strong performer",IF(AND(I986&gt;='Read Me &amp; Markers'!$B$22,L986&gt;='Read Me &amp; Markers'!$B$23),"C. Scale workhorse",IF(AND(I986&gt;='Read Me &amp; Markers'!$B$24,I986&lt;'Read Me &amp; Markers'!$B$18,J986&gt;='Read Me &amp; Markers'!$B$25,L986&gt;='Read Me &amp; Markers'!$B$26),"D. Promising (needs more spend)",""))))</f>
        <v/>
      </c>
      <c r="C986" s="4" t="s">
        <v>3231</v>
      </c>
      <c r="D986" s="4" t="s">
        <v>109</v>
      </c>
      <c r="E986" s="4" t="s">
        <v>512</v>
      </c>
      <c r="F986" s="4" t="s">
        <v>111</v>
      </c>
      <c r="G986" s="4" t="s">
        <v>490</v>
      </c>
      <c r="H986" s="4" t="s">
        <v>3232</v>
      </c>
      <c r="I986" s="5" t="n">
        <v>2.01</v>
      </c>
      <c r="J986" s="7" t="n">
        <v>0</v>
      </c>
      <c r="K986" s="5" t="n">
        <v>0</v>
      </c>
      <c r="L986" s="8" t="n">
        <v>0</v>
      </c>
      <c r="M986" s="9" t="n">
        <v>0</v>
      </c>
      <c r="N986" s="10" t="n">
        <v>0</v>
      </c>
      <c r="O986" s="5" t="n">
        <v>46.74</v>
      </c>
      <c r="P986" s="11" t="n">
        <v>1.228571</v>
      </c>
      <c r="Q986" s="7" t="n">
        <v>43</v>
      </c>
      <c r="R986" s="7" t="n">
        <v>0</v>
      </c>
      <c r="S986" s="7" t="n">
        <v>0</v>
      </c>
      <c r="T986" s="7" t="n">
        <v>0</v>
      </c>
      <c r="U986" s="7" t="n">
        <v>1</v>
      </c>
      <c r="V986" s="7" t="n">
        <v>0</v>
      </c>
    </row>
    <row r="987" customFormat="false" ht="15" hidden="false" customHeight="false" outlineLevel="0" collapsed="false">
      <c r="A987" s="4" t="s">
        <v>3233</v>
      </c>
      <c r="B987" s="4" t="str">
        <f aca="false">IF(AND(I987&gt;='Read Me &amp; Markers'!$B$18,J987&gt;='Read Me &amp; Markers'!$B$19,L987&gt;='Read Me &amp; Markers'!$B$20),"A. Proven winner",IF(AND(I987&gt;='Read Me &amp; Markers'!$B$18,J987&gt;='Read Me &amp; Markers'!$B$19,L987&gt;='Read Me &amp; Markers'!$B$21),"B. Strong performer",IF(AND(I987&gt;='Read Me &amp; Markers'!$B$22,L987&gt;='Read Me &amp; Markers'!$B$23),"C. Scale workhorse",IF(AND(I987&gt;='Read Me &amp; Markers'!$B$24,I987&lt;'Read Me &amp; Markers'!$B$18,J987&gt;='Read Me &amp; Markers'!$B$25,L987&gt;='Read Me &amp; Markers'!$B$26),"D. Promising (needs more spend)",""))))</f>
        <v/>
      </c>
      <c r="C987" s="4" t="s">
        <v>3234</v>
      </c>
      <c r="D987" s="4" t="s">
        <v>109</v>
      </c>
      <c r="E987" s="4" t="s">
        <v>1157</v>
      </c>
      <c r="F987" s="4" t="s">
        <v>172</v>
      </c>
      <c r="G987" s="4" t="s">
        <v>508</v>
      </c>
      <c r="H987" s="4" t="s">
        <v>3235</v>
      </c>
      <c r="I987" s="5" t="n">
        <v>1.99</v>
      </c>
      <c r="J987" s="7" t="n">
        <v>0</v>
      </c>
      <c r="K987" s="5" t="n">
        <v>0</v>
      </c>
      <c r="L987" s="8" t="n">
        <v>0</v>
      </c>
      <c r="M987" s="9" t="n">
        <v>0</v>
      </c>
      <c r="N987" s="10" t="n">
        <v>0.04347826</v>
      </c>
      <c r="O987" s="5" t="n">
        <v>86.52</v>
      </c>
      <c r="P987" s="11" t="n">
        <v>1.045455</v>
      </c>
      <c r="Q987" s="7" t="n">
        <v>23</v>
      </c>
      <c r="R987" s="7" t="n">
        <v>1</v>
      </c>
      <c r="S987" s="7" t="n">
        <v>0</v>
      </c>
      <c r="T987" s="7" t="n">
        <v>0</v>
      </c>
      <c r="U987" s="7" t="n">
        <v>0</v>
      </c>
      <c r="V987" s="7" t="n">
        <v>0</v>
      </c>
    </row>
    <row r="988" customFormat="false" ht="15" hidden="false" customHeight="false" outlineLevel="0" collapsed="false">
      <c r="A988" s="4" t="s">
        <v>3236</v>
      </c>
      <c r="B988" s="4" t="str">
        <f aca="false">IF(AND(I988&gt;='Read Me &amp; Markers'!$B$18,J988&gt;='Read Me &amp; Markers'!$B$19,L988&gt;='Read Me &amp; Markers'!$B$20),"A. Proven winner",IF(AND(I988&gt;='Read Me &amp; Markers'!$B$18,J988&gt;='Read Me &amp; Markers'!$B$19,L988&gt;='Read Me &amp; Markers'!$B$21),"B. Strong performer",IF(AND(I988&gt;='Read Me &amp; Markers'!$B$22,L988&gt;='Read Me &amp; Markers'!$B$23),"C. Scale workhorse",IF(AND(I988&gt;='Read Me &amp; Markers'!$B$24,I988&lt;'Read Me &amp; Markers'!$B$18,J988&gt;='Read Me &amp; Markers'!$B$25,L988&gt;='Read Me &amp; Markers'!$B$26),"D. Promising (needs more spend)",""))))</f>
        <v/>
      </c>
      <c r="C988" s="4" t="s">
        <v>3237</v>
      </c>
      <c r="D988" s="4" t="s">
        <v>109</v>
      </c>
      <c r="E988" s="4" t="s">
        <v>429</v>
      </c>
      <c r="F988" s="4" t="s">
        <v>111</v>
      </c>
      <c r="G988" s="4" t="s">
        <v>431</v>
      </c>
      <c r="H988" s="4" t="s">
        <v>3238</v>
      </c>
      <c r="I988" s="5" t="n">
        <v>1.99</v>
      </c>
      <c r="J988" s="7" t="n">
        <v>0</v>
      </c>
      <c r="K988" s="5" t="n">
        <v>0</v>
      </c>
      <c r="L988" s="8" t="n">
        <v>0</v>
      </c>
      <c r="M988" s="9" t="n">
        <v>0</v>
      </c>
      <c r="N988" s="10" t="n">
        <v>0</v>
      </c>
      <c r="O988" s="5" t="n">
        <v>41.46</v>
      </c>
      <c r="P988" s="11" t="n">
        <v>1.2</v>
      </c>
      <c r="Q988" s="7" t="n">
        <v>48</v>
      </c>
      <c r="R988" s="7" t="n">
        <v>0</v>
      </c>
      <c r="S988" s="7" t="n">
        <v>0</v>
      </c>
      <c r="T988" s="7" t="n">
        <v>0</v>
      </c>
      <c r="U988" s="7" t="n">
        <v>0</v>
      </c>
      <c r="V988" s="7" t="n">
        <v>0</v>
      </c>
    </row>
    <row r="989" customFormat="false" ht="15" hidden="false" customHeight="false" outlineLevel="0" collapsed="false">
      <c r="A989" s="4" t="s">
        <v>3239</v>
      </c>
      <c r="B989" s="4" t="str">
        <f aca="false">IF(AND(I989&gt;='Read Me &amp; Markers'!$B$18,J989&gt;='Read Me &amp; Markers'!$B$19,L989&gt;='Read Me &amp; Markers'!$B$20),"A. Proven winner",IF(AND(I989&gt;='Read Me &amp; Markers'!$B$18,J989&gt;='Read Me &amp; Markers'!$B$19,L989&gt;='Read Me &amp; Markers'!$B$21),"B. Strong performer",IF(AND(I989&gt;='Read Me &amp; Markers'!$B$22,L989&gt;='Read Me &amp; Markers'!$B$23),"C. Scale workhorse",IF(AND(I989&gt;='Read Me &amp; Markers'!$B$24,I989&lt;'Read Me &amp; Markers'!$B$18,J989&gt;='Read Me &amp; Markers'!$B$25,L989&gt;='Read Me &amp; Markers'!$B$26),"D. Promising (needs more spend)",""))))</f>
        <v/>
      </c>
      <c r="C989" s="4" t="s">
        <v>3240</v>
      </c>
      <c r="D989" s="4" t="s">
        <v>109</v>
      </c>
      <c r="E989" s="4" t="s">
        <v>435</v>
      </c>
      <c r="F989" s="4" t="s">
        <v>111</v>
      </c>
      <c r="G989" s="4" t="s">
        <v>500</v>
      </c>
      <c r="H989" s="4" t="s">
        <v>3241</v>
      </c>
      <c r="I989" s="5" t="n">
        <v>1.98</v>
      </c>
      <c r="J989" s="7" t="n">
        <v>0</v>
      </c>
      <c r="K989" s="5" t="n">
        <v>0</v>
      </c>
      <c r="L989" s="8" t="n">
        <v>0</v>
      </c>
      <c r="M989" s="9" t="n">
        <v>0</v>
      </c>
      <c r="N989" s="10" t="n">
        <v>0.025</v>
      </c>
      <c r="O989" s="5" t="n">
        <v>49.5</v>
      </c>
      <c r="P989" s="11" t="n">
        <v>1.176471</v>
      </c>
      <c r="Q989" s="7" t="n">
        <v>40</v>
      </c>
      <c r="R989" s="7" t="n">
        <v>1</v>
      </c>
      <c r="S989" s="7" t="n">
        <v>0</v>
      </c>
      <c r="T989" s="7" t="n">
        <v>0</v>
      </c>
      <c r="U989" s="7" t="n">
        <v>1</v>
      </c>
      <c r="V989" s="7" t="n">
        <v>0</v>
      </c>
    </row>
    <row r="990" customFormat="false" ht="15" hidden="false" customHeight="false" outlineLevel="0" collapsed="false">
      <c r="A990" s="4" t="s">
        <v>3242</v>
      </c>
      <c r="B990" s="4" t="str">
        <f aca="false">IF(AND(I990&gt;='Read Me &amp; Markers'!$B$18,J990&gt;='Read Me &amp; Markers'!$B$19,L990&gt;='Read Me &amp; Markers'!$B$20),"A. Proven winner",IF(AND(I990&gt;='Read Me &amp; Markers'!$B$18,J990&gt;='Read Me &amp; Markers'!$B$19,L990&gt;='Read Me &amp; Markers'!$B$21),"B. Strong performer",IF(AND(I990&gt;='Read Me &amp; Markers'!$B$22,L990&gt;='Read Me &amp; Markers'!$B$23),"C. Scale workhorse",IF(AND(I990&gt;='Read Me &amp; Markers'!$B$24,I990&lt;'Read Me &amp; Markers'!$B$18,J990&gt;='Read Me &amp; Markers'!$B$25,L990&gt;='Read Me &amp; Markers'!$B$26),"D. Promising (needs more spend)",""))))</f>
        <v/>
      </c>
      <c r="C990" s="4" t="s">
        <v>913</v>
      </c>
      <c r="D990" s="4" t="s">
        <v>109</v>
      </c>
      <c r="E990" s="4" t="s">
        <v>2245</v>
      </c>
      <c r="F990" s="4" t="s">
        <v>172</v>
      </c>
      <c r="G990" s="4" t="s">
        <v>588</v>
      </c>
      <c r="H990" s="4" t="s">
        <v>3243</v>
      </c>
      <c r="I990" s="5" t="n">
        <v>1.98</v>
      </c>
      <c r="J990" s="7" t="n">
        <v>0</v>
      </c>
      <c r="K990" s="5" t="n">
        <v>0</v>
      </c>
      <c r="L990" s="8" t="n">
        <v>0</v>
      </c>
      <c r="M990" s="9" t="n">
        <v>0</v>
      </c>
      <c r="N990" s="10" t="n">
        <v>0</v>
      </c>
      <c r="O990" s="5" t="n">
        <v>132</v>
      </c>
      <c r="P990" s="11" t="n">
        <v>1</v>
      </c>
      <c r="Q990" s="7" t="n">
        <v>15</v>
      </c>
      <c r="R990" s="7" t="n">
        <v>0</v>
      </c>
      <c r="S990" s="7" t="n">
        <v>0</v>
      </c>
      <c r="T990" s="7" t="n">
        <v>0</v>
      </c>
      <c r="U990" s="7" t="n">
        <v>13</v>
      </c>
      <c r="V990" s="7" t="n">
        <v>2</v>
      </c>
    </row>
    <row r="991" customFormat="false" ht="15" hidden="false" customHeight="false" outlineLevel="0" collapsed="false">
      <c r="A991" s="4" t="s">
        <v>3244</v>
      </c>
      <c r="B991" s="4" t="str">
        <f aca="false">IF(AND(I991&gt;='Read Me &amp; Markers'!$B$18,J991&gt;='Read Me &amp; Markers'!$B$19,L991&gt;='Read Me &amp; Markers'!$B$20),"A. Proven winner",IF(AND(I991&gt;='Read Me &amp; Markers'!$B$18,J991&gt;='Read Me &amp; Markers'!$B$19,L991&gt;='Read Me &amp; Markers'!$B$21),"B. Strong performer",IF(AND(I991&gt;='Read Me &amp; Markers'!$B$22,L991&gt;='Read Me &amp; Markers'!$B$23),"C. Scale workhorse",IF(AND(I991&gt;='Read Me &amp; Markers'!$B$24,I991&lt;'Read Me &amp; Markers'!$B$18,J991&gt;='Read Me &amp; Markers'!$B$25,L991&gt;='Read Me &amp; Markers'!$B$26),"D. Promising (needs more spend)",""))))</f>
        <v/>
      </c>
      <c r="C991" s="4" t="s">
        <v>3245</v>
      </c>
      <c r="D991" s="4" t="s">
        <v>109</v>
      </c>
      <c r="E991" s="4" t="s">
        <v>1701</v>
      </c>
      <c r="F991" s="4" t="s">
        <v>111</v>
      </c>
      <c r="G991" s="4" t="s">
        <v>1702</v>
      </c>
      <c r="H991" s="4" t="s">
        <v>3246</v>
      </c>
      <c r="I991" s="5" t="n">
        <v>1.97</v>
      </c>
      <c r="J991" s="7" t="n">
        <v>0</v>
      </c>
      <c r="K991" s="5" t="n">
        <v>0</v>
      </c>
      <c r="L991" s="8" t="n">
        <v>0</v>
      </c>
      <c r="M991" s="9" t="n">
        <v>0</v>
      </c>
      <c r="N991" s="10" t="n">
        <v>0</v>
      </c>
      <c r="O991" s="5" t="n">
        <v>246.25</v>
      </c>
      <c r="P991" s="11" t="n">
        <v>1.142857</v>
      </c>
      <c r="Q991" s="7" t="n">
        <v>8</v>
      </c>
      <c r="R991" s="7" t="n">
        <v>0</v>
      </c>
      <c r="S991" s="7" t="n">
        <v>0</v>
      </c>
      <c r="T991" s="7" t="n">
        <v>0</v>
      </c>
      <c r="U991" s="7" t="n">
        <v>7</v>
      </c>
      <c r="V991" s="7" t="n">
        <v>2</v>
      </c>
    </row>
    <row r="992" customFormat="false" ht="15" hidden="false" customHeight="false" outlineLevel="0" collapsed="false">
      <c r="A992" s="4" t="s">
        <v>3247</v>
      </c>
      <c r="B992" s="4" t="str">
        <f aca="false">IF(AND(I992&gt;='Read Me &amp; Markers'!$B$18,J992&gt;='Read Me &amp; Markers'!$B$19,L992&gt;='Read Me &amp; Markers'!$B$20),"A. Proven winner",IF(AND(I992&gt;='Read Me &amp; Markers'!$B$18,J992&gt;='Read Me &amp; Markers'!$B$19,L992&gt;='Read Me &amp; Markers'!$B$21),"B. Strong performer",IF(AND(I992&gt;='Read Me &amp; Markers'!$B$22,L992&gt;='Read Me &amp; Markers'!$B$23),"C. Scale workhorse",IF(AND(I992&gt;='Read Me &amp; Markers'!$B$24,I992&lt;'Read Me &amp; Markers'!$B$18,J992&gt;='Read Me &amp; Markers'!$B$25,L992&gt;='Read Me &amp; Markers'!$B$26),"D. Promising (needs more spend)",""))))</f>
        <v/>
      </c>
      <c r="C992" s="4" t="s">
        <v>3248</v>
      </c>
      <c r="D992" s="4" t="s">
        <v>109</v>
      </c>
      <c r="E992" s="4" t="s">
        <v>738</v>
      </c>
      <c r="F992" s="4" t="s">
        <v>111</v>
      </c>
      <c r="G992" s="4" t="s">
        <v>739</v>
      </c>
      <c r="H992" s="4" t="s">
        <v>3249</v>
      </c>
      <c r="I992" s="5" t="n">
        <v>1.93</v>
      </c>
      <c r="J992" s="7" t="n">
        <v>0</v>
      </c>
      <c r="K992" s="5" t="n">
        <v>0</v>
      </c>
      <c r="L992" s="8" t="n">
        <v>0</v>
      </c>
      <c r="M992" s="9" t="n">
        <v>0</v>
      </c>
      <c r="N992" s="10" t="n">
        <v>0.02941176</v>
      </c>
      <c r="O992" s="5" t="n">
        <v>56.76</v>
      </c>
      <c r="P992" s="11" t="n">
        <v>1.0625</v>
      </c>
      <c r="Q992" s="7" t="n">
        <v>34</v>
      </c>
      <c r="R992" s="7" t="n">
        <v>1</v>
      </c>
      <c r="S992" s="7" t="n">
        <v>0</v>
      </c>
      <c r="T992" s="7" t="n">
        <v>0</v>
      </c>
      <c r="U992" s="7" t="n">
        <v>1</v>
      </c>
      <c r="V992" s="7" t="n">
        <v>0</v>
      </c>
    </row>
    <row r="993" customFormat="false" ht="15" hidden="false" customHeight="false" outlineLevel="0" collapsed="false">
      <c r="A993" s="4" t="s">
        <v>3250</v>
      </c>
      <c r="B993" s="4" t="str">
        <f aca="false">IF(AND(I993&gt;='Read Me &amp; Markers'!$B$18,J993&gt;='Read Me &amp; Markers'!$B$19,L993&gt;='Read Me &amp; Markers'!$B$20),"A. Proven winner",IF(AND(I993&gt;='Read Me &amp; Markers'!$B$18,J993&gt;='Read Me &amp; Markers'!$B$19,L993&gt;='Read Me &amp; Markers'!$B$21),"B. Strong performer",IF(AND(I993&gt;='Read Me &amp; Markers'!$B$22,L993&gt;='Read Me &amp; Markers'!$B$23),"C. Scale workhorse",IF(AND(I993&gt;='Read Me &amp; Markers'!$B$24,I993&lt;'Read Me &amp; Markers'!$B$18,J993&gt;='Read Me &amp; Markers'!$B$25,L993&gt;='Read Me &amp; Markers'!$B$26),"D. Promising (needs more spend)",""))))</f>
        <v/>
      </c>
      <c r="C993" s="4" t="s">
        <v>3251</v>
      </c>
      <c r="D993" s="4" t="s">
        <v>1049</v>
      </c>
      <c r="E993" s="4" t="s">
        <v>1050</v>
      </c>
      <c r="F993" s="4" t="s">
        <v>253</v>
      </c>
      <c r="G993" s="4" t="s">
        <v>436</v>
      </c>
      <c r="H993" s="4" t="s">
        <v>2606</v>
      </c>
      <c r="I993" s="5" t="n">
        <v>1.92</v>
      </c>
      <c r="J993" s="7" t="n">
        <v>0</v>
      </c>
      <c r="K993" s="5" t="n">
        <v>0</v>
      </c>
      <c r="L993" s="8" t="n">
        <v>0</v>
      </c>
      <c r="M993" s="9" t="n">
        <v>0</v>
      </c>
      <c r="N993" s="10" t="n">
        <v>0</v>
      </c>
      <c r="O993" s="5" t="n">
        <v>192</v>
      </c>
      <c r="P993" s="11" t="n">
        <v>1</v>
      </c>
      <c r="Q993" s="7" t="n">
        <v>10</v>
      </c>
      <c r="R993" s="7" t="n">
        <v>0</v>
      </c>
      <c r="S993" s="7" t="n">
        <v>0</v>
      </c>
      <c r="T993" s="7" t="n">
        <v>0</v>
      </c>
      <c r="U993" s="7" t="n">
        <v>10</v>
      </c>
      <c r="V993" s="7" t="n">
        <v>2</v>
      </c>
    </row>
    <row r="994" customFormat="false" ht="15" hidden="false" customHeight="false" outlineLevel="0" collapsed="false">
      <c r="A994" s="4" t="s">
        <v>3252</v>
      </c>
      <c r="B994" s="4" t="str">
        <f aca="false">IF(AND(I994&gt;='Read Me &amp; Markers'!$B$18,J994&gt;='Read Me &amp; Markers'!$B$19,L994&gt;='Read Me &amp; Markers'!$B$20),"A. Proven winner",IF(AND(I994&gt;='Read Me &amp; Markers'!$B$18,J994&gt;='Read Me &amp; Markers'!$B$19,L994&gt;='Read Me &amp; Markers'!$B$21),"B. Strong performer",IF(AND(I994&gt;='Read Me &amp; Markers'!$B$22,L994&gt;='Read Me &amp; Markers'!$B$23),"C. Scale workhorse",IF(AND(I994&gt;='Read Me &amp; Markers'!$B$24,I994&lt;'Read Me &amp; Markers'!$B$18,J994&gt;='Read Me &amp; Markers'!$B$25,L994&gt;='Read Me &amp; Markers'!$B$26),"D. Promising (needs more spend)",""))))</f>
        <v/>
      </c>
      <c r="C994" s="4" t="s">
        <v>121</v>
      </c>
      <c r="D994" s="4" t="s">
        <v>206</v>
      </c>
      <c r="E994" s="4" t="s">
        <v>328</v>
      </c>
      <c r="F994" s="4" t="s">
        <v>253</v>
      </c>
      <c r="G994" s="4" t="s">
        <v>254</v>
      </c>
      <c r="H994" s="4" t="s">
        <v>3253</v>
      </c>
      <c r="I994" s="5" t="n">
        <v>1.92</v>
      </c>
      <c r="J994" s="7" t="n">
        <v>0</v>
      </c>
      <c r="K994" s="5" t="n">
        <v>0</v>
      </c>
      <c r="L994" s="8" t="n">
        <v>0</v>
      </c>
      <c r="M994" s="9" t="n">
        <v>0</v>
      </c>
      <c r="N994" s="10" t="n">
        <v>0.1</v>
      </c>
      <c r="O994" s="5" t="n">
        <v>96</v>
      </c>
      <c r="P994" s="11" t="n">
        <v>1.052632</v>
      </c>
      <c r="Q994" s="7" t="n">
        <v>20</v>
      </c>
      <c r="R994" s="7" t="n">
        <v>2</v>
      </c>
      <c r="S994" s="7" t="n">
        <v>0</v>
      </c>
      <c r="T994" s="7" t="n">
        <v>0</v>
      </c>
      <c r="U994" s="7" t="n">
        <v>18</v>
      </c>
      <c r="V994" s="7" t="n">
        <v>4</v>
      </c>
    </row>
    <row r="995" customFormat="false" ht="15" hidden="false" customHeight="false" outlineLevel="0" collapsed="false">
      <c r="A995" s="4" t="s">
        <v>3254</v>
      </c>
      <c r="B995" s="4" t="str">
        <f aca="false">IF(AND(I995&gt;='Read Me &amp; Markers'!$B$18,J995&gt;='Read Me &amp; Markers'!$B$19,L995&gt;='Read Me &amp; Markers'!$B$20),"A. Proven winner",IF(AND(I995&gt;='Read Me &amp; Markers'!$B$18,J995&gt;='Read Me &amp; Markers'!$B$19,L995&gt;='Read Me &amp; Markers'!$B$21),"B. Strong performer",IF(AND(I995&gt;='Read Me &amp; Markers'!$B$22,L995&gt;='Read Me &amp; Markers'!$B$23),"C. Scale workhorse",IF(AND(I995&gt;='Read Me &amp; Markers'!$B$24,I995&lt;'Read Me &amp; Markers'!$B$18,J995&gt;='Read Me &amp; Markers'!$B$25,L995&gt;='Read Me &amp; Markers'!$B$26),"D. Promising (needs more spend)",""))))</f>
        <v/>
      </c>
      <c r="C995" s="4" t="s">
        <v>3255</v>
      </c>
      <c r="D995" s="4" t="s">
        <v>109</v>
      </c>
      <c r="E995" s="4" t="s">
        <v>435</v>
      </c>
      <c r="F995" s="4" t="s">
        <v>111</v>
      </c>
      <c r="G995" s="4" t="s">
        <v>500</v>
      </c>
      <c r="H995" s="4" t="s">
        <v>3256</v>
      </c>
      <c r="I995" s="5" t="n">
        <v>1.89</v>
      </c>
      <c r="J995" s="7" t="n">
        <v>0</v>
      </c>
      <c r="K995" s="5" t="n">
        <v>0</v>
      </c>
      <c r="L995" s="8" t="n">
        <v>0</v>
      </c>
      <c r="M995" s="9" t="n">
        <v>0</v>
      </c>
      <c r="N995" s="10" t="n">
        <v>0</v>
      </c>
      <c r="O995" s="5" t="n">
        <v>157.5</v>
      </c>
      <c r="P995" s="11" t="n">
        <v>1.2</v>
      </c>
      <c r="Q995" s="7" t="n">
        <v>12</v>
      </c>
      <c r="R995" s="7" t="n">
        <v>0</v>
      </c>
      <c r="S995" s="7" t="n">
        <v>0</v>
      </c>
      <c r="T995" s="7" t="n">
        <v>0</v>
      </c>
      <c r="U995" s="7" t="n">
        <v>11</v>
      </c>
      <c r="V995" s="7" t="n">
        <v>4</v>
      </c>
    </row>
    <row r="996" customFormat="false" ht="15" hidden="false" customHeight="false" outlineLevel="0" collapsed="false">
      <c r="A996" s="4" t="s">
        <v>3257</v>
      </c>
      <c r="B996" s="4" t="str">
        <f aca="false">IF(AND(I996&gt;='Read Me &amp; Markers'!$B$18,J996&gt;='Read Me &amp; Markers'!$B$19,L996&gt;='Read Me &amp; Markers'!$B$20),"A. Proven winner",IF(AND(I996&gt;='Read Me &amp; Markers'!$B$18,J996&gt;='Read Me &amp; Markers'!$B$19,L996&gt;='Read Me &amp; Markers'!$B$21),"B. Strong performer",IF(AND(I996&gt;='Read Me &amp; Markers'!$B$22,L996&gt;='Read Me &amp; Markers'!$B$23),"C. Scale workhorse",IF(AND(I996&gt;='Read Me &amp; Markers'!$B$24,I996&lt;'Read Me &amp; Markers'!$B$18,J996&gt;='Read Me &amp; Markers'!$B$25,L996&gt;='Read Me &amp; Markers'!$B$26),"D. Promising (needs more spend)",""))))</f>
        <v/>
      </c>
      <c r="C996" s="4" t="s">
        <v>169</v>
      </c>
      <c r="D996" s="4" t="s">
        <v>100</v>
      </c>
      <c r="E996" s="4" t="s">
        <v>2521</v>
      </c>
      <c r="F996" s="4" t="s">
        <v>230</v>
      </c>
      <c r="G996" s="4" t="s">
        <v>254</v>
      </c>
      <c r="H996" s="4" t="s">
        <v>3258</v>
      </c>
      <c r="I996" s="5" t="n">
        <v>1.89</v>
      </c>
      <c r="J996" s="7" t="n">
        <v>0</v>
      </c>
      <c r="K996" s="5" t="n">
        <v>0</v>
      </c>
      <c r="L996" s="8" t="n">
        <v>0</v>
      </c>
      <c r="M996" s="9" t="n">
        <v>0</v>
      </c>
      <c r="N996" s="10" t="n">
        <v>0.13043478</v>
      </c>
      <c r="O996" s="5" t="n">
        <v>82.17</v>
      </c>
      <c r="P996" s="11" t="n">
        <v>1.045455</v>
      </c>
      <c r="Q996" s="7" t="n">
        <v>23</v>
      </c>
      <c r="R996" s="7" t="n">
        <v>3</v>
      </c>
      <c r="S996" s="7" t="n">
        <v>0</v>
      </c>
      <c r="T996" s="7" t="n">
        <v>0</v>
      </c>
      <c r="U996" s="7" t="n">
        <v>19</v>
      </c>
      <c r="V996" s="7" t="n">
        <v>1</v>
      </c>
    </row>
    <row r="997" customFormat="false" ht="15" hidden="false" customHeight="false" outlineLevel="0" collapsed="false">
      <c r="A997" s="4" t="s">
        <v>3259</v>
      </c>
      <c r="B997" s="4" t="str">
        <f aca="false">IF(AND(I997&gt;='Read Me &amp; Markers'!$B$18,J997&gt;='Read Me &amp; Markers'!$B$19,L997&gt;='Read Me &amp; Markers'!$B$20),"A. Proven winner",IF(AND(I997&gt;='Read Me &amp; Markers'!$B$18,J997&gt;='Read Me &amp; Markers'!$B$19,L997&gt;='Read Me &amp; Markers'!$B$21),"B. Strong performer",IF(AND(I997&gt;='Read Me &amp; Markers'!$B$22,L997&gt;='Read Me &amp; Markers'!$B$23),"C. Scale workhorse",IF(AND(I997&gt;='Read Me &amp; Markers'!$B$24,I997&lt;'Read Me &amp; Markers'!$B$18,J997&gt;='Read Me &amp; Markers'!$B$25,L997&gt;='Read Me &amp; Markers'!$B$26),"D. Promising (needs more spend)",""))))</f>
        <v/>
      </c>
      <c r="C997" s="4" t="s">
        <v>3260</v>
      </c>
      <c r="D997" s="4" t="s">
        <v>100</v>
      </c>
      <c r="E997" s="4" t="s">
        <v>2321</v>
      </c>
      <c r="F997" s="4" t="s">
        <v>253</v>
      </c>
      <c r="G997" s="4" t="s">
        <v>984</v>
      </c>
      <c r="H997" s="4" t="s">
        <v>3261</v>
      </c>
      <c r="I997" s="5" t="n">
        <v>1.88</v>
      </c>
      <c r="J997" s="7" t="n">
        <v>0</v>
      </c>
      <c r="K997" s="5" t="n">
        <v>0</v>
      </c>
      <c r="L997" s="8" t="n">
        <v>0</v>
      </c>
      <c r="M997" s="9" t="n">
        <v>0</v>
      </c>
      <c r="N997" s="10" t="n">
        <v>0</v>
      </c>
      <c r="O997" s="5" t="n">
        <v>144.62</v>
      </c>
      <c r="P997" s="11" t="n">
        <v>1.083333</v>
      </c>
      <c r="Q997" s="7" t="n">
        <v>13</v>
      </c>
      <c r="R997" s="7" t="n">
        <v>0</v>
      </c>
      <c r="S997" s="7" t="n">
        <v>0</v>
      </c>
      <c r="T997" s="7" t="n">
        <v>0</v>
      </c>
      <c r="U997" s="7" t="n">
        <v>0</v>
      </c>
      <c r="V997" s="7" t="n">
        <v>0</v>
      </c>
    </row>
    <row r="998" customFormat="false" ht="15" hidden="false" customHeight="false" outlineLevel="0" collapsed="false">
      <c r="A998" s="4" t="s">
        <v>3262</v>
      </c>
      <c r="B998" s="4" t="str">
        <f aca="false">IF(AND(I998&gt;='Read Me &amp; Markers'!$B$18,J998&gt;='Read Me &amp; Markers'!$B$19,L998&gt;='Read Me &amp; Markers'!$B$20),"A. Proven winner",IF(AND(I998&gt;='Read Me &amp; Markers'!$B$18,J998&gt;='Read Me &amp; Markers'!$B$19,L998&gt;='Read Me &amp; Markers'!$B$21),"B. Strong performer",IF(AND(I998&gt;='Read Me &amp; Markers'!$B$22,L998&gt;='Read Me &amp; Markers'!$B$23),"C. Scale workhorse",IF(AND(I998&gt;='Read Me &amp; Markers'!$B$24,I998&lt;'Read Me &amp; Markers'!$B$18,J998&gt;='Read Me &amp; Markers'!$B$25,L998&gt;='Read Me &amp; Markers'!$B$26),"D. Promising (needs more spend)",""))))</f>
        <v/>
      </c>
      <c r="C998" s="4" t="s">
        <v>3263</v>
      </c>
      <c r="D998" s="4" t="s">
        <v>109</v>
      </c>
      <c r="E998" s="4" t="s">
        <v>435</v>
      </c>
      <c r="F998" s="4" t="s">
        <v>430</v>
      </c>
      <c r="G998" s="4" t="s">
        <v>500</v>
      </c>
      <c r="H998" s="4" t="s">
        <v>3264</v>
      </c>
      <c r="I998" s="5" t="n">
        <v>1.86</v>
      </c>
      <c r="J998" s="7" t="n">
        <v>0</v>
      </c>
      <c r="K998" s="5" t="n">
        <v>0</v>
      </c>
      <c r="L998" s="8" t="n">
        <v>0</v>
      </c>
      <c r="M998" s="9" t="n">
        <v>0</v>
      </c>
      <c r="N998" s="10" t="n">
        <v>0</v>
      </c>
      <c r="O998" s="5" t="n">
        <v>132.86</v>
      </c>
      <c r="P998" s="11" t="n">
        <v>1.076923</v>
      </c>
      <c r="Q998" s="7" t="n">
        <v>14</v>
      </c>
      <c r="R998" s="7" t="n">
        <v>0</v>
      </c>
      <c r="S998" s="7" t="n">
        <v>0</v>
      </c>
      <c r="T998" s="7" t="n">
        <v>0</v>
      </c>
      <c r="U998" s="7" t="n">
        <v>13</v>
      </c>
      <c r="V998" s="7" t="n">
        <v>3</v>
      </c>
    </row>
    <row r="999" customFormat="false" ht="15" hidden="false" customHeight="false" outlineLevel="0" collapsed="false">
      <c r="A999" s="4" t="s">
        <v>3265</v>
      </c>
      <c r="B999" s="4" t="str">
        <f aca="false">IF(AND(I999&gt;='Read Me &amp; Markers'!$B$18,J999&gt;='Read Me &amp; Markers'!$B$19,L999&gt;='Read Me &amp; Markers'!$B$20),"A. Proven winner",IF(AND(I999&gt;='Read Me &amp; Markers'!$B$18,J999&gt;='Read Me &amp; Markers'!$B$19,L999&gt;='Read Me &amp; Markers'!$B$21),"B. Strong performer",IF(AND(I999&gt;='Read Me &amp; Markers'!$B$22,L999&gt;='Read Me &amp; Markers'!$B$23),"C. Scale workhorse",IF(AND(I999&gt;='Read Me &amp; Markers'!$B$24,I999&lt;'Read Me &amp; Markers'!$B$18,J999&gt;='Read Me &amp; Markers'!$B$25,L999&gt;='Read Me &amp; Markers'!$B$26),"D. Promising (needs more spend)",""))))</f>
        <v/>
      </c>
      <c r="C999" s="4" t="s">
        <v>3266</v>
      </c>
      <c r="D999" s="4" t="s">
        <v>109</v>
      </c>
      <c r="E999" s="4" t="s">
        <v>474</v>
      </c>
      <c r="F999" s="4" t="s">
        <v>111</v>
      </c>
      <c r="G999" s="4" t="s">
        <v>475</v>
      </c>
      <c r="H999" s="4" t="s">
        <v>3267</v>
      </c>
      <c r="I999" s="5" t="n">
        <v>1.86</v>
      </c>
      <c r="J999" s="7" t="n">
        <v>0</v>
      </c>
      <c r="K999" s="5" t="n">
        <v>0</v>
      </c>
      <c r="L999" s="8" t="n">
        <v>0</v>
      </c>
      <c r="M999" s="9" t="n">
        <v>0</v>
      </c>
      <c r="N999" s="10" t="n">
        <v>0.01923077</v>
      </c>
      <c r="O999" s="5" t="n">
        <v>35.77</v>
      </c>
      <c r="P999" s="11" t="n">
        <v>1.130435</v>
      </c>
      <c r="Q999" s="7" t="n">
        <v>52</v>
      </c>
      <c r="R999" s="7" t="n">
        <v>1</v>
      </c>
      <c r="S999" s="7" t="n">
        <v>0</v>
      </c>
      <c r="T999" s="7" t="n">
        <v>0</v>
      </c>
      <c r="U999" s="7" t="n">
        <v>0</v>
      </c>
      <c r="V999" s="7" t="n">
        <v>0</v>
      </c>
    </row>
    <row r="1000" customFormat="false" ht="15" hidden="false" customHeight="false" outlineLevel="0" collapsed="false">
      <c r="A1000" s="4" t="s">
        <v>3268</v>
      </c>
      <c r="B1000" s="4" t="str">
        <f aca="false">IF(AND(I1000&gt;='Read Me &amp; Markers'!$B$18,J1000&gt;='Read Me &amp; Markers'!$B$19,L1000&gt;='Read Me &amp; Markers'!$B$20),"A. Proven winner",IF(AND(I1000&gt;='Read Me &amp; Markers'!$B$18,J1000&gt;='Read Me &amp; Markers'!$B$19,L1000&gt;='Read Me &amp; Markers'!$B$21),"B. Strong performer",IF(AND(I1000&gt;='Read Me &amp; Markers'!$B$22,L1000&gt;='Read Me &amp; Markers'!$B$23),"C. Scale workhorse",IF(AND(I1000&gt;='Read Me &amp; Markers'!$B$24,I1000&lt;'Read Me &amp; Markers'!$B$18,J1000&gt;='Read Me &amp; Markers'!$B$25,L1000&gt;='Read Me &amp; Markers'!$B$26),"D. Promising (needs more spend)",""))))</f>
        <v/>
      </c>
      <c r="C1000" s="4" t="s">
        <v>3269</v>
      </c>
      <c r="D1000" s="4" t="s">
        <v>109</v>
      </c>
      <c r="E1000" s="4" t="s">
        <v>424</v>
      </c>
      <c r="F1000" s="4" t="s">
        <v>111</v>
      </c>
      <c r="G1000" s="4" t="s">
        <v>425</v>
      </c>
      <c r="H1000" s="4" t="s">
        <v>3270</v>
      </c>
      <c r="I1000" s="5" t="n">
        <v>1.82</v>
      </c>
      <c r="J1000" s="7" t="n">
        <v>0</v>
      </c>
      <c r="K1000" s="5" t="n">
        <v>0</v>
      </c>
      <c r="L1000" s="8" t="n">
        <v>0</v>
      </c>
      <c r="M1000" s="9" t="n">
        <v>0</v>
      </c>
      <c r="N1000" s="10" t="n">
        <v>0.01538462</v>
      </c>
      <c r="O1000" s="5" t="n">
        <v>28</v>
      </c>
      <c r="P1000" s="11" t="n">
        <v>1.083333</v>
      </c>
      <c r="Q1000" s="7" t="n">
        <v>65</v>
      </c>
      <c r="R1000" s="7" t="n">
        <v>1</v>
      </c>
      <c r="S1000" s="7" t="n">
        <v>0</v>
      </c>
      <c r="T1000" s="7" t="n">
        <v>0</v>
      </c>
      <c r="U1000" s="7" t="n">
        <v>62</v>
      </c>
      <c r="V1000" s="7" t="n">
        <v>6</v>
      </c>
    </row>
    <row r="1001" customFormat="false" ht="15" hidden="false" customHeight="false" outlineLevel="0" collapsed="false">
      <c r="A1001" s="4" t="s">
        <v>3271</v>
      </c>
      <c r="B1001" s="4" t="str">
        <f aca="false">IF(AND(I1001&gt;='Read Me &amp; Markers'!$B$18,J1001&gt;='Read Me &amp; Markers'!$B$19,L1001&gt;='Read Me &amp; Markers'!$B$20),"A. Proven winner",IF(AND(I1001&gt;='Read Me &amp; Markers'!$B$18,J1001&gt;='Read Me &amp; Markers'!$B$19,L1001&gt;='Read Me &amp; Markers'!$B$21),"B. Strong performer",IF(AND(I1001&gt;='Read Me &amp; Markers'!$B$22,L1001&gt;='Read Me &amp; Markers'!$B$23),"C. Scale workhorse",IF(AND(I1001&gt;='Read Me &amp; Markers'!$B$24,I1001&lt;'Read Me &amp; Markers'!$B$18,J1001&gt;='Read Me &amp; Markers'!$B$25,L1001&gt;='Read Me &amp; Markers'!$B$26),"D. Promising (needs more spend)",""))))</f>
        <v/>
      </c>
      <c r="C1001" s="4" t="s">
        <v>3272</v>
      </c>
      <c r="D1001" s="4" t="s">
        <v>109</v>
      </c>
      <c r="E1001" s="4" t="s">
        <v>110</v>
      </c>
      <c r="F1001" s="4" t="s">
        <v>172</v>
      </c>
      <c r="G1001" s="4" t="s">
        <v>112</v>
      </c>
      <c r="H1001" s="4" t="s">
        <v>3273</v>
      </c>
      <c r="I1001" s="5" t="n">
        <v>1.8</v>
      </c>
      <c r="J1001" s="7" t="n">
        <v>0</v>
      </c>
      <c r="K1001" s="5" t="n">
        <v>0</v>
      </c>
      <c r="L1001" s="8" t="n">
        <v>0</v>
      </c>
      <c r="M1001" s="9" t="n">
        <v>0</v>
      </c>
      <c r="N1001" s="10" t="n">
        <v>0</v>
      </c>
      <c r="O1001" s="5" t="n">
        <v>56.25</v>
      </c>
      <c r="P1001" s="11" t="n">
        <v>1.185185</v>
      </c>
      <c r="Q1001" s="7" t="n">
        <v>32</v>
      </c>
      <c r="R1001" s="7" t="n">
        <v>0</v>
      </c>
      <c r="S1001" s="7" t="n">
        <v>0</v>
      </c>
      <c r="T1001" s="7" t="n">
        <v>0</v>
      </c>
      <c r="U1001" s="7" t="n">
        <v>0</v>
      </c>
      <c r="V1001" s="7" t="n">
        <v>0</v>
      </c>
    </row>
  </sheetData>
  <autoFilter ref="A1:V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19" t="s">
        <v>3274</v>
      </c>
      <c r="B1" s="19" t="s">
        <v>3</v>
      </c>
      <c r="C1" s="19" t="s">
        <v>3275</v>
      </c>
      <c r="D1" s="19" t="s">
        <v>6</v>
      </c>
      <c r="E1" s="19" t="s">
        <v>7</v>
      </c>
    </row>
    <row r="2" customFormat="false" ht="15" hidden="false" customHeight="false" outlineLevel="0" collapsed="false">
      <c r="A2" s="4" t="s">
        <v>3276</v>
      </c>
      <c r="B2" s="5" t="n">
        <v>14376.89</v>
      </c>
      <c r="C2" s="21" t="n">
        <f aca="false">B2/SUM($B$2:$B$5)</f>
        <v>0.0707757966879411</v>
      </c>
      <c r="D2" s="5" t="n">
        <v>16114.07</v>
      </c>
      <c r="E2" s="8" t="n">
        <f aca="false">D2/B2</f>
        <v>1.12083141764318</v>
      </c>
    </row>
    <row r="3" customFormat="false" ht="15" hidden="false" customHeight="false" outlineLevel="0" collapsed="false">
      <c r="A3" s="4" t="s">
        <v>3277</v>
      </c>
      <c r="B3" s="5" t="n">
        <v>34535.84</v>
      </c>
      <c r="C3" s="21" t="n">
        <f aca="false">B3/SUM($B$2:$B$5)</f>
        <v>0.170016018087866</v>
      </c>
      <c r="D3" s="5" t="n">
        <v>41684.32</v>
      </c>
      <c r="E3" s="8" t="n">
        <f aca="false">D3/B3</f>
        <v>1.20698729204212</v>
      </c>
    </row>
    <row r="4" customFormat="false" ht="15" hidden="false" customHeight="false" outlineLevel="0" collapsed="false">
      <c r="A4" s="4" t="s">
        <v>3278</v>
      </c>
      <c r="B4" s="5" t="n">
        <v>67840.33</v>
      </c>
      <c r="C4" s="21" t="n">
        <f aca="false">B4/SUM($B$2:$B$5)</f>
        <v>0.333970239970037</v>
      </c>
      <c r="D4" s="5" t="n">
        <v>83509.43</v>
      </c>
      <c r="E4" s="8" t="n">
        <f aca="false">D4/B4</f>
        <v>1.23097027977311</v>
      </c>
    </row>
    <row r="5" customFormat="false" ht="15" hidden="false" customHeight="false" outlineLevel="0" collapsed="false">
      <c r="A5" s="4" t="s">
        <v>3279</v>
      </c>
      <c r="B5" s="5" t="n">
        <v>86379.8</v>
      </c>
      <c r="C5" s="21" t="n">
        <f aca="false">B5/SUM($B$2:$B$5)</f>
        <v>0.425237945254155</v>
      </c>
      <c r="D5" s="5" t="n">
        <v>111989.02</v>
      </c>
      <c r="E5" s="8" t="n">
        <f aca="false">D5/B5</f>
        <v>1.29647232339042</v>
      </c>
    </row>
    <row r="7" customFormat="false" ht="15" hidden="false" customHeight="false" outlineLevel="0" collapsed="false">
      <c r="A7" s="2" t="s">
        <v>3280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1" min="10" style="0" width="10"/>
    <col collapsed="false" customWidth="true" hidden="false" outlineLevel="0" max="12" min="12" style="0" width="30"/>
  </cols>
  <sheetData>
    <row r="1" customFormat="false" ht="31.5" hidden="false" customHeight="true" outlineLevel="0" collapsed="false">
      <c r="A1" s="19" t="s">
        <v>3281</v>
      </c>
      <c r="B1" s="19" t="s">
        <v>35</v>
      </c>
      <c r="C1" s="19" t="s">
        <v>3282</v>
      </c>
      <c r="D1" s="19" t="s">
        <v>3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11</v>
      </c>
      <c r="J1" s="19" t="s">
        <v>73</v>
      </c>
      <c r="K1" s="19" t="s">
        <v>74</v>
      </c>
      <c r="L1" s="19" t="s">
        <v>3283</v>
      </c>
    </row>
    <row r="2" customFormat="false" ht="15" hidden="false" customHeight="false" outlineLevel="0" collapsed="false">
      <c r="A2" s="4" t="s">
        <v>3284</v>
      </c>
      <c r="B2" s="4" t="n">
        <v>1</v>
      </c>
      <c r="C2" s="4" t="n">
        <v>0</v>
      </c>
      <c r="D2" s="5" t="n">
        <v>13721.3</v>
      </c>
      <c r="E2" s="7" t="n">
        <v>148</v>
      </c>
      <c r="F2" s="5" t="n">
        <v>7298.49</v>
      </c>
      <c r="G2" s="8" t="n">
        <f aca="false">IF(D2&gt;0,F2/D2,0)</f>
        <v>0.531909512947024</v>
      </c>
      <c r="H2" s="5" t="n">
        <f aca="false">IF(E2&gt;0,D2/E2,0)</f>
        <v>92.7114864864865</v>
      </c>
      <c r="I2" s="29" t="n">
        <v>0.0491425914084753</v>
      </c>
      <c r="J2" s="21" t="n">
        <v>0.943556356449457</v>
      </c>
      <c r="K2" s="21" t="n">
        <v>0.384955643173977</v>
      </c>
      <c r="L2" s="4" t="str">
        <f aca="false">IF(D2&lt;300,"Not enough spend to judge",IF(G2&gt;='Read Me &amp; Markers'!$B$20,"Winner signal",IF(G2&gt;=1,"Breakeven","Losing")))</f>
        <v>Losing</v>
      </c>
    </row>
    <row r="3" customFormat="false" ht="15" hidden="false" customHeight="false" outlineLevel="0" collapsed="false">
      <c r="A3" s="4" t="s">
        <v>3285</v>
      </c>
      <c r="B3" s="4" t="n">
        <v>2</v>
      </c>
      <c r="C3" s="4" t="n">
        <v>0</v>
      </c>
      <c r="D3" s="5" t="n">
        <v>6512.72</v>
      </c>
      <c r="E3" s="7" t="n">
        <v>103</v>
      </c>
      <c r="F3" s="5" t="n">
        <v>6380.71</v>
      </c>
      <c r="G3" s="8" t="n">
        <f aca="false">IF(D3&gt;0,F3/D3,0)</f>
        <v>0.979730435209866</v>
      </c>
      <c r="H3" s="5" t="n">
        <f aca="false">IF(E3&gt;0,D3/E3,0)</f>
        <v>63.2302912621359</v>
      </c>
      <c r="I3" s="29" t="n">
        <v>0.0724568016798644</v>
      </c>
      <c r="J3" s="21" t="n">
        <v>0.938750727350925</v>
      </c>
      <c r="K3" s="21" t="n">
        <v>0.258044521101709</v>
      </c>
      <c r="L3" s="4" t="str">
        <f aca="false">IF(D3&lt;300,"Not enough spend to judge",IF(G3&gt;='Read Me &amp; Markers'!$B$20,"Winner signal",IF(G3&gt;=1,"Breakeven","Losing")))</f>
        <v>Losing</v>
      </c>
    </row>
    <row r="4" customFormat="false" ht="15" hidden="false" customHeight="false" outlineLevel="0" collapsed="false">
      <c r="A4" s="4" t="s">
        <v>3286</v>
      </c>
      <c r="B4" s="4" t="n">
        <v>1</v>
      </c>
      <c r="C4" s="4" t="n">
        <v>1</v>
      </c>
      <c r="D4" s="5" t="n">
        <v>6258.82</v>
      </c>
      <c r="E4" s="7" t="n">
        <v>100</v>
      </c>
      <c r="F4" s="5" t="n">
        <v>6217.83</v>
      </c>
      <c r="G4" s="8" t="n">
        <f aca="false">IF(D4&gt;0,F4/D4,0)</f>
        <v>0.993450842171528</v>
      </c>
      <c r="H4" s="5" t="n">
        <f aca="false">IF(E4&gt;0,D4/E4,0)</f>
        <v>62.5882</v>
      </c>
      <c r="I4" s="29" t="n">
        <v>0.0277119064688689</v>
      </c>
      <c r="J4" s="21" t="n">
        <v>0.964360558098494</v>
      </c>
      <c r="K4" s="21" t="n">
        <v>0.178506583556121</v>
      </c>
      <c r="L4" s="4" t="str">
        <f aca="false">IF(D4&lt;300,"Not enough spend to judge",IF(G4&gt;='Read Me &amp; Markers'!$B$20,"Winner signal",IF(G4&gt;=1,"Breakeven","Losing")))</f>
        <v>Losing</v>
      </c>
    </row>
    <row r="5" customFormat="false" ht="15" hidden="false" customHeight="false" outlineLevel="0" collapsed="false">
      <c r="A5" s="4" t="s">
        <v>3287</v>
      </c>
      <c r="B5" s="4" t="n">
        <v>2</v>
      </c>
      <c r="C5" s="4" t="n">
        <v>1</v>
      </c>
      <c r="D5" s="5" t="n">
        <v>4670.94</v>
      </c>
      <c r="E5" s="7" t="n">
        <v>58</v>
      </c>
      <c r="F5" s="5" t="n">
        <v>2901.05</v>
      </c>
      <c r="G5" s="8" t="n">
        <f aca="false">IF(D5&gt;0,F5/D5,0)</f>
        <v>0.621084835172364</v>
      </c>
      <c r="H5" s="5" t="n">
        <f aca="false">IF(E5&gt;0,D5/E5,0)</f>
        <v>80.5334482758621</v>
      </c>
      <c r="I5" s="29" t="n">
        <v>0.0407706282479192</v>
      </c>
      <c r="J5" s="21" t="n">
        <v>0.963243060543327</v>
      </c>
      <c r="K5" s="21" t="n">
        <v>0.252883898416597</v>
      </c>
      <c r="L5" s="4" t="str">
        <f aca="false">IF(D5&lt;300,"Not enough spend to judge",IF(G5&gt;='Read Me &amp; Markers'!$B$20,"Winner signal",IF(G5&gt;=1,"Breakeven","Losing")))</f>
        <v>Losing</v>
      </c>
    </row>
    <row r="6" customFormat="false" ht="15" hidden="false" customHeight="false" outlineLevel="0" collapsed="false">
      <c r="A6" s="4" t="s">
        <v>3288</v>
      </c>
      <c r="B6" s="4" t="n">
        <v>1</v>
      </c>
      <c r="C6" s="4" t="n">
        <v>0</v>
      </c>
      <c r="D6" s="5" t="n">
        <v>3109.18</v>
      </c>
      <c r="E6" s="7" t="n">
        <v>39</v>
      </c>
      <c r="F6" s="5" t="n">
        <v>1874.63</v>
      </c>
      <c r="G6" s="8" t="n">
        <f aca="false">IF(D6&gt;0,F6/D6,0)</f>
        <v>0.602933892537582</v>
      </c>
      <c r="H6" s="5" t="n">
        <f aca="false">IF(E6&gt;0,D6/E6,0)</f>
        <v>79.7225641025641</v>
      </c>
      <c r="I6" s="29" t="n">
        <v>0.0523312119535141</v>
      </c>
      <c r="J6" s="21" t="n">
        <v>0.938779745434422</v>
      </c>
      <c r="K6" s="21" t="n">
        <v>0.466362095645126</v>
      </c>
      <c r="L6" s="4" t="str">
        <f aca="false">IF(D6&lt;300,"Not enough spend to judge",IF(G6&gt;='Read Me &amp; Markers'!$B$20,"Winner signal",IF(G6&gt;=1,"Breakeven","Losing")))</f>
        <v>Losing</v>
      </c>
    </row>
    <row r="7" customFormat="false" ht="15" hidden="false" customHeight="false" outlineLevel="0" collapsed="false">
      <c r="A7" s="4" t="s">
        <v>3289</v>
      </c>
      <c r="B7" s="4" t="n">
        <v>2</v>
      </c>
      <c r="C7" s="4" t="n">
        <v>0</v>
      </c>
      <c r="D7" s="5" t="n">
        <v>2541.5</v>
      </c>
      <c r="E7" s="7" t="n">
        <v>28</v>
      </c>
      <c r="F7" s="5" t="n">
        <v>1558.43</v>
      </c>
      <c r="G7" s="8" t="n">
        <f aca="false">IF(D7&gt;0,F7/D7,0)</f>
        <v>0.61319299626205</v>
      </c>
      <c r="H7" s="5" t="n">
        <f aca="false">IF(E7&gt;0,D7/E7,0)</f>
        <v>90.7678571428571</v>
      </c>
      <c r="I7" s="29" t="n">
        <v>0.0635654261704682</v>
      </c>
      <c r="J7" s="21" t="n">
        <v>0.952220888355342</v>
      </c>
      <c r="K7" s="21" t="n">
        <v>0.195032778618255</v>
      </c>
      <c r="L7" s="4" t="str">
        <f aca="false">IF(D7&lt;300,"Not enough spend to judge",IF(G7&gt;='Read Me &amp; Markers'!$B$20,"Winner signal",IF(G7&gt;=1,"Breakeven","Losing")))</f>
        <v>Losing</v>
      </c>
    </row>
    <row r="8" customFormat="false" ht="15" hidden="false" customHeight="false" outlineLevel="0" collapsed="false">
      <c r="A8" s="4" t="s">
        <v>3290</v>
      </c>
      <c r="B8" s="4" t="n">
        <v>2</v>
      </c>
      <c r="C8" s="4" t="n">
        <v>1</v>
      </c>
      <c r="D8" s="5" t="n">
        <v>1681.46</v>
      </c>
      <c r="E8" s="7" t="n">
        <v>23</v>
      </c>
      <c r="F8" s="5" t="n">
        <v>1357.3</v>
      </c>
      <c r="G8" s="8" t="n">
        <f aca="false">IF(D8&gt;0,F8/D8,0)</f>
        <v>0.807215158255326</v>
      </c>
      <c r="H8" s="5" t="n">
        <f aca="false">IF(E8&gt;0,D8/E8,0)</f>
        <v>73.1069565217391</v>
      </c>
      <c r="I8" s="29" t="n">
        <v>0.0240695342099398</v>
      </c>
      <c r="J8" s="21" t="n">
        <v>0.85786717182973</v>
      </c>
      <c r="K8" s="21" t="n">
        <v>0.055140611807495</v>
      </c>
      <c r="L8" s="4" t="str">
        <f aca="false">IF(D8&lt;300,"Not enough spend to judge",IF(G8&gt;='Read Me &amp; Markers'!$B$20,"Winner signal",IF(G8&gt;=1,"Breakeven","Losing")))</f>
        <v>Losing</v>
      </c>
    </row>
    <row r="9" customFormat="false" ht="15" hidden="false" customHeight="false" outlineLevel="0" collapsed="false">
      <c r="A9" s="4" t="s">
        <v>3291</v>
      </c>
      <c r="B9" s="4" t="n">
        <v>1</v>
      </c>
      <c r="C9" s="4" t="n">
        <v>0</v>
      </c>
      <c r="D9" s="5" t="n">
        <v>1527.25</v>
      </c>
      <c r="E9" s="7" t="n">
        <v>19</v>
      </c>
      <c r="F9" s="5" t="n">
        <v>965.06</v>
      </c>
      <c r="G9" s="8" t="n">
        <f aca="false">IF(D9&gt;0,F9/D9,0)</f>
        <v>0.631893926992961</v>
      </c>
      <c r="H9" s="5" t="n">
        <f aca="false">IF(E9&gt;0,D9/E9,0)</f>
        <v>80.3815789473684</v>
      </c>
      <c r="I9" s="29" t="n">
        <v>0.0310540680091466</v>
      </c>
      <c r="J9" s="21" t="n">
        <v>0.948956258759313</v>
      </c>
      <c r="K9" s="21" t="n">
        <v>0.272444617178391</v>
      </c>
      <c r="L9" s="4" t="str">
        <f aca="false">IF(D9&lt;300,"Not enough spend to judge",IF(G9&gt;='Read Me &amp; Markers'!$B$20,"Winner signal",IF(G9&gt;=1,"Breakeven","Losing")))</f>
        <v>Losing</v>
      </c>
    </row>
    <row r="10" customFormat="false" ht="15" hidden="false" customHeight="false" outlineLevel="0" collapsed="false">
      <c r="A10" s="4" t="s">
        <v>3292</v>
      </c>
      <c r="B10" s="4" t="n">
        <v>2</v>
      </c>
      <c r="C10" s="4" t="n">
        <v>2</v>
      </c>
      <c r="D10" s="5" t="n">
        <v>1296.99</v>
      </c>
      <c r="E10" s="7" t="n">
        <v>17</v>
      </c>
      <c r="F10" s="5" t="n">
        <v>1075.33</v>
      </c>
      <c r="G10" s="8" t="n">
        <f aca="false">IF(D10&gt;0,F10/D10,0)</f>
        <v>0.829096600590598</v>
      </c>
      <c r="H10" s="5" t="n">
        <f aca="false">IF(E10&gt;0,D10/E10,0)</f>
        <v>76.2935294117647</v>
      </c>
      <c r="I10" s="29" t="n">
        <v>0.048594722162626</v>
      </c>
      <c r="J10" s="21" t="n">
        <v>0.964599871272259</v>
      </c>
      <c r="K10" s="21" t="n">
        <v>0.200177935943061</v>
      </c>
      <c r="L10" s="4" t="str">
        <f aca="false">IF(D10&lt;300,"Not enough spend to judge",IF(G10&gt;='Read Me &amp; Markers'!$B$20,"Winner signal",IF(G10&gt;=1,"Breakeven","Losing")))</f>
        <v>Losing</v>
      </c>
    </row>
    <row r="11" customFormat="false" ht="15" hidden="false" customHeight="false" outlineLevel="0" collapsed="false">
      <c r="A11" s="4" t="s">
        <v>3293</v>
      </c>
      <c r="B11" s="4" t="n">
        <v>1</v>
      </c>
      <c r="C11" s="4" t="n">
        <v>0</v>
      </c>
      <c r="D11" s="5" t="n">
        <v>1290.94</v>
      </c>
      <c r="E11" s="7" t="n">
        <v>11</v>
      </c>
      <c r="F11" s="5" t="n">
        <v>587.56</v>
      </c>
      <c r="G11" s="8" t="n">
        <f aca="false">IF(D11&gt;0,F11/D11,0)</f>
        <v>0.455141214928657</v>
      </c>
      <c r="H11" s="5" t="n">
        <f aca="false">IF(E11&gt;0,D11/E11,0)</f>
        <v>117.358181818182</v>
      </c>
      <c r="I11" s="29" t="n">
        <v>0.024582338902148</v>
      </c>
      <c r="J11" s="21" t="n">
        <v>0.905966587112172</v>
      </c>
      <c r="K11" s="21" t="n">
        <v>0.135230066736916</v>
      </c>
      <c r="L11" s="4" t="str">
        <f aca="false">IF(D11&lt;300,"Not enough spend to judge",IF(G11&gt;='Read Me &amp; Markers'!$B$20,"Winner signal",IF(G11&gt;=1,"Breakeven","Losing")))</f>
        <v>Losing</v>
      </c>
    </row>
    <row r="12" customFormat="false" ht="15" hidden="false" customHeight="false" outlineLevel="0" collapsed="false">
      <c r="A12" s="4" t="s">
        <v>3294</v>
      </c>
      <c r="B12" s="4" t="n">
        <v>3</v>
      </c>
      <c r="C12" s="4" t="n">
        <v>0</v>
      </c>
      <c r="D12" s="5" t="n">
        <v>1115.94</v>
      </c>
      <c r="E12" s="7" t="n">
        <v>23</v>
      </c>
      <c r="F12" s="5" t="n">
        <v>963.41</v>
      </c>
      <c r="G12" s="8" t="n">
        <f aca="false">IF(D12&gt;0,F12/D12,0)</f>
        <v>0.863317024212771</v>
      </c>
      <c r="H12" s="5" t="n">
        <f aca="false">IF(E12&gt;0,D12/E12,0)</f>
        <v>48.5191304347826</v>
      </c>
      <c r="I12" s="29" t="n">
        <v>0.0432616081540204</v>
      </c>
      <c r="J12" s="21" t="n">
        <v>0.942695356738392</v>
      </c>
      <c r="K12" s="21" t="n">
        <v>0.308625660740029</v>
      </c>
      <c r="L12" s="4" t="str">
        <f aca="false">IF(D12&lt;300,"Not enough spend to judge",IF(G12&gt;='Read Me &amp; Markers'!$B$20,"Winner signal",IF(G12&gt;=1,"Breakeven","Losing")))</f>
        <v>Losing</v>
      </c>
    </row>
    <row r="13" customFormat="false" ht="15" hidden="false" customHeight="false" outlineLevel="0" collapsed="false">
      <c r="A13" s="4" t="s">
        <v>3295</v>
      </c>
      <c r="B13" s="4" t="n">
        <v>1</v>
      </c>
      <c r="C13" s="4" t="n">
        <v>0</v>
      </c>
      <c r="D13" s="5" t="n">
        <v>739.75</v>
      </c>
      <c r="E13" s="7" t="n">
        <v>9</v>
      </c>
      <c r="F13" s="5" t="n">
        <v>347.64</v>
      </c>
      <c r="G13" s="8" t="n">
        <f aca="false">IF(D13&gt;0,F13/D13,0)</f>
        <v>0.469942548158162</v>
      </c>
      <c r="H13" s="5" t="n">
        <f aca="false">IF(E13&gt;0,D13/E13,0)</f>
        <v>82.1944444444444</v>
      </c>
      <c r="I13" s="29" t="n">
        <v>0.0200696864111498</v>
      </c>
      <c r="J13" s="21" t="n">
        <v>0.920696864111498</v>
      </c>
      <c r="K13" s="21" t="n">
        <v>0.375719043293975</v>
      </c>
      <c r="L13" s="4" t="str">
        <f aca="false">IF(D13&lt;300,"Not enough spend to judge",IF(G13&gt;='Read Me &amp; Markers'!$B$20,"Winner signal",IF(G13&gt;=1,"Breakeven","Losing")))</f>
        <v>Losing</v>
      </c>
    </row>
    <row r="14" customFormat="false" ht="15" hidden="false" customHeight="false" outlineLevel="0" collapsed="false">
      <c r="A14" s="4" t="s">
        <v>3296</v>
      </c>
      <c r="B14" s="4" t="n">
        <v>2</v>
      </c>
      <c r="C14" s="4" t="n">
        <v>0</v>
      </c>
      <c r="D14" s="5" t="n">
        <v>738.57</v>
      </c>
      <c r="E14" s="7" t="n">
        <v>10</v>
      </c>
      <c r="F14" s="5" t="n">
        <v>649.61</v>
      </c>
      <c r="G14" s="8" t="n">
        <f aca="false">IF(D14&gt;0,F14/D14,0)</f>
        <v>0.879551024276643</v>
      </c>
      <c r="H14" s="5" t="n">
        <f aca="false">IF(E14&gt;0,D14/E14,0)</f>
        <v>73.857</v>
      </c>
      <c r="I14" s="29" t="n">
        <v>0.0318234312844861</v>
      </c>
      <c r="J14" s="21" t="n">
        <v>0.969331451302451</v>
      </c>
      <c r="K14" s="21" t="n">
        <v>0.159518136086841</v>
      </c>
      <c r="L14" s="4" t="str">
        <f aca="false">IF(D14&lt;300,"Not enough spend to judge",IF(G14&gt;='Read Me &amp; Markers'!$B$20,"Winner signal",IF(G14&gt;=1,"Breakeven","Losing")))</f>
        <v>Losing</v>
      </c>
    </row>
    <row r="15" customFormat="false" ht="15" hidden="false" customHeight="false" outlineLevel="0" collapsed="false">
      <c r="A15" s="4" t="s">
        <v>3297</v>
      </c>
      <c r="B15" s="4" t="n">
        <v>1</v>
      </c>
      <c r="C15" s="4" t="n">
        <v>1</v>
      </c>
      <c r="D15" s="5" t="n">
        <v>734.63</v>
      </c>
      <c r="E15" s="7" t="n">
        <v>11</v>
      </c>
      <c r="F15" s="5" t="n">
        <v>651.55</v>
      </c>
      <c r="G15" s="8" t="n">
        <f aca="false">IF(D15&gt;0,F15/D15,0)</f>
        <v>0.886909056259614</v>
      </c>
      <c r="H15" s="5" t="n">
        <f aca="false">IF(E15&gt;0,D15/E15,0)</f>
        <v>66.7845454545455</v>
      </c>
      <c r="I15" s="29" t="n">
        <v>0.0933997509339975</v>
      </c>
      <c r="J15" s="21" t="n">
        <v>0.940224159402242</v>
      </c>
      <c r="K15" s="21" t="n">
        <v>0.216887417218543</v>
      </c>
      <c r="L15" s="4" t="str">
        <f aca="false">IF(D15&lt;300,"Not enough spend to judge",IF(G15&gt;='Read Me &amp; Markers'!$B$20,"Winner signal",IF(G15&gt;=1,"Breakeven","Losing")))</f>
        <v>Losing</v>
      </c>
    </row>
    <row r="16" customFormat="false" ht="15" hidden="false" customHeight="false" outlineLevel="0" collapsed="false">
      <c r="A16" s="4" t="s">
        <v>3298</v>
      </c>
      <c r="B16" s="4" t="n">
        <v>6</v>
      </c>
      <c r="C16" s="4" t="n">
        <v>5</v>
      </c>
      <c r="D16" s="5" t="n">
        <v>654.53</v>
      </c>
      <c r="E16" s="7" t="n">
        <v>6</v>
      </c>
      <c r="F16" s="5" t="n">
        <v>356.16</v>
      </c>
      <c r="G16" s="8" t="n">
        <f aca="false">IF(D16&gt;0,F16/D16,0)</f>
        <v>0.544146181229279</v>
      </c>
      <c r="H16" s="5" t="n">
        <f aca="false">IF(E16&gt;0,D16/E16,0)</f>
        <v>109.088333333333</v>
      </c>
      <c r="I16" s="29" t="n">
        <v>0.0113354294224723</v>
      </c>
      <c r="J16" s="21" t="n">
        <v>0.000248221082243919</v>
      </c>
      <c r="K16" s="21" t="n">
        <v>0</v>
      </c>
      <c r="L16" s="4" t="str">
        <f aca="false">IF(D16&lt;300,"Not enough spend to judge",IF(G16&gt;='Read Me &amp; Markers'!$B$20,"Winner signal",IF(G16&gt;=1,"Breakeven","Losing")))</f>
        <v>Losing</v>
      </c>
    </row>
    <row r="17" customFormat="false" ht="15" hidden="false" customHeight="false" outlineLevel="0" collapsed="false">
      <c r="A17" s="4" t="s">
        <v>3299</v>
      </c>
      <c r="B17" s="4" t="n">
        <v>2</v>
      </c>
      <c r="C17" s="4" t="n">
        <v>2</v>
      </c>
      <c r="D17" s="5" t="n">
        <v>616.16</v>
      </c>
      <c r="E17" s="7" t="n">
        <v>18</v>
      </c>
      <c r="F17" s="5" t="n">
        <v>1237.35</v>
      </c>
      <c r="G17" s="8" t="n">
        <f aca="false">IF(D17&gt;0,F17/D17,0)</f>
        <v>2.00816346403532</v>
      </c>
      <c r="H17" s="5" t="n">
        <f aca="false">IF(E17&gt;0,D17/E17,0)</f>
        <v>34.2311111111111</v>
      </c>
      <c r="I17" s="29" t="n">
        <v>0.0219185146982981</v>
      </c>
      <c r="J17" s="21" t="n">
        <v>0.889118102114492</v>
      </c>
      <c r="K17" s="21" t="n">
        <v>0.0490139211136891</v>
      </c>
      <c r="L17" s="4" t="str">
        <f aca="false">IF(D17&lt;300,"Not enough spend to judge",IF(G17&gt;='Read Me &amp; Markers'!$B$20,"Winner signal",IF(G17&gt;=1,"Breakeven","Losing")))</f>
        <v>Winner signal</v>
      </c>
    </row>
    <row r="18" customFormat="false" ht="15" hidden="false" customHeight="false" outlineLevel="0" collapsed="false">
      <c r="A18" s="4" t="s">
        <v>3300</v>
      </c>
      <c r="B18" s="4" t="n">
        <v>2</v>
      </c>
      <c r="C18" s="4" t="n">
        <v>0</v>
      </c>
      <c r="D18" s="5" t="n">
        <v>596.19</v>
      </c>
      <c r="E18" s="7" t="n">
        <v>6</v>
      </c>
      <c r="F18" s="5" t="n">
        <v>377.61</v>
      </c>
      <c r="G18" s="8" t="n">
        <f aca="false">IF(D18&gt;0,F18/D18,0)</f>
        <v>0.633371911638907</v>
      </c>
      <c r="H18" s="5" t="n">
        <f aca="false">IF(E18&gt;0,D18/E18,0)</f>
        <v>99.365</v>
      </c>
      <c r="I18" s="29" t="n">
        <v>0.0431354359925789</v>
      </c>
      <c r="J18" s="21" t="n">
        <v>0.927643784786642</v>
      </c>
      <c r="K18" s="21" t="n">
        <v>0.2595</v>
      </c>
      <c r="L18" s="4" t="str">
        <f aca="false">IF(D18&lt;300,"Not enough spend to judge",IF(G18&gt;='Read Me &amp; Markers'!$B$20,"Winner signal",IF(G18&gt;=1,"Breakeven","Losing")))</f>
        <v>Losing</v>
      </c>
    </row>
    <row r="19" customFormat="false" ht="15" hidden="false" customHeight="false" outlineLevel="0" collapsed="false">
      <c r="A19" s="4" t="s">
        <v>3301</v>
      </c>
      <c r="B19" s="4" t="n">
        <v>2</v>
      </c>
      <c r="C19" s="4" t="n">
        <v>0</v>
      </c>
      <c r="D19" s="5" t="n">
        <v>591.06</v>
      </c>
      <c r="E19" s="7" t="n">
        <v>9</v>
      </c>
      <c r="F19" s="5" t="n">
        <v>633.7</v>
      </c>
      <c r="G19" s="8" t="n">
        <f aca="false">IF(D19&gt;0,F19/D19,0)</f>
        <v>1.07214157615132</v>
      </c>
      <c r="H19" s="5" t="n">
        <f aca="false">IF(E19&gt;0,D19/E19,0)</f>
        <v>65.6733333333334</v>
      </c>
      <c r="I19" s="29" t="n">
        <v>0.0369757174392936</v>
      </c>
      <c r="J19" s="21" t="n">
        <v>0.958057395143488</v>
      </c>
      <c r="K19" s="21" t="n">
        <v>0.321428571428572</v>
      </c>
      <c r="L19" s="4" t="str">
        <f aca="false">IF(D19&lt;300,"Not enough spend to judge",IF(G19&gt;='Read Me &amp; Markers'!$B$20,"Winner signal",IF(G19&gt;=1,"Breakeven","Losing")))</f>
        <v>Breakeven</v>
      </c>
    </row>
    <row r="20" customFormat="false" ht="15" hidden="false" customHeight="false" outlineLevel="0" collapsed="false">
      <c r="A20" s="4" t="s">
        <v>3302</v>
      </c>
      <c r="B20" s="4" t="n">
        <v>1</v>
      </c>
      <c r="C20" s="4" t="n">
        <v>0</v>
      </c>
      <c r="D20" s="5" t="n">
        <v>583.67</v>
      </c>
      <c r="E20" s="7" t="n">
        <v>9</v>
      </c>
      <c r="F20" s="5" t="n">
        <v>559.62</v>
      </c>
      <c r="G20" s="8" t="n">
        <f aca="false">IF(D20&gt;0,F20/D20,0)</f>
        <v>0.958795209621876</v>
      </c>
      <c r="H20" s="5" t="n">
        <f aca="false">IF(E20&gt;0,D20/E20,0)</f>
        <v>64.8522222222222</v>
      </c>
      <c r="I20" s="29" t="n">
        <v>0.0594315245478036</v>
      </c>
      <c r="J20" s="21" t="n">
        <v>0.944121447028424</v>
      </c>
      <c r="K20" s="21" t="n">
        <v>0.173109818679439</v>
      </c>
      <c r="L20" s="4" t="str">
        <f aca="false">IF(D20&lt;300,"Not enough spend to judge",IF(G20&gt;='Read Me &amp; Markers'!$B$20,"Winner signal",IF(G20&gt;=1,"Breakeven","Losing")))</f>
        <v>Losing</v>
      </c>
    </row>
    <row r="21" customFormat="false" ht="15" hidden="false" customHeight="false" outlineLevel="0" collapsed="false">
      <c r="A21" s="4" t="s">
        <v>3303</v>
      </c>
      <c r="B21" s="4" t="n">
        <v>2</v>
      </c>
      <c r="C21" s="4" t="n">
        <v>0</v>
      </c>
      <c r="D21" s="5" t="n">
        <v>410.15</v>
      </c>
      <c r="E21" s="7" t="n">
        <v>3</v>
      </c>
      <c r="F21" s="5" t="n">
        <v>109.68</v>
      </c>
      <c r="G21" s="8" t="n">
        <f aca="false">IF(D21&gt;0,F21/D21,0)</f>
        <v>0.267414360599781</v>
      </c>
      <c r="H21" s="5" t="n">
        <f aca="false">IF(E21&gt;0,D21/E21,0)</f>
        <v>136.716666666667</v>
      </c>
      <c r="I21" s="29" t="n">
        <v>0.0342261904761905</v>
      </c>
      <c r="J21" s="21" t="n">
        <v>0.937202380952381</v>
      </c>
      <c r="K21" s="21" t="n">
        <v>0.35566846617974</v>
      </c>
      <c r="L21" s="4" t="str">
        <f aca="false">IF(D21&lt;300,"Not enough spend to judge",IF(G21&gt;='Read Me &amp; Markers'!$B$20,"Winner signal",IF(G21&gt;=1,"Breakeven","Losing")))</f>
        <v>Losing</v>
      </c>
    </row>
    <row r="22" customFormat="false" ht="15" hidden="false" customHeight="false" outlineLevel="0" collapsed="false">
      <c r="A22" s="4" t="s">
        <v>3304</v>
      </c>
      <c r="B22" s="4" t="n">
        <v>1</v>
      </c>
      <c r="C22" s="4" t="n">
        <v>0</v>
      </c>
      <c r="D22" s="5" t="n">
        <v>292.42</v>
      </c>
      <c r="E22" s="7" t="n">
        <v>3</v>
      </c>
      <c r="F22" s="5" t="n">
        <v>194.28</v>
      </c>
      <c r="G22" s="8" t="n">
        <f aca="false">IF(D22&gt;0,F22/D22,0)</f>
        <v>0.664386840845359</v>
      </c>
      <c r="H22" s="5" t="n">
        <f aca="false">IF(E22&gt;0,D22/E22,0)</f>
        <v>97.4733333333333</v>
      </c>
      <c r="I22" s="29" t="n">
        <v>0.0625307730182176</v>
      </c>
      <c r="J22" s="21" t="n">
        <v>0.93451501723289</v>
      </c>
      <c r="K22" s="21" t="n">
        <v>0.136986301369863</v>
      </c>
      <c r="L22" s="4" t="str">
        <f aca="false">IF(D22&lt;300,"Not enough spend to judge",IF(G22&gt;='Read Me &amp; Markers'!$B$20,"Winner signal",IF(G22&gt;=1,"Breakeven","Losing")))</f>
        <v>Not enough spend to judge</v>
      </c>
    </row>
    <row r="23" customFormat="false" ht="15" hidden="false" customHeight="false" outlineLevel="0" collapsed="false">
      <c r="A23" s="4" t="s">
        <v>3305</v>
      </c>
      <c r="B23" s="4" t="n">
        <v>2</v>
      </c>
      <c r="C23" s="4" t="n">
        <v>1</v>
      </c>
      <c r="D23" s="5" t="n">
        <v>267.51</v>
      </c>
      <c r="E23" s="7" t="n">
        <v>5</v>
      </c>
      <c r="F23" s="5" t="n">
        <v>233.8</v>
      </c>
      <c r="G23" s="8" t="n">
        <f aca="false">IF(D23&gt;0,F23/D23,0)</f>
        <v>0.873986019214235</v>
      </c>
      <c r="H23" s="5" t="n">
        <f aca="false">IF(E23&gt;0,D23/E23,0)</f>
        <v>53.502</v>
      </c>
      <c r="I23" s="29" t="n">
        <v>0.0341963849535906</v>
      </c>
      <c r="J23" s="21" t="n">
        <v>0.943820224719101</v>
      </c>
      <c r="K23" s="21" t="n">
        <v>0.342132505175983</v>
      </c>
      <c r="L23" s="4" t="str">
        <f aca="false">IF(D23&lt;300,"Not enough spend to judge",IF(G23&gt;='Read Me &amp; Markers'!$B$20,"Winner signal",IF(G23&gt;=1,"Breakeven","Losing")))</f>
        <v>Not enough spend to judge</v>
      </c>
    </row>
    <row r="24" customFormat="false" ht="15" hidden="false" customHeight="false" outlineLevel="0" collapsed="false">
      <c r="A24" s="4" t="s">
        <v>3306</v>
      </c>
      <c r="B24" s="4" t="n">
        <v>1</v>
      </c>
      <c r="C24" s="4" t="n">
        <v>0</v>
      </c>
      <c r="D24" s="5" t="n">
        <v>257.65</v>
      </c>
      <c r="E24" s="7" t="n">
        <v>1</v>
      </c>
      <c r="F24" s="5" t="n">
        <v>35.96</v>
      </c>
      <c r="G24" s="8" t="n">
        <f aca="false">IF(D24&gt;0,F24/D24,0)</f>
        <v>0.139569183000194</v>
      </c>
      <c r="H24" s="5" t="n">
        <f aca="false">IF(E24&gt;0,D24/E24,0)</f>
        <v>257.65</v>
      </c>
      <c r="I24" s="29" t="n">
        <v>0.023156089193825</v>
      </c>
      <c r="J24" s="21" t="n">
        <v>0.893653516295026</v>
      </c>
      <c r="K24" s="21" t="n">
        <v>0.0542226487523992</v>
      </c>
      <c r="L24" s="4" t="str">
        <f aca="false">IF(D24&lt;300,"Not enough spend to judge",IF(G24&gt;='Read Me &amp; Markers'!$B$20,"Winner signal",IF(G24&gt;=1,"Breakeven","Losing")))</f>
        <v>Not enough spend to judge</v>
      </c>
    </row>
    <row r="25" customFormat="false" ht="15" hidden="false" customHeight="false" outlineLevel="0" collapsed="false">
      <c r="A25" s="4" t="s">
        <v>3307</v>
      </c>
      <c r="B25" s="4" t="n">
        <v>1</v>
      </c>
      <c r="C25" s="4" t="n">
        <v>1</v>
      </c>
      <c r="D25" s="5" t="n">
        <v>241</v>
      </c>
      <c r="E25" s="7" t="n">
        <v>4</v>
      </c>
      <c r="F25" s="5" t="n">
        <v>271.85</v>
      </c>
      <c r="G25" s="8" t="n">
        <f aca="false">IF(D25&gt;0,F25/D25,0)</f>
        <v>1.12800829875519</v>
      </c>
      <c r="H25" s="5" t="n">
        <f aca="false">IF(E25&gt;0,D25/E25,0)</f>
        <v>60.25</v>
      </c>
      <c r="I25" s="29" t="n">
        <v>0.0458135860979463</v>
      </c>
      <c r="J25" s="21" t="n">
        <v>0.906398104265403</v>
      </c>
      <c r="K25" s="21" t="n">
        <v>0.238779956427015</v>
      </c>
      <c r="L25" s="4" t="str">
        <f aca="false">IF(D25&lt;300,"Not enough spend to judge",IF(G25&gt;='Read Me &amp; Markers'!$B$20,"Winner signal",IF(G25&gt;=1,"Breakeven","Losing")))</f>
        <v>Not enough spend to judge</v>
      </c>
    </row>
    <row r="26" customFormat="false" ht="15" hidden="false" customHeight="false" outlineLevel="0" collapsed="false">
      <c r="A26" s="4" t="s">
        <v>3308</v>
      </c>
      <c r="B26" s="4" t="n">
        <v>1</v>
      </c>
      <c r="C26" s="4" t="n">
        <v>0</v>
      </c>
      <c r="D26" s="5" t="n">
        <v>239.53</v>
      </c>
      <c r="E26" s="7" t="n">
        <v>3</v>
      </c>
      <c r="F26" s="5" t="n">
        <v>109.68</v>
      </c>
      <c r="G26" s="8" t="n">
        <f aca="false">IF(D26&gt;0,F26/D26,0)</f>
        <v>0.457896714399031</v>
      </c>
      <c r="H26" s="5" t="n">
        <f aca="false">IF(E26&gt;0,D26/E26,0)</f>
        <v>79.8433333333333</v>
      </c>
      <c r="I26" s="29" t="n">
        <v>0.0306451612903226</v>
      </c>
      <c r="J26" s="21" t="n">
        <v>0.915322580645161</v>
      </c>
      <c r="K26" s="21" t="n">
        <v>0.360352422907489</v>
      </c>
      <c r="L26" s="4" t="str">
        <f aca="false">IF(D26&lt;300,"Not enough spend to judge",IF(G26&gt;='Read Me &amp; Markers'!$B$20,"Winner signal",IF(G26&gt;=1,"Breakeven","Losing")))</f>
        <v>Not enough spend to judge</v>
      </c>
    </row>
    <row r="27" customFormat="false" ht="15" hidden="false" customHeight="false" outlineLevel="0" collapsed="false">
      <c r="A27" s="4" t="s">
        <v>3309</v>
      </c>
      <c r="B27" s="4" t="n">
        <v>2</v>
      </c>
      <c r="C27" s="4" t="n">
        <v>0</v>
      </c>
      <c r="D27" s="5" t="n">
        <v>197.95</v>
      </c>
      <c r="E27" s="7" t="n">
        <v>4</v>
      </c>
      <c r="F27" s="5" t="n">
        <v>197.84</v>
      </c>
      <c r="G27" s="8" t="n">
        <f aca="false">IF(D27&gt;0,F27/D27,0)</f>
        <v>0.999444304117201</v>
      </c>
      <c r="H27" s="5" t="n">
        <f aca="false">IF(E27&gt;0,D27/E27,0)</f>
        <v>49.4875</v>
      </c>
      <c r="I27" s="29" t="n">
        <v>0.0255511022044088</v>
      </c>
      <c r="J27" s="21" t="n">
        <v>0.962925851703407</v>
      </c>
      <c r="K27" s="21" t="n">
        <v>0.237252861602497</v>
      </c>
      <c r="L27" s="4" t="str">
        <f aca="false">IF(D27&lt;300,"Not enough spend to judge",IF(G27&gt;='Read Me &amp; Markers'!$B$20,"Winner signal",IF(G27&gt;=1,"Breakeven","Losing")))</f>
        <v>Not enough spend to judge</v>
      </c>
    </row>
    <row r="28" customFormat="false" ht="15" hidden="false" customHeight="false" outlineLevel="0" collapsed="false">
      <c r="A28" s="4" t="s">
        <v>3310</v>
      </c>
      <c r="B28" s="4" t="n">
        <v>2</v>
      </c>
      <c r="C28" s="4" t="n">
        <v>1</v>
      </c>
      <c r="D28" s="5" t="n">
        <v>192.49</v>
      </c>
      <c r="E28" s="7" t="n">
        <v>0</v>
      </c>
      <c r="F28" s="5" t="n">
        <v>0</v>
      </c>
      <c r="G28" s="8" t="n">
        <f aca="false">IF(D28&gt;0,F28/D28,0)</f>
        <v>0</v>
      </c>
      <c r="H28" s="5" t="n">
        <f aca="false">IF(E28&gt;0,D28/E28,0)</f>
        <v>0</v>
      </c>
      <c r="I28" s="29" t="n">
        <v>0.0506502395619439</v>
      </c>
      <c r="J28" s="21" t="n">
        <v>0.962354551676934</v>
      </c>
      <c r="K28" s="21" t="n">
        <v>0.258890469416785</v>
      </c>
      <c r="L28" s="4" t="str">
        <f aca="false">IF(D28&lt;300,"Not enough spend to judge",IF(G28&gt;='Read Me &amp; Markers'!$B$20,"Winner signal",IF(G28&gt;=1,"Breakeven","Losing")))</f>
        <v>Not enough spend to judge</v>
      </c>
    </row>
    <row r="29" customFormat="false" ht="15" hidden="false" customHeight="false" outlineLevel="0" collapsed="false">
      <c r="A29" s="4" t="s">
        <v>3311</v>
      </c>
      <c r="B29" s="4" t="n">
        <v>2</v>
      </c>
      <c r="C29" s="4" t="n">
        <v>1</v>
      </c>
      <c r="D29" s="5" t="n">
        <v>168.85</v>
      </c>
      <c r="E29" s="7" t="n">
        <v>0</v>
      </c>
      <c r="F29" s="5" t="n">
        <v>0</v>
      </c>
      <c r="G29" s="8" t="n">
        <f aca="false">IF(D29&gt;0,F29/D29,0)</f>
        <v>0</v>
      </c>
      <c r="H29" s="5" t="n">
        <f aca="false">IF(E29&gt;0,D29/E29,0)</f>
        <v>0</v>
      </c>
      <c r="I29" s="29" t="n">
        <v>0.0122596823627752</v>
      </c>
      <c r="J29" s="21" t="n">
        <v>0.0100306492059069</v>
      </c>
      <c r="K29" s="21" t="n">
        <v>0.0555555555555556</v>
      </c>
      <c r="L29" s="4" t="str">
        <f aca="false">IF(D29&lt;300,"Not enough spend to judge",IF(G29&gt;='Read Me &amp; Markers'!$B$20,"Winner signal",IF(G29&gt;=1,"Breakeven","Losing")))</f>
        <v>Not enough spend to judge</v>
      </c>
    </row>
    <row r="30" customFormat="false" ht="15" hidden="false" customHeight="false" outlineLevel="0" collapsed="false">
      <c r="A30" s="4" t="s">
        <v>3312</v>
      </c>
      <c r="B30" s="4" t="n">
        <v>1</v>
      </c>
      <c r="C30" s="4" t="n">
        <v>1</v>
      </c>
      <c r="D30" s="5" t="n">
        <v>146.71</v>
      </c>
      <c r="E30" s="7" t="n">
        <v>1</v>
      </c>
      <c r="F30" s="5" t="n">
        <v>79.97</v>
      </c>
      <c r="G30" s="8" t="n">
        <f aca="false">IF(D30&gt;0,F30/D30,0)</f>
        <v>0.545088950991752</v>
      </c>
      <c r="H30" s="5" t="n">
        <f aca="false">IF(E30&gt;0,D30/E30,0)</f>
        <v>146.71</v>
      </c>
      <c r="I30" s="29" t="n">
        <v>0.0211946050096339</v>
      </c>
      <c r="J30" s="21" t="n">
        <v>0.872190109184329</v>
      </c>
      <c r="K30" s="21" t="n">
        <v>0.0670103092783505</v>
      </c>
      <c r="L30" s="4" t="str">
        <f aca="false">IF(D30&lt;300,"Not enough spend to judge",IF(G30&gt;='Read Me &amp; Markers'!$B$20,"Winner signal",IF(G30&gt;=1,"Breakeven","Losing")))</f>
        <v>Not enough spend to judge</v>
      </c>
    </row>
    <row r="31" customFormat="false" ht="15" hidden="false" customHeight="false" outlineLevel="0" collapsed="false">
      <c r="A31" s="4" t="s">
        <v>3313</v>
      </c>
      <c r="B31" s="4" t="n">
        <v>3</v>
      </c>
      <c r="C31" s="4" t="n">
        <v>1</v>
      </c>
      <c r="D31" s="5" t="n">
        <v>146.31</v>
      </c>
      <c r="E31" s="7" t="n">
        <v>1</v>
      </c>
      <c r="F31" s="5" t="n">
        <v>45.95</v>
      </c>
      <c r="G31" s="8" t="n">
        <f aca="false">IF(D31&gt;0,F31/D31,0)</f>
        <v>0.314059189392386</v>
      </c>
      <c r="H31" s="5" t="n">
        <f aca="false">IF(E31&gt;0,D31/E31,0)</f>
        <v>146.31</v>
      </c>
      <c r="I31" s="29" t="n">
        <v>0.0524515393386545</v>
      </c>
      <c r="J31" s="21" t="n">
        <v>0.944127708095781</v>
      </c>
      <c r="K31" s="21" t="n">
        <v>0.214975845410628</v>
      </c>
      <c r="L31" s="4" t="str">
        <f aca="false">IF(D31&lt;300,"Not enough spend to judge",IF(G31&gt;='Read Me &amp; Markers'!$B$20,"Winner signal",IF(G31&gt;=1,"Breakeven","Losing")))</f>
        <v>Not enough spend to judge</v>
      </c>
    </row>
    <row r="32" customFormat="false" ht="15" hidden="false" customHeight="false" outlineLevel="0" collapsed="false">
      <c r="A32" s="4" t="s">
        <v>3314</v>
      </c>
      <c r="B32" s="4" t="n">
        <v>1</v>
      </c>
      <c r="C32" s="4" t="n">
        <v>1</v>
      </c>
      <c r="D32" s="5" t="n">
        <v>126.14</v>
      </c>
      <c r="E32" s="7" t="n">
        <v>1</v>
      </c>
      <c r="F32" s="5" t="n">
        <v>79.97</v>
      </c>
      <c r="G32" s="8" t="n">
        <f aca="false">IF(D32&gt;0,F32/D32,0)</f>
        <v>0.633978119549707</v>
      </c>
      <c r="H32" s="5" t="n">
        <f aca="false">IF(E32&gt;0,D32/E32,0)</f>
        <v>126.14</v>
      </c>
      <c r="I32" s="29" t="n">
        <v>0.0288770053475936</v>
      </c>
      <c r="J32" s="21" t="n">
        <v>0.945454545454545</v>
      </c>
      <c r="K32" s="21" t="n">
        <v>0.269230769230769</v>
      </c>
      <c r="L32" s="4" t="str">
        <f aca="false">IF(D32&lt;300,"Not enough spend to judge",IF(G32&gt;='Read Me &amp; Markers'!$B$20,"Winner signal",IF(G32&gt;=1,"Breakeven","Losing")))</f>
        <v>Not enough spend to judge</v>
      </c>
    </row>
    <row r="33" customFormat="false" ht="15" hidden="false" customHeight="false" outlineLevel="0" collapsed="false">
      <c r="A33" s="4" t="s">
        <v>3315</v>
      </c>
      <c r="B33" s="4" t="n">
        <v>1</v>
      </c>
      <c r="C33" s="4" t="n">
        <v>0</v>
      </c>
      <c r="D33" s="5" t="n">
        <v>119.25</v>
      </c>
      <c r="E33" s="7" t="n">
        <v>2</v>
      </c>
      <c r="F33" s="5" t="n">
        <v>175.91</v>
      </c>
      <c r="G33" s="8" t="n">
        <f aca="false">IF(D33&gt;0,F33/D33,0)</f>
        <v>1.47513626834382</v>
      </c>
      <c r="H33" s="5" t="n">
        <f aca="false">IF(E33&gt;0,D33/E33,0)</f>
        <v>59.625</v>
      </c>
      <c r="I33" s="29" t="n">
        <v>0.0236318407960199</v>
      </c>
      <c r="J33" s="21" t="n">
        <v>0.940298507462687</v>
      </c>
      <c r="K33" s="21" t="n">
        <v>0.292328042328042</v>
      </c>
      <c r="L33" s="4" t="str">
        <f aca="false">IF(D33&lt;300,"Not enough spend to judge",IF(G33&gt;='Read Me &amp; Markers'!$B$20,"Winner signal",IF(G33&gt;=1,"Breakeven","Losing")))</f>
        <v>Not enough spend to judge</v>
      </c>
    </row>
    <row r="34" customFormat="false" ht="15" hidden="false" customHeight="false" outlineLevel="0" collapsed="false">
      <c r="A34" s="4" t="s">
        <v>3316</v>
      </c>
      <c r="B34" s="4" t="n">
        <v>1</v>
      </c>
      <c r="C34" s="4" t="n">
        <v>0</v>
      </c>
      <c r="D34" s="5" t="n">
        <v>117.48</v>
      </c>
      <c r="E34" s="7" t="n">
        <v>1</v>
      </c>
      <c r="F34" s="5" t="n">
        <v>45.95</v>
      </c>
      <c r="G34" s="8" t="n">
        <f aca="false">IF(D34&gt;0,F34/D34,0)</f>
        <v>0.391130405175349</v>
      </c>
      <c r="H34" s="5" t="n">
        <f aca="false">IF(E34&gt;0,D34/E34,0)</f>
        <v>117.48</v>
      </c>
      <c r="I34" s="29" t="n">
        <v>0.03714859437751</v>
      </c>
      <c r="J34" s="21" t="n">
        <v>0.960843373493976</v>
      </c>
      <c r="K34" s="21" t="n">
        <v>0.218390804597701</v>
      </c>
      <c r="L34" s="4" t="str">
        <f aca="false">IF(D34&lt;300,"Not enough spend to judge",IF(G34&gt;='Read Me &amp; Markers'!$B$20,"Winner signal",IF(G34&gt;=1,"Breakeven","Losing")))</f>
        <v>Not enough spend to judge</v>
      </c>
    </row>
    <row r="35" customFormat="false" ht="15" hidden="false" customHeight="false" outlineLevel="0" collapsed="false">
      <c r="A35" s="4" t="s">
        <v>3317</v>
      </c>
      <c r="B35" s="4" t="n">
        <v>2</v>
      </c>
      <c r="C35" s="4" t="n">
        <v>2</v>
      </c>
      <c r="D35" s="5" t="n">
        <v>116.37</v>
      </c>
      <c r="E35" s="7" t="n">
        <v>1</v>
      </c>
      <c r="F35" s="5" t="n">
        <v>35.96</v>
      </c>
      <c r="G35" s="8" t="n">
        <f aca="false">IF(D35&gt;0,F35/D35,0)</f>
        <v>0.309014350777692</v>
      </c>
      <c r="H35" s="5" t="n">
        <f aca="false">IF(E35&gt;0,D35/E35,0)</f>
        <v>116.37</v>
      </c>
      <c r="I35" s="29" t="n">
        <v>0.0445151033386328</v>
      </c>
      <c r="J35" s="21" t="n">
        <v>0.925278219395866</v>
      </c>
      <c r="K35" s="21" t="n">
        <v>0.213058419243986</v>
      </c>
      <c r="L35" s="4" t="str">
        <f aca="false">IF(D35&lt;300,"Not enough spend to judge",IF(G35&gt;='Read Me &amp; Markers'!$B$20,"Winner signal",IF(G35&gt;=1,"Breakeven","Losing")))</f>
        <v>Not enough spend to judge</v>
      </c>
    </row>
    <row r="36" customFormat="false" ht="15" hidden="false" customHeight="false" outlineLevel="0" collapsed="false">
      <c r="A36" s="4" t="s">
        <v>3318</v>
      </c>
      <c r="B36" s="4" t="n">
        <v>1</v>
      </c>
      <c r="C36" s="4" t="n">
        <v>0</v>
      </c>
      <c r="D36" s="5" t="n">
        <v>103.83</v>
      </c>
      <c r="E36" s="7" t="n">
        <v>0</v>
      </c>
      <c r="F36" s="5" t="n">
        <v>0</v>
      </c>
      <c r="G36" s="8" t="n">
        <f aca="false">IF(D36&gt;0,F36/D36,0)</f>
        <v>0</v>
      </c>
      <c r="H36" s="5" t="n">
        <f aca="false">IF(E36&gt;0,D36/E36,0)</f>
        <v>0</v>
      </c>
      <c r="I36" s="29" t="n">
        <v>0.0273809523809524</v>
      </c>
      <c r="J36" s="21" t="n">
        <v>0.866666666666667</v>
      </c>
      <c r="K36" s="21" t="n">
        <v>0.0645604395604396</v>
      </c>
      <c r="L36" s="4" t="str">
        <f aca="false">IF(D36&lt;300,"Not enough spend to judge",IF(G36&gt;='Read Me &amp; Markers'!$B$20,"Winner signal",IF(G36&gt;=1,"Breakeven","Losing")))</f>
        <v>Not enough spend to judge</v>
      </c>
    </row>
    <row r="37" customFormat="false" ht="15" hidden="false" customHeight="false" outlineLevel="0" collapsed="false">
      <c r="A37" s="4" t="s">
        <v>3319</v>
      </c>
      <c r="B37" s="4" t="n">
        <v>1</v>
      </c>
      <c r="C37" s="4" t="n">
        <v>1</v>
      </c>
      <c r="D37" s="5" t="n">
        <v>84.24</v>
      </c>
      <c r="E37" s="7" t="n">
        <v>0</v>
      </c>
      <c r="F37" s="5" t="n">
        <v>0</v>
      </c>
      <c r="G37" s="8" t="n">
        <f aca="false">IF(D37&gt;0,F37/D37,0)</f>
        <v>0</v>
      </c>
      <c r="H37" s="5" t="n">
        <f aca="false">IF(E37&gt;0,D37/E37,0)</f>
        <v>0</v>
      </c>
      <c r="I37" s="29" t="n">
        <v>0.0264817150063052</v>
      </c>
      <c r="J37" s="21" t="n">
        <v>0.969735182849937</v>
      </c>
      <c r="K37" s="21" t="n">
        <v>0.208062418725618</v>
      </c>
      <c r="L37" s="4" t="str">
        <f aca="false">IF(D37&lt;300,"Not enough spend to judge",IF(G37&gt;='Read Me &amp; Markers'!$B$20,"Winner signal",IF(G37&gt;=1,"Breakeven","Losing")))</f>
        <v>Not enough spend to judge</v>
      </c>
    </row>
    <row r="38" customFormat="false" ht="15" hidden="false" customHeight="false" outlineLevel="0" collapsed="false">
      <c r="A38" s="4" t="s">
        <v>3320</v>
      </c>
      <c r="B38" s="4" t="n">
        <v>1</v>
      </c>
      <c r="C38" s="4" t="n">
        <v>1</v>
      </c>
      <c r="D38" s="5" t="n">
        <v>79.08</v>
      </c>
      <c r="E38" s="7" t="n">
        <v>1</v>
      </c>
      <c r="F38" s="5" t="n">
        <v>99.98</v>
      </c>
      <c r="G38" s="8" t="n">
        <f aca="false">IF(D38&gt;0,F38/D38,0)</f>
        <v>1.26428932726353</v>
      </c>
      <c r="H38" s="5" t="n">
        <f aca="false">IF(E38&gt;0,D38/E38,0)</f>
        <v>79.08</v>
      </c>
      <c r="I38" s="29" t="n">
        <v>0.0590909090909091</v>
      </c>
      <c r="J38" s="21" t="n">
        <v>0.959090909090909</v>
      </c>
      <c r="K38" s="21" t="n">
        <v>0.208530805687204</v>
      </c>
      <c r="L38" s="4" t="str">
        <f aca="false">IF(D38&lt;300,"Not enough spend to judge",IF(G38&gt;='Read Me &amp; Markers'!$B$20,"Winner signal",IF(G38&gt;=1,"Breakeven","Losing")))</f>
        <v>Not enough spend to judge</v>
      </c>
    </row>
    <row r="39" customFormat="false" ht="15" hidden="false" customHeight="false" outlineLevel="0" collapsed="false">
      <c r="A39" s="4" t="s">
        <v>3321</v>
      </c>
      <c r="B39" s="4" t="n">
        <v>2</v>
      </c>
      <c r="C39" s="4" t="n">
        <v>2</v>
      </c>
      <c r="D39" s="5" t="n">
        <v>66.75</v>
      </c>
      <c r="E39" s="7" t="n">
        <v>1</v>
      </c>
      <c r="F39" s="5" t="n">
        <v>45.95</v>
      </c>
      <c r="G39" s="8" t="n">
        <f aca="false">IF(D39&gt;0,F39/D39,0)</f>
        <v>0.688389513108614</v>
      </c>
      <c r="H39" s="5" t="n">
        <f aca="false">IF(E39&gt;0,D39/E39,0)</f>
        <v>66.75</v>
      </c>
      <c r="I39" s="29" t="n">
        <v>0.0288808664259928</v>
      </c>
      <c r="J39" s="21" t="n">
        <v>0.974729241877256</v>
      </c>
      <c r="K39" s="21" t="n">
        <v>0.0722222222222222</v>
      </c>
      <c r="L39" s="4" t="str">
        <f aca="false">IF(D39&lt;300,"Not enough spend to judge",IF(G39&gt;='Read Me &amp; Markers'!$B$20,"Winner signal",IF(G39&gt;=1,"Breakeven","Losing")))</f>
        <v>Not enough spend to judge</v>
      </c>
    </row>
    <row r="40" customFormat="false" ht="15" hidden="false" customHeight="false" outlineLevel="0" collapsed="false">
      <c r="A40" s="4" t="s">
        <v>3322</v>
      </c>
      <c r="B40" s="4" t="n">
        <v>1</v>
      </c>
      <c r="C40" s="4" t="n">
        <v>1</v>
      </c>
      <c r="D40" s="5" t="n">
        <v>62.04</v>
      </c>
      <c r="E40" s="7" t="n">
        <v>0</v>
      </c>
      <c r="F40" s="5" t="n">
        <v>0</v>
      </c>
      <c r="G40" s="8" t="n">
        <f aca="false">IF(D40&gt;0,F40/D40,0)</f>
        <v>0</v>
      </c>
      <c r="H40" s="5" t="n">
        <f aca="false">IF(E40&gt;0,D40/E40,0)</f>
        <v>0</v>
      </c>
      <c r="I40" s="29" t="n">
        <v>0.0282051282051282</v>
      </c>
      <c r="J40" s="21" t="n">
        <v>0.923076923076923</v>
      </c>
      <c r="K40" s="21" t="n">
        <v>0.416666666666667</v>
      </c>
      <c r="L40" s="4" t="str">
        <f aca="false">IF(D40&lt;300,"Not enough spend to judge",IF(G40&gt;='Read Me &amp; Markers'!$B$20,"Winner signal",IF(G40&gt;=1,"Breakeven","Losing")))</f>
        <v>Not enough spend to judge</v>
      </c>
    </row>
    <row r="41" customFormat="false" ht="15" hidden="false" customHeight="false" outlineLevel="0" collapsed="false">
      <c r="A41" s="4" t="s">
        <v>3323</v>
      </c>
      <c r="B41" s="4" t="n">
        <v>1</v>
      </c>
      <c r="C41" s="4" t="n">
        <v>0</v>
      </c>
      <c r="D41" s="5" t="n">
        <v>53.53</v>
      </c>
      <c r="E41" s="7" t="n">
        <v>0</v>
      </c>
      <c r="F41" s="5" t="n">
        <v>0</v>
      </c>
      <c r="G41" s="8" t="n">
        <f aca="false">IF(D41&gt;0,F41/D41,0)</f>
        <v>0</v>
      </c>
      <c r="H41" s="5" t="n">
        <f aca="false">IF(E41&gt;0,D41/E41,0)</f>
        <v>0</v>
      </c>
      <c r="I41" s="29" t="n">
        <v>0.0378378378378378</v>
      </c>
      <c r="J41" s="21" t="n">
        <v>0.937837837837838</v>
      </c>
      <c r="K41" s="21" t="n">
        <v>0.337175792507205</v>
      </c>
      <c r="L41" s="4" t="str">
        <f aca="false">IF(D41&lt;300,"Not enough spend to judge",IF(G41&gt;='Read Me &amp; Markers'!$B$20,"Winner signal",IF(G41&gt;=1,"Breakeven","Losing")))</f>
        <v>Not enough spend to judge</v>
      </c>
    </row>
    <row r="42" customFormat="false" ht="15" hidden="false" customHeight="false" outlineLevel="0" collapsed="false">
      <c r="A42" s="4" t="s">
        <v>3324</v>
      </c>
      <c r="B42" s="4" t="n">
        <v>3</v>
      </c>
      <c r="C42" s="4" t="n">
        <v>3</v>
      </c>
      <c r="D42" s="5" t="n">
        <v>48.44</v>
      </c>
      <c r="E42" s="7" t="n">
        <v>1</v>
      </c>
      <c r="F42" s="5" t="n">
        <v>35.96</v>
      </c>
      <c r="G42" s="8" t="n">
        <f aca="false">IF(D42&gt;0,F42/D42,0)</f>
        <v>0.742361684558216</v>
      </c>
      <c r="H42" s="5" t="n">
        <f aca="false">IF(E42&gt;0,D42/E42,0)</f>
        <v>48.44</v>
      </c>
      <c r="I42" s="29" t="n">
        <v>0.0295698924731183</v>
      </c>
      <c r="J42" s="21" t="n">
        <v>0.935483870967742</v>
      </c>
      <c r="K42" s="21" t="n">
        <v>0.408045977011494</v>
      </c>
      <c r="L42" s="4" t="str">
        <f aca="false">IF(D42&lt;300,"Not enough spend to judge",IF(G42&gt;='Read Me &amp; Markers'!$B$20,"Winner signal",IF(G42&gt;=1,"Breakeven","Losing")))</f>
        <v>Not enough spend to judge</v>
      </c>
    </row>
    <row r="43" customFormat="false" ht="15" hidden="false" customHeight="false" outlineLevel="0" collapsed="false">
      <c r="A43" s="4" t="s">
        <v>3325</v>
      </c>
      <c r="B43" s="4" t="n">
        <v>2</v>
      </c>
      <c r="C43" s="4" t="n">
        <v>2</v>
      </c>
      <c r="D43" s="5" t="n">
        <v>47.83</v>
      </c>
      <c r="E43" s="7" t="n">
        <v>0</v>
      </c>
      <c r="F43" s="5" t="n">
        <v>0</v>
      </c>
      <c r="G43" s="8" t="n">
        <f aca="false">IF(D43&gt;0,F43/D43,0)</f>
        <v>0</v>
      </c>
      <c r="H43" s="5" t="n">
        <f aca="false">IF(E43&gt;0,D43/E43,0)</f>
        <v>0</v>
      </c>
      <c r="I43" s="29" t="n">
        <v>0.0283687943262411</v>
      </c>
      <c r="J43" s="21" t="n">
        <v>0.946808510638298</v>
      </c>
      <c r="K43" s="21" t="n">
        <v>0.344569288389513</v>
      </c>
      <c r="L43" s="4" t="str">
        <f aca="false">IF(D43&lt;300,"Not enough spend to judge",IF(G43&gt;='Read Me &amp; Markers'!$B$20,"Winner signal",IF(G43&gt;=1,"Breakeven","Losing")))</f>
        <v>Not enough spend to judge</v>
      </c>
    </row>
    <row r="44" customFormat="false" ht="15" hidden="false" customHeight="false" outlineLevel="0" collapsed="false">
      <c r="A44" s="4" t="s">
        <v>3326</v>
      </c>
      <c r="B44" s="4" t="n">
        <v>1</v>
      </c>
      <c r="C44" s="4" t="n">
        <v>0</v>
      </c>
      <c r="D44" s="5" t="n">
        <v>41.24</v>
      </c>
      <c r="E44" s="7" t="n">
        <v>1</v>
      </c>
      <c r="F44" s="5" t="n">
        <v>35.96</v>
      </c>
      <c r="G44" s="8" t="n">
        <f aca="false">IF(D44&gt;0,F44/D44,0)</f>
        <v>0.871968962172648</v>
      </c>
      <c r="H44" s="5" t="n">
        <f aca="false">IF(E44&gt;0,D44/E44,0)</f>
        <v>41.24</v>
      </c>
      <c r="I44" s="29" t="n">
        <v>0.0304259634888438</v>
      </c>
      <c r="J44" s="21" t="n">
        <v>0.969574036511156</v>
      </c>
      <c r="K44" s="21" t="n">
        <v>0.389121338912134</v>
      </c>
      <c r="L44" s="4" t="str">
        <f aca="false">IF(D44&lt;300,"Not enough spend to judge",IF(G44&gt;='Read Me &amp; Markers'!$B$20,"Winner signal",IF(G44&gt;=1,"Breakeven","Losing")))</f>
        <v>Not enough spend to judge</v>
      </c>
    </row>
    <row r="45" customFormat="false" ht="15" hidden="false" customHeight="false" outlineLevel="0" collapsed="false">
      <c r="A45" s="4" t="s">
        <v>3327</v>
      </c>
      <c r="B45" s="4" t="n">
        <v>1</v>
      </c>
      <c r="C45" s="4" t="n">
        <v>0</v>
      </c>
      <c r="D45" s="5" t="n">
        <v>40.62</v>
      </c>
      <c r="E45" s="7" t="n">
        <v>0</v>
      </c>
      <c r="F45" s="5" t="n">
        <v>0</v>
      </c>
      <c r="G45" s="8" t="n">
        <f aca="false">IF(D45&gt;0,F45/D45,0)</f>
        <v>0</v>
      </c>
      <c r="H45" s="5" t="n">
        <f aca="false">IF(E45&gt;0,D45/E45,0)</f>
        <v>0</v>
      </c>
      <c r="I45" s="29" t="n">
        <v>0.0571428571428571</v>
      </c>
      <c r="J45" s="21" t="n">
        <v>0.937142857142857</v>
      </c>
      <c r="K45" s="21" t="n">
        <v>0.170731707317073</v>
      </c>
      <c r="L45" s="4" t="str">
        <f aca="false">IF(D45&lt;300,"Not enough spend to judge",IF(G45&gt;='Read Me &amp; Markers'!$B$20,"Winner signal",IF(G45&gt;=1,"Breakeven","Losing")))</f>
        <v>Not enough spend to judge</v>
      </c>
    </row>
    <row r="46" customFormat="false" ht="15" hidden="false" customHeight="false" outlineLevel="0" collapsed="false">
      <c r="A46" s="4" t="s">
        <v>3328</v>
      </c>
      <c r="B46" s="4" t="n">
        <v>2</v>
      </c>
      <c r="C46" s="4" t="n">
        <v>1</v>
      </c>
      <c r="D46" s="5" t="n">
        <v>38.17</v>
      </c>
      <c r="E46" s="7" t="n">
        <v>0</v>
      </c>
      <c r="F46" s="5" t="n">
        <v>0</v>
      </c>
      <c r="G46" s="8" t="n">
        <f aca="false">IF(D46&gt;0,F46/D46,0)</f>
        <v>0</v>
      </c>
      <c r="H46" s="5" t="n">
        <f aca="false">IF(E46&gt;0,D46/E46,0)</f>
        <v>0</v>
      </c>
      <c r="I46" s="29" t="n">
        <v>0.0465686274509804</v>
      </c>
      <c r="J46" s="21" t="n">
        <v>0.975490196078431</v>
      </c>
      <c r="K46" s="21" t="n">
        <v>0.273869346733668</v>
      </c>
      <c r="L46" s="4" t="str">
        <f aca="false">IF(D46&lt;300,"Not enough spend to judge",IF(G46&gt;='Read Me &amp; Markers'!$B$20,"Winner signal",IF(G46&gt;=1,"Breakeven","Losing")))</f>
        <v>Not enough spend to judge</v>
      </c>
    </row>
    <row r="47" customFormat="false" ht="15" hidden="false" customHeight="false" outlineLevel="0" collapsed="false">
      <c r="A47" s="4" t="s">
        <v>3329</v>
      </c>
      <c r="B47" s="4" t="n">
        <v>1</v>
      </c>
      <c r="C47" s="4" t="n">
        <v>1</v>
      </c>
      <c r="D47" s="5" t="n">
        <v>37.15</v>
      </c>
      <c r="E47" s="7" t="n">
        <v>0</v>
      </c>
      <c r="F47" s="5" t="n">
        <v>0</v>
      </c>
      <c r="G47" s="8" t="n">
        <f aca="false">IF(D47&gt;0,F47/D47,0)</f>
        <v>0</v>
      </c>
      <c r="H47" s="5" t="n">
        <f aca="false">IF(E47&gt;0,D47/E47,0)</f>
        <v>0</v>
      </c>
      <c r="I47" s="29" t="n">
        <v>0.0346820809248555</v>
      </c>
      <c r="J47" s="21" t="n">
        <v>0.988439306358382</v>
      </c>
      <c r="K47" s="21" t="n">
        <v>0.152046783625731</v>
      </c>
      <c r="L47" s="4" t="str">
        <f aca="false">IF(D47&lt;300,"Not enough spend to judge",IF(G47&gt;='Read Me &amp; Markers'!$B$20,"Winner signal",IF(G47&gt;=1,"Breakeven","Losing")))</f>
        <v>Not enough spend to judge</v>
      </c>
    </row>
    <row r="48" customFormat="false" ht="15" hidden="false" customHeight="false" outlineLevel="0" collapsed="false">
      <c r="A48" s="4" t="s">
        <v>3330</v>
      </c>
      <c r="B48" s="4" t="n">
        <v>1</v>
      </c>
      <c r="C48" s="4" t="n">
        <v>1</v>
      </c>
      <c r="D48" s="5" t="n">
        <v>36.96</v>
      </c>
      <c r="E48" s="7" t="n">
        <v>0</v>
      </c>
      <c r="F48" s="5" t="n">
        <v>0</v>
      </c>
      <c r="G48" s="8" t="n">
        <f aca="false">IF(D48&gt;0,F48/D48,0)</f>
        <v>0</v>
      </c>
      <c r="H48" s="5" t="n">
        <f aca="false">IF(E48&gt;0,D48/E48,0)</f>
        <v>0</v>
      </c>
      <c r="I48" s="29" t="n">
        <v>0.0917431192660551</v>
      </c>
      <c r="J48" s="21" t="n">
        <v>0.963302752293578</v>
      </c>
      <c r="K48" s="21" t="n">
        <v>0.20952380952381</v>
      </c>
      <c r="L48" s="4" t="str">
        <f aca="false">IF(D48&lt;300,"Not enough spend to judge",IF(G48&gt;='Read Me &amp; Markers'!$B$20,"Winner signal",IF(G48&gt;=1,"Breakeven","Losing")))</f>
        <v>Not enough spend to judge</v>
      </c>
    </row>
    <row r="49" customFormat="false" ht="15" hidden="false" customHeight="false" outlineLevel="0" collapsed="false">
      <c r="A49" s="4" t="s">
        <v>3331</v>
      </c>
      <c r="B49" s="4" t="n">
        <v>1</v>
      </c>
      <c r="C49" s="4" t="n">
        <v>1</v>
      </c>
      <c r="D49" s="5" t="n">
        <v>35.52</v>
      </c>
      <c r="E49" s="7" t="n">
        <v>1</v>
      </c>
      <c r="F49" s="5" t="n">
        <v>45.95</v>
      </c>
      <c r="G49" s="8" t="n">
        <f aca="false">IF(D49&gt;0,F49/D49,0)</f>
        <v>1.29363738738739</v>
      </c>
      <c r="H49" s="5" t="n">
        <f aca="false">IF(E49&gt;0,D49/E49,0)</f>
        <v>35.52</v>
      </c>
      <c r="I49" s="29" t="n">
        <v>0.0578034682080925</v>
      </c>
      <c r="J49" s="21" t="n">
        <v>0.930635838150289</v>
      </c>
      <c r="K49" s="21" t="n">
        <v>0.316770186335404</v>
      </c>
      <c r="L49" s="4" t="str">
        <f aca="false">IF(D49&lt;300,"Not enough spend to judge",IF(G49&gt;='Read Me &amp; Markers'!$B$20,"Winner signal",IF(G49&gt;=1,"Breakeven","Losing")))</f>
        <v>Not enough spend to judge</v>
      </c>
    </row>
    <row r="50" customFormat="false" ht="15" hidden="false" customHeight="false" outlineLevel="0" collapsed="false">
      <c r="A50" s="4" t="s">
        <v>3332</v>
      </c>
      <c r="B50" s="4" t="n">
        <v>3</v>
      </c>
      <c r="C50" s="4" t="n">
        <v>3</v>
      </c>
      <c r="D50" s="5" t="n">
        <v>31.61</v>
      </c>
      <c r="E50" s="7" t="n">
        <v>0</v>
      </c>
      <c r="F50" s="5" t="n">
        <v>0</v>
      </c>
      <c r="G50" s="8" t="n">
        <f aca="false">IF(D50&gt;0,F50/D50,0)</f>
        <v>0</v>
      </c>
      <c r="H50" s="5" t="n">
        <f aca="false">IF(E50&gt;0,D50/E50,0)</f>
        <v>0</v>
      </c>
      <c r="I50" s="29" t="n">
        <v>0.0282485875706215</v>
      </c>
      <c r="J50" s="21" t="n">
        <v>0.774011299435028</v>
      </c>
      <c r="K50" s="21" t="n">
        <v>0.0875912408759124</v>
      </c>
      <c r="L50" s="4" t="str">
        <f aca="false">IF(D50&lt;300,"Not enough spend to judge",IF(G50&gt;='Read Me &amp; Markers'!$B$20,"Winner signal",IF(G50&gt;=1,"Breakeven","Losing")))</f>
        <v>Not enough spend to judge</v>
      </c>
    </row>
    <row r="51" customFormat="false" ht="15" hidden="false" customHeight="false" outlineLevel="0" collapsed="false">
      <c r="A51" s="4" t="s">
        <v>3333</v>
      </c>
      <c r="B51" s="4" t="n">
        <v>1</v>
      </c>
      <c r="C51" s="4" t="n">
        <v>0</v>
      </c>
      <c r="D51" s="5" t="n">
        <v>26.94</v>
      </c>
      <c r="E51" s="7" t="n">
        <v>1</v>
      </c>
      <c r="F51" s="5" t="n">
        <v>37.76</v>
      </c>
      <c r="G51" s="8" t="n">
        <f aca="false">IF(D51&gt;0,F51/D51,0)</f>
        <v>1.40163325909428</v>
      </c>
      <c r="H51" s="5" t="n">
        <f aca="false">IF(E51&gt;0,D51/E51,0)</f>
        <v>26.94</v>
      </c>
      <c r="I51" s="29" t="n">
        <v>0.0546448087431694</v>
      </c>
      <c r="J51" s="21" t="n">
        <v>0.956284153005464</v>
      </c>
      <c r="K51" s="21" t="n">
        <v>0.222857142857143</v>
      </c>
      <c r="L51" s="4" t="str">
        <f aca="false">IF(D51&lt;300,"Not enough spend to judge",IF(G51&gt;='Read Me &amp; Markers'!$B$20,"Winner signal",IF(G51&gt;=1,"Breakeven","Losing")))</f>
        <v>Not enough spend to judge</v>
      </c>
    </row>
    <row r="52" customFormat="false" ht="15" hidden="false" customHeight="false" outlineLevel="0" collapsed="false">
      <c r="A52" s="4" t="s">
        <v>3334</v>
      </c>
      <c r="B52" s="4" t="n">
        <v>1</v>
      </c>
      <c r="C52" s="4" t="n">
        <v>1</v>
      </c>
      <c r="D52" s="5" t="n">
        <v>24.36</v>
      </c>
      <c r="E52" s="7" t="n">
        <v>0</v>
      </c>
      <c r="F52" s="5" t="n">
        <v>0</v>
      </c>
      <c r="G52" s="8" t="n">
        <f aca="false">IF(D52&gt;0,F52/D52,0)</f>
        <v>0</v>
      </c>
      <c r="H52" s="5" t="n">
        <f aca="false">IF(E52&gt;0,D52/E52,0)</f>
        <v>0</v>
      </c>
      <c r="I52" s="29" t="n">
        <v>0.017921146953405</v>
      </c>
      <c r="J52" s="21" t="n">
        <v>0.028673835125448</v>
      </c>
      <c r="K52" s="21" t="n">
        <v>0.375</v>
      </c>
      <c r="L52" s="4" t="str">
        <f aca="false">IF(D52&lt;300,"Not enough spend to judge",IF(G52&gt;='Read Me &amp; Markers'!$B$20,"Winner signal",IF(G52&gt;=1,"Breakeven","Losing")))</f>
        <v>Not enough spend to judge</v>
      </c>
    </row>
    <row r="53" customFormat="false" ht="15" hidden="false" customHeight="false" outlineLevel="0" collapsed="false">
      <c r="A53" s="4" t="s">
        <v>3335</v>
      </c>
      <c r="B53" s="4" t="n">
        <v>1</v>
      </c>
      <c r="C53" s="4" t="n">
        <v>1</v>
      </c>
      <c r="D53" s="5" t="n">
        <v>23.96</v>
      </c>
      <c r="E53" s="7" t="n">
        <v>0</v>
      </c>
      <c r="F53" s="5" t="n">
        <v>0</v>
      </c>
      <c r="G53" s="8" t="n">
        <f aca="false">IF(D53&gt;0,F53/D53,0)</f>
        <v>0</v>
      </c>
      <c r="H53" s="5" t="n">
        <f aca="false">IF(E53&gt;0,D53/E53,0)</f>
        <v>0</v>
      </c>
      <c r="I53" s="29" t="n">
        <v>0.0115273775216138</v>
      </c>
      <c r="J53" s="21" t="n">
        <v>0.00288184438040346</v>
      </c>
      <c r="K53" s="21" t="n">
        <v>0</v>
      </c>
      <c r="L53" s="4" t="str">
        <f aca="false">IF(D53&lt;300,"Not enough spend to judge",IF(G53&gt;='Read Me &amp; Markers'!$B$20,"Winner signal",IF(G53&gt;=1,"Breakeven","Losing")))</f>
        <v>Not enough spend to judge</v>
      </c>
    </row>
    <row r="54" customFormat="false" ht="15" hidden="false" customHeight="false" outlineLevel="0" collapsed="false">
      <c r="A54" s="4" t="s">
        <v>3336</v>
      </c>
      <c r="B54" s="4" t="n">
        <v>1</v>
      </c>
      <c r="C54" s="4" t="n">
        <v>1</v>
      </c>
      <c r="D54" s="5" t="n">
        <v>23.36</v>
      </c>
      <c r="E54" s="7" t="n">
        <v>0</v>
      </c>
      <c r="F54" s="5" t="n">
        <v>0</v>
      </c>
      <c r="G54" s="8" t="n">
        <f aca="false">IF(D54&gt;0,F54/D54,0)</f>
        <v>0</v>
      </c>
      <c r="H54" s="5" t="n">
        <f aca="false">IF(E54&gt;0,D54/E54,0)</f>
        <v>0</v>
      </c>
      <c r="I54" s="29" t="n">
        <v>0.0297397769516729</v>
      </c>
      <c r="J54" s="21" t="n">
        <v>0.899628252788104</v>
      </c>
      <c r="K54" s="21" t="n">
        <v>0.0743801652892562</v>
      </c>
      <c r="L54" s="4" t="str">
        <f aca="false">IF(D54&lt;300,"Not enough spend to judge",IF(G54&gt;='Read Me &amp; Markers'!$B$20,"Winner signal",IF(G54&gt;=1,"Breakeven","Losing")))</f>
        <v>Not enough spend to judge</v>
      </c>
    </row>
    <row r="55" customFormat="false" ht="15" hidden="false" customHeight="false" outlineLevel="0" collapsed="false">
      <c r="A55" s="4" t="s">
        <v>3337</v>
      </c>
      <c r="B55" s="4" t="n">
        <v>1</v>
      </c>
      <c r="C55" s="4" t="n">
        <v>1</v>
      </c>
      <c r="D55" s="5" t="n">
        <v>23.02</v>
      </c>
      <c r="E55" s="7" t="n">
        <v>0</v>
      </c>
      <c r="F55" s="5" t="n">
        <v>0</v>
      </c>
      <c r="G55" s="8" t="n">
        <f aca="false">IF(D55&gt;0,F55/D55,0)</f>
        <v>0</v>
      </c>
      <c r="H55" s="5" t="n">
        <f aca="false">IF(E55&gt;0,D55/E55,0)</f>
        <v>0</v>
      </c>
      <c r="I55" s="29" t="n">
        <v>0.010752688172043</v>
      </c>
      <c r="J55" s="21" t="n">
        <v>0.0161290322580645</v>
      </c>
      <c r="K55" s="21" t="n">
        <v>0</v>
      </c>
      <c r="L55" s="4" t="str">
        <f aca="false">IF(D55&lt;300,"Not enough spend to judge",IF(G55&gt;='Read Me &amp; Markers'!$B$20,"Winner signal",IF(G55&gt;=1,"Breakeven","Losing")))</f>
        <v>Not enough spend to judge</v>
      </c>
    </row>
    <row r="56" customFormat="false" ht="15" hidden="false" customHeight="false" outlineLevel="0" collapsed="false">
      <c r="A56" s="4" t="s">
        <v>3338</v>
      </c>
      <c r="B56" s="4" t="n">
        <v>1</v>
      </c>
      <c r="C56" s="4" t="n">
        <v>1</v>
      </c>
      <c r="D56" s="5" t="n">
        <v>22.4</v>
      </c>
      <c r="E56" s="7" t="n">
        <v>0</v>
      </c>
      <c r="F56" s="5" t="n">
        <v>0</v>
      </c>
      <c r="G56" s="8" t="n">
        <f aca="false">IF(D56&gt;0,F56/D56,0)</f>
        <v>0</v>
      </c>
      <c r="H56" s="5" t="n">
        <f aca="false">IF(E56&gt;0,D56/E56,0)</f>
        <v>0</v>
      </c>
      <c r="I56" s="29" t="n">
        <v>0.0397727272727273</v>
      </c>
      <c r="J56" s="21" t="n">
        <v>0.909090909090909</v>
      </c>
      <c r="K56" s="21" t="n">
        <v>0.24375</v>
      </c>
      <c r="L56" s="4" t="str">
        <f aca="false">IF(D56&lt;300,"Not enough spend to judge",IF(G56&gt;='Read Me &amp; Markers'!$B$20,"Winner signal",IF(G56&gt;=1,"Breakeven","Losing")))</f>
        <v>Not enough spend to judge</v>
      </c>
    </row>
    <row r="57" customFormat="false" ht="15" hidden="false" customHeight="false" outlineLevel="0" collapsed="false">
      <c r="A57" s="4" t="s">
        <v>3339</v>
      </c>
      <c r="B57" s="4" t="n">
        <v>1</v>
      </c>
      <c r="C57" s="4" t="n">
        <v>1</v>
      </c>
      <c r="D57" s="5" t="n">
        <v>20.14</v>
      </c>
      <c r="E57" s="7" t="n">
        <v>0</v>
      </c>
      <c r="F57" s="5" t="n">
        <v>0</v>
      </c>
      <c r="G57" s="8" t="n">
        <f aca="false">IF(D57&gt;0,F57/D57,0)</f>
        <v>0</v>
      </c>
      <c r="H57" s="5" t="n">
        <f aca="false">IF(E57&gt;0,D57/E57,0)</f>
        <v>0</v>
      </c>
      <c r="I57" s="29" t="n">
        <v>0.021551724137931</v>
      </c>
      <c r="J57" s="21" t="n">
        <v>0.961206896551724</v>
      </c>
      <c r="K57" s="21" t="n">
        <v>0.0852017937219731</v>
      </c>
      <c r="L57" s="4" t="str">
        <f aca="false">IF(D57&lt;300,"Not enough spend to judge",IF(G57&gt;='Read Me &amp; Markers'!$B$20,"Winner signal",IF(G57&gt;=1,"Breakeven","Losing")))</f>
        <v>Not enough spend to judge</v>
      </c>
    </row>
    <row r="58" customFormat="false" ht="15" hidden="false" customHeight="false" outlineLevel="0" collapsed="false">
      <c r="A58" s="4" t="s">
        <v>3340</v>
      </c>
      <c r="B58" s="4" t="n">
        <v>1</v>
      </c>
      <c r="C58" s="4" t="n">
        <v>1</v>
      </c>
      <c r="D58" s="5" t="n">
        <v>19.15</v>
      </c>
      <c r="E58" s="7" t="n">
        <v>0</v>
      </c>
      <c r="F58" s="5" t="n">
        <v>0</v>
      </c>
      <c r="G58" s="8" t="n">
        <f aca="false">IF(D58&gt;0,F58/D58,0)</f>
        <v>0</v>
      </c>
      <c r="H58" s="5" t="n">
        <f aca="false">IF(E58&gt;0,D58/E58,0)</f>
        <v>0</v>
      </c>
      <c r="I58" s="29" t="n">
        <v>0.0481927710843374</v>
      </c>
      <c r="J58" s="21" t="n">
        <v>0.939759036144578</v>
      </c>
      <c r="K58" s="21" t="n">
        <v>0.0769230769230769</v>
      </c>
      <c r="L58" s="4" t="str">
        <f aca="false">IF(D58&lt;300,"Not enough spend to judge",IF(G58&gt;='Read Me &amp; Markers'!$B$20,"Winner signal",IF(G58&gt;=1,"Breakeven","Losing")))</f>
        <v>Not enough spend to judge</v>
      </c>
    </row>
    <row r="59" customFormat="false" ht="15" hidden="false" customHeight="false" outlineLevel="0" collapsed="false">
      <c r="A59" s="4" t="s">
        <v>3341</v>
      </c>
      <c r="B59" s="4" t="n">
        <v>2</v>
      </c>
      <c r="C59" s="4" t="n">
        <v>2</v>
      </c>
      <c r="D59" s="5" t="n">
        <v>18.59</v>
      </c>
      <c r="E59" s="7" t="n">
        <v>0</v>
      </c>
      <c r="F59" s="5" t="n">
        <v>0</v>
      </c>
      <c r="G59" s="8" t="n">
        <f aca="false">IF(D59&gt;0,F59/D59,0)</f>
        <v>0</v>
      </c>
      <c r="H59" s="5" t="n">
        <f aca="false">IF(E59&gt;0,D59/E59,0)</f>
        <v>0</v>
      </c>
      <c r="I59" s="29" t="n">
        <v>0.0144230769230769</v>
      </c>
      <c r="J59" s="21" t="n">
        <v>0.942307692307692</v>
      </c>
      <c r="K59" s="21" t="n">
        <v>0.163265306122449</v>
      </c>
      <c r="L59" s="4" t="str">
        <f aca="false">IF(D59&lt;300,"Not enough spend to judge",IF(G59&gt;='Read Me &amp; Markers'!$B$20,"Winner signal",IF(G59&gt;=1,"Breakeven","Losing")))</f>
        <v>Not enough spend to judge</v>
      </c>
    </row>
    <row r="60" customFormat="false" ht="15" hidden="false" customHeight="false" outlineLevel="0" collapsed="false">
      <c r="A60" s="4" t="s">
        <v>3342</v>
      </c>
      <c r="B60" s="4" t="n">
        <v>1</v>
      </c>
      <c r="C60" s="4" t="n">
        <v>1</v>
      </c>
      <c r="D60" s="5" t="n">
        <v>17.29</v>
      </c>
      <c r="E60" s="7" t="n">
        <v>0</v>
      </c>
      <c r="F60" s="5" t="n">
        <v>0</v>
      </c>
      <c r="G60" s="8" t="n">
        <f aca="false">IF(D60&gt;0,F60/D60,0)</f>
        <v>0</v>
      </c>
      <c r="H60" s="5" t="n">
        <f aca="false">IF(E60&gt;0,D60/E60,0)</f>
        <v>0</v>
      </c>
      <c r="I60" s="29" t="n">
        <v>0.0930232558139535</v>
      </c>
      <c r="J60" s="21" t="n">
        <v>0.930232558139535</v>
      </c>
      <c r="K60" s="21" t="n">
        <v>0.275</v>
      </c>
      <c r="L60" s="4" t="str">
        <f aca="false">IF(D60&lt;300,"Not enough spend to judge",IF(G60&gt;='Read Me &amp; Markers'!$B$20,"Winner signal",IF(G60&gt;=1,"Breakeven","Losing")))</f>
        <v>Not enough spend to judge</v>
      </c>
    </row>
    <row r="61" customFormat="false" ht="15" hidden="false" customHeight="false" outlineLevel="0" collapsed="false">
      <c r="A61" s="4" t="s">
        <v>3343</v>
      </c>
      <c r="B61" s="4" t="n">
        <v>1</v>
      </c>
      <c r="C61" s="4" t="n">
        <v>0</v>
      </c>
      <c r="D61" s="5" t="n">
        <v>16.92</v>
      </c>
      <c r="E61" s="7" t="n">
        <v>0</v>
      </c>
      <c r="F61" s="5" t="n">
        <v>0</v>
      </c>
      <c r="G61" s="8" t="n">
        <f aca="false">IF(D61&gt;0,F61/D61,0)</f>
        <v>0</v>
      </c>
      <c r="H61" s="5" t="n">
        <f aca="false">IF(E61&gt;0,D61/E61,0)</f>
        <v>0</v>
      </c>
      <c r="I61" s="29" t="n">
        <v>0.0254777070063694</v>
      </c>
      <c r="J61" s="21" t="n">
        <v>0.968152866242038</v>
      </c>
      <c r="K61" s="21" t="n">
        <v>0.177631578947368</v>
      </c>
      <c r="L61" s="4" t="str">
        <f aca="false">IF(D61&lt;300,"Not enough spend to judge",IF(G61&gt;='Read Me &amp; Markers'!$B$20,"Winner signal",IF(G61&gt;=1,"Breakeven","Losing")))</f>
        <v>Not enough spend to judge</v>
      </c>
    </row>
    <row r="62" customFormat="false" ht="15" hidden="false" customHeight="false" outlineLevel="0" collapsed="false">
      <c r="A62" s="4" t="s">
        <v>3344</v>
      </c>
      <c r="B62" s="4" t="n">
        <v>1</v>
      </c>
      <c r="C62" s="4" t="n">
        <v>0</v>
      </c>
      <c r="D62" s="5" t="n">
        <v>16.46</v>
      </c>
      <c r="E62" s="7" t="n">
        <v>1</v>
      </c>
      <c r="F62" s="5" t="n">
        <v>35.96</v>
      </c>
      <c r="G62" s="8" t="n">
        <f aca="false">IF(D62&gt;0,F62/D62,0)</f>
        <v>2.18469015795869</v>
      </c>
      <c r="H62" s="5" t="n">
        <f aca="false">IF(E62&gt;0,D62/E62,0)</f>
        <v>16.46</v>
      </c>
      <c r="I62" s="29" t="n">
        <v>0.00816326530612245</v>
      </c>
      <c r="J62" s="21" t="n">
        <v>0.00612244897959184</v>
      </c>
      <c r="K62" s="21" t="n">
        <v>0.333333333333333</v>
      </c>
      <c r="L62" s="4" t="str">
        <f aca="false">IF(D62&lt;300,"Not enough spend to judge",IF(G62&gt;='Read Me &amp; Markers'!$B$20,"Winner signal",IF(G62&gt;=1,"Breakeven","Losing")))</f>
        <v>Not enough spend to judge</v>
      </c>
    </row>
    <row r="63" customFormat="false" ht="15" hidden="false" customHeight="false" outlineLevel="0" collapsed="false">
      <c r="A63" s="4" t="s">
        <v>3345</v>
      </c>
      <c r="B63" s="4" t="n">
        <v>1</v>
      </c>
      <c r="C63" s="4" t="n">
        <v>1</v>
      </c>
      <c r="D63" s="5" t="n">
        <v>15.45</v>
      </c>
      <c r="E63" s="7" t="n">
        <v>0</v>
      </c>
      <c r="F63" s="5" t="n">
        <v>0</v>
      </c>
      <c r="G63" s="8" t="n">
        <f aca="false">IF(D63&gt;0,F63/D63,0)</f>
        <v>0</v>
      </c>
      <c r="H63" s="5" t="n">
        <f aca="false">IF(E63&gt;0,D63/E63,0)</f>
        <v>0</v>
      </c>
      <c r="I63" s="29" t="n">
        <v>0.0355029585798817</v>
      </c>
      <c r="J63" s="21" t="n">
        <v>0.952662721893491</v>
      </c>
      <c r="K63" s="21" t="n">
        <v>0.22360248447205</v>
      </c>
      <c r="L63" s="4" t="str">
        <f aca="false">IF(D63&lt;300,"Not enough spend to judge",IF(G63&gt;='Read Me &amp; Markers'!$B$20,"Winner signal",IF(G63&gt;=1,"Breakeven","Losing")))</f>
        <v>Not enough spend to judge</v>
      </c>
    </row>
    <row r="64" customFormat="false" ht="15" hidden="false" customHeight="false" outlineLevel="0" collapsed="false">
      <c r="A64" s="4" t="s">
        <v>3346</v>
      </c>
      <c r="B64" s="4" t="n">
        <v>1</v>
      </c>
      <c r="C64" s="4" t="n">
        <v>1</v>
      </c>
      <c r="D64" s="5" t="n">
        <v>14.72</v>
      </c>
      <c r="E64" s="7" t="n">
        <v>0</v>
      </c>
      <c r="F64" s="5" t="n">
        <v>0</v>
      </c>
      <c r="G64" s="8" t="n">
        <f aca="false">IF(D64&gt;0,F64/D64,0)</f>
        <v>0</v>
      </c>
      <c r="H64" s="5" t="n">
        <f aca="false">IF(E64&gt;0,D64/E64,0)</f>
        <v>0</v>
      </c>
      <c r="I64" s="29" t="n">
        <v>0.0184049079754601</v>
      </c>
      <c r="J64" s="21" t="n">
        <v>0.938650306748466</v>
      </c>
      <c r="K64" s="21" t="n">
        <v>0.104575163398693</v>
      </c>
      <c r="L64" s="4" t="str">
        <f aca="false">IF(D64&lt;300,"Not enough spend to judge",IF(G64&gt;='Read Me &amp; Markers'!$B$20,"Winner signal",IF(G64&gt;=1,"Breakeven","Losing")))</f>
        <v>Not enough spend to judge</v>
      </c>
    </row>
    <row r="65" customFormat="false" ht="15" hidden="false" customHeight="false" outlineLevel="0" collapsed="false">
      <c r="A65" s="4" t="s">
        <v>3347</v>
      </c>
      <c r="B65" s="4" t="n">
        <v>1</v>
      </c>
      <c r="C65" s="4" t="n">
        <v>1</v>
      </c>
      <c r="D65" s="5" t="n">
        <v>14.2</v>
      </c>
      <c r="E65" s="7" t="n">
        <v>0</v>
      </c>
      <c r="F65" s="5" t="n">
        <v>0</v>
      </c>
      <c r="G65" s="8" t="n">
        <f aca="false">IF(D65&gt;0,F65/D65,0)</f>
        <v>0</v>
      </c>
      <c r="H65" s="5" t="n">
        <f aca="false">IF(E65&gt;0,D65/E65,0)</f>
        <v>0</v>
      </c>
      <c r="I65" s="29" t="n">
        <v>0.0594059405940594</v>
      </c>
      <c r="J65" s="21" t="n">
        <v>0.99009900990099</v>
      </c>
      <c r="K65" s="21" t="n">
        <v>0.13</v>
      </c>
      <c r="L65" s="4" t="str">
        <f aca="false">IF(D65&lt;300,"Not enough spend to judge",IF(G65&gt;='Read Me &amp; Markers'!$B$20,"Winner signal",IF(G65&gt;=1,"Breakeven","Losing")))</f>
        <v>Not enough spend to judge</v>
      </c>
    </row>
    <row r="66" customFormat="false" ht="15" hidden="false" customHeight="false" outlineLevel="0" collapsed="false">
      <c r="A66" s="4" t="s">
        <v>3348</v>
      </c>
      <c r="B66" s="4" t="n">
        <v>1</v>
      </c>
      <c r="C66" s="4" t="n">
        <v>1</v>
      </c>
      <c r="D66" s="5" t="n">
        <v>12.82</v>
      </c>
      <c r="E66" s="7" t="n">
        <v>1</v>
      </c>
      <c r="F66" s="5" t="n">
        <v>45.95</v>
      </c>
      <c r="G66" s="8" t="n">
        <f aca="false">IF(D66&gt;0,F66/D66,0)</f>
        <v>3.58424336973479</v>
      </c>
      <c r="H66" s="5" t="n">
        <f aca="false">IF(E66&gt;0,D66/E66,0)</f>
        <v>12.82</v>
      </c>
      <c r="I66" s="29" t="n">
        <v>0.0043859649122807</v>
      </c>
      <c r="J66" s="21" t="n">
        <v>0.0087719298245614</v>
      </c>
      <c r="K66" s="21" t="n">
        <v>0</v>
      </c>
      <c r="L66" s="4" t="str">
        <f aca="false">IF(D66&lt;300,"Not enough spend to judge",IF(G66&gt;='Read Me &amp; Markers'!$B$20,"Winner signal",IF(G66&gt;=1,"Breakeven","Losing")))</f>
        <v>Not enough spend to judge</v>
      </c>
    </row>
    <row r="67" customFormat="false" ht="15" hidden="false" customHeight="false" outlineLevel="0" collapsed="false">
      <c r="A67" s="4" t="s">
        <v>3349</v>
      </c>
      <c r="B67" s="4" t="n">
        <v>1</v>
      </c>
      <c r="C67" s="4" t="n">
        <v>1</v>
      </c>
      <c r="D67" s="5" t="n">
        <v>12.41</v>
      </c>
      <c r="E67" s="7" t="n">
        <v>0</v>
      </c>
      <c r="F67" s="5" t="n">
        <v>0</v>
      </c>
      <c r="G67" s="8" t="n">
        <f aca="false">IF(D67&gt;0,F67/D67,0)</f>
        <v>0</v>
      </c>
      <c r="H67" s="5" t="n">
        <f aca="false">IF(E67&gt;0,D67/E67,0)</f>
        <v>0</v>
      </c>
      <c r="I67" s="29" t="n">
        <v>0</v>
      </c>
      <c r="J67" s="21" t="n">
        <v>0</v>
      </c>
      <c r="K67" s="21" t="n">
        <v>0</v>
      </c>
      <c r="L67" s="4" t="str">
        <f aca="false">IF(D67&lt;300,"Not enough spend to judge",IF(G67&gt;='Read Me &amp; Markers'!$B$20,"Winner signal",IF(G67&gt;=1,"Breakeven","Losing")))</f>
        <v>Not enough spend to judge</v>
      </c>
    </row>
    <row r="68" customFormat="false" ht="15" hidden="false" customHeight="false" outlineLevel="0" collapsed="false">
      <c r="A68" s="4" t="s">
        <v>3350</v>
      </c>
      <c r="B68" s="4" t="n">
        <v>1</v>
      </c>
      <c r="C68" s="4" t="n">
        <v>1</v>
      </c>
      <c r="D68" s="5" t="n">
        <v>12.36</v>
      </c>
      <c r="E68" s="7" t="n">
        <v>1</v>
      </c>
      <c r="F68" s="5" t="n">
        <v>35.96</v>
      </c>
      <c r="G68" s="8" t="n">
        <f aca="false">IF(D68&gt;0,F68/D68,0)</f>
        <v>2.90938511326861</v>
      </c>
      <c r="H68" s="5" t="n">
        <f aca="false">IF(E68&gt;0,D68/E68,0)</f>
        <v>12.36</v>
      </c>
      <c r="I68" s="29" t="n">
        <v>0.032</v>
      </c>
      <c r="J68" s="21" t="n">
        <v>0.912</v>
      </c>
      <c r="K68" s="21" t="n">
        <v>0.289473684210526</v>
      </c>
      <c r="L68" s="4" t="str">
        <f aca="false">IF(D68&lt;300,"Not enough spend to judge",IF(G68&gt;='Read Me &amp; Markers'!$B$20,"Winner signal",IF(G68&gt;=1,"Breakeven","Losing")))</f>
        <v>Not enough spend to judge</v>
      </c>
    </row>
    <row r="69" customFormat="false" ht="15" hidden="false" customHeight="false" outlineLevel="0" collapsed="false">
      <c r="A69" s="4" t="s">
        <v>3351</v>
      </c>
      <c r="B69" s="4" t="n">
        <v>1</v>
      </c>
      <c r="C69" s="4" t="n">
        <v>1</v>
      </c>
      <c r="D69" s="5" t="n">
        <v>11.84</v>
      </c>
      <c r="E69" s="7" t="n">
        <v>0</v>
      </c>
      <c r="F69" s="5" t="n">
        <v>0</v>
      </c>
      <c r="G69" s="8" t="n">
        <f aca="false">IF(D69&gt;0,F69/D69,0)</f>
        <v>0</v>
      </c>
      <c r="H69" s="5" t="n">
        <f aca="false">IF(E69&gt;0,D69/E69,0)</f>
        <v>0</v>
      </c>
      <c r="I69" s="29" t="n">
        <v>0.0454545454545455</v>
      </c>
      <c r="J69" s="21" t="n">
        <v>0.897727272727273</v>
      </c>
      <c r="K69" s="21" t="n">
        <v>0.113924050632911</v>
      </c>
      <c r="L69" s="4" t="str">
        <f aca="false">IF(D69&lt;300,"Not enough spend to judge",IF(G69&gt;='Read Me &amp; Markers'!$B$20,"Winner signal",IF(G69&gt;=1,"Breakeven","Losing")))</f>
        <v>Not enough spend to judge</v>
      </c>
    </row>
    <row r="70" customFormat="false" ht="15" hidden="false" customHeight="false" outlineLevel="0" collapsed="false">
      <c r="A70" s="4" t="s">
        <v>3352</v>
      </c>
      <c r="B70" s="4" t="n">
        <v>2</v>
      </c>
      <c r="C70" s="4" t="n">
        <v>1</v>
      </c>
      <c r="D70" s="5" t="n">
        <v>11.23</v>
      </c>
      <c r="E70" s="7" t="n">
        <v>1</v>
      </c>
      <c r="F70" s="5" t="n">
        <v>35.96</v>
      </c>
      <c r="G70" s="8" t="n">
        <f aca="false">IF(D70&gt;0,F70/D70,0)</f>
        <v>3.20213713268032</v>
      </c>
      <c r="H70" s="5" t="n">
        <f aca="false">IF(E70&gt;0,D70/E70,0)</f>
        <v>11.23</v>
      </c>
      <c r="I70" s="29" t="n">
        <v>0.0153846153846154</v>
      </c>
      <c r="J70" s="21" t="n">
        <v>0.907692307692308</v>
      </c>
      <c r="K70" s="21" t="n">
        <v>0.322033898305085</v>
      </c>
      <c r="L70" s="4" t="str">
        <f aca="false">IF(D70&lt;300,"Not enough spend to judge",IF(G70&gt;='Read Me &amp; Markers'!$B$20,"Winner signal",IF(G70&gt;=1,"Breakeven","Losing")))</f>
        <v>Not enough spend to judge</v>
      </c>
    </row>
    <row r="71" customFormat="false" ht="15" hidden="false" customHeight="false" outlineLevel="0" collapsed="false">
      <c r="A71" s="4" t="s">
        <v>3353</v>
      </c>
      <c r="B71" s="4" t="n">
        <v>1</v>
      </c>
      <c r="C71" s="4" t="n">
        <v>1</v>
      </c>
      <c r="D71" s="5" t="n">
        <v>10.65</v>
      </c>
      <c r="E71" s="7" t="n">
        <v>0</v>
      </c>
      <c r="F71" s="5" t="n">
        <v>0</v>
      </c>
      <c r="G71" s="8" t="n">
        <f aca="false">IF(D71&gt;0,F71/D71,0)</f>
        <v>0</v>
      </c>
      <c r="H71" s="5" t="n">
        <f aca="false">IF(E71&gt;0,D71/E71,0)</f>
        <v>0</v>
      </c>
      <c r="I71" s="29" t="n">
        <v>0.136842105263158</v>
      </c>
      <c r="J71" s="21" t="n">
        <v>0.989473684210526</v>
      </c>
      <c r="K71" s="21" t="n">
        <v>0.319148936170213</v>
      </c>
      <c r="L71" s="4" t="str">
        <f aca="false">IF(D71&lt;300,"Not enough spend to judge",IF(G71&gt;='Read Me &amp; Markers'!$B$20,"Winner signal",IF(G71&gt;=1,"Breakeven","Losing")))</f>
        <v>Not enough spend to judge</v>
      </c>
    </row>
    <row r="72" customFormat="false" ht="15" hidden="false" customHeight="false" outlineLevel="0" collapsed="false">
      <c r="A72" s="4" t="s">
        <v>3354</v>
      </c>
      <c r="B72" s="4" t="n">
        <v>1</v>
      </c>
      <c r="C72" s="4" t="n">
        <v>1</v>
      </c>
      <c r="D72" s="5" t="n">
        <v>10.65</v>
      </c>
      <c r="E72" s="7" t="n">
        <v>0</v>
      </c>
      <c r="F72" s="5" t="n">
        <v>0</v>
      </c>
      <c r="G72" s="8" t="n">
        <f aca="false">IF(D72&gt;0,F72/D72,0)</f>
        <v>0</v>
      </c>
      <c r="H72" s="5" t="n">
        <f aca="false">IF(E72&gt;0,D72/E72,0)</f>
        <v>0</v>
      </c>
      <c r="I72" s="29" t="n">
        <v>0.0408163265306122</v>
      </c>
      <c r="J72" s="21" t="n">
        <v>0.887755102040816</v>
      </c>
      <c r="K72" s="21" t="n">
        <v>0.0804597701149425</v>
      </c>
      <c r="L72" s="4" t="str">
        <f aca="false">IF(D72&lt;300,"Not enough spend to judge",IF(G72&gt;='Read Me &amp; Markers'!$B$20,"Winner signal",IF(G72&gt;=1,"Breakeven","Losing")))</f>
        <v>Not enough spend to judge</v>
      </c>
    </row>
    <row r="73" customFormat="false" ht="15" hidden="false" customHeight="false" outlineLevel="0" collapsed="false">
      <c r="A73" s="4" t="s">
        <v>3355</v>
      </c>
      <c r="B73" s="4" t="n">
        <v>1</v>
      </c>
      <c r="C73" s="4" t="n">
        <v>1</v>
      </c>
      <c r="D73" s="5" t="n">
        <v>10.53</v>
      </c>
      <c r="E73" s="7" t="n">
        <v>0</v>
      </c>
      <c r="F73" s="5" t="n">
        <v>0</v>
      </c>
      <c r="G73" s="8" t="n">
        <f aca="false">IF(D73&gt;0,F73/D73,0)</f>
        <v>0</v>
      </c>
      <c r="H73" s="5" t="n">
        <f aca="false">IF(E73&gt;0,D73/E73,0)</f>
        <v>0</v>
      </c>
      <c r="I73" s="29" t="n">
        <v>0.0188679245283019</v>
      </c>
      <c r="J73" s="21" t="n">
        <v>0.754716981132076</v>
      </c>
      <c r="K73" s="21" t="n">
        <v>0.1</v>
      </c>
      <c r="L73" s="4" t="str">
        <f aca="false">IF(D73&lt;300,"Not enough spend to judge",IF(G73&gt;='Read Me &amp; Markers'!$B$20,"Winner signal",IF(G73&gt;=1,"Breakeven","Losing")))</f>
        <v>Not enough spend to judge</v>
      </c>
    </row>
    <row r="74" customFormat="false" ht="15" hidden="false" customHeight="false" outlineLevel="0" collapsed="false">
      <c r="A74" s="4" t="s">
        <v>3356</v>
      </c>
      <c r="B74" s="4" t="n">
        <v>1</v>
      </c>
      <c r="C74" s="4" t="n">
        <v>1</v>
      </c>
      <c r="D74" s="5" t="n">
        <v>8.87</v>
      </c>
      <c r="E74" s="7" t="n">
        <v>0</v>
      </c>
      <c r="F74" s="5" t="n">
        <v>0</v>
      </c>
      <c r="G74" s="8" t="n">
        <f aca="false">IF(D74&gt;0,F74/D74,0)</f>
        <v>0</v>
      </c>
      <c r="H74" s="5" t="n">
        <f aca="false">IF(E74&gt;0,D74/E74,0)</f>
        <v>0</v>
      </c>
      <c r="I74" s="29" t="n">
        <v>0</v>
      </c>
      <c r="J74" s="21" t="n">
        <v>0.857142857142857</v>
      </c>
      <c r="K74" s="21" t="n">
        <v>0.222222222222222</v>
      </c>
      <c r="L74" s="4" t="str">
        <f aca="false">IF(D74&lt;300,"Not enough spend to judge",IF(G74&gt;='Read Me &amp; Markers'!$B$20,"Winner signal",IF(G74&gt;=1,"Breakeven","Losing")))</f>
        <v>Not enough spend to judge</v>
      </c>
    </row>
    <row r="75" customFormat="false" ht="15" hidden="false" customHeight="false" outlineLevel="0" collapsed="false">
      <c r="A75" s="4" t="s">
        <v>3357</v>
      </c>
      <c r="B75" s="4" t="n">
        <v>1</v>
      </c>
      <c r="C75" s="4" t="n">
        <v>1</v>
      </c>
      <c r="D75" s="5" t="n">
        <v>8.25</v>
      </c>
      <c r="E75" s="7" t="n">
        <v>0</v>
      </c>
      <c r="F75" s="5" t="n">
        <v>0</v>
      </c>
      <c r="G75" s="8" t="n">
        <f aca="false">IF(D75&gt;0,F75/D75,0)</f>
        <v>0</v>
      </c>
      <c r="H75" s="5" t="n">
        <f aca="false">IF(E75&gt;0,D75/E75,0)</f>
        <v>0</v>
      </c>
      <c r="I75" s="29" t="n">
        <v>0.0606060606060606</v>
      </c>
      <c r="J75" s="21" t="n">
        <v>0.909090909090909</v>
      </c>
      <c r="K75" s="21" t="n">
        <v>0.3</v>
      </c>
      <c r="L75" s="4" t="str">
        <f aca="false">IF(D75&lt;300,"Not enough spend to judge",IF(G75&gt;='Read Me &amp; Markers'!$B$20,"Winner signal",IF(G75&gt;=1,"Breakeven","Losing")))</f>
        <v>Not enough spend to judge</v>
      </c>
    </row>
    <row r="76" customFormat="false" ht="15" hidden="false" customHeight="false" outlineLevel="0" collapsed="false">
      <c r="A76" s="4" t="s">
        <v>3358</v>
      </c>
      <c r="B76" s="4" t="n">
        <v>1</v>
      </c>
      <c r="C76" s="4" t="n">
        <v>1</v>
      </c>
      <c r="D76" s="5" t="n">
        <v>7.8</v>
      </c>
      <c r="E76" s="7" t="n">
        <v>0</v>
      </c>
      <c r="F76" s="5" t="n">
        <v>0</v>
      </c>
      <c r="G76" s="8" t="n">
        <f aca="false">IF(D76&gt;0,F76/D76,0)</f>
        <v>0</v>
      </c>
      <c r="H76" s="5" t="n">
        <f aca="false">IF(E76&gt;0,D76/E76,0)</f>
        <v>0</v>
      </c>
      <c r="I76" s="29" t="n">
        <v>0.0338983050847458</v>
      </c>
      <c r="J76" s="21" t="n">
        <v>0.847457627118644</v>
      </c>
      <c r="K76" s="21" t="n">
        <v>0.1</v>
      </c>
      <c r="L76" s="4" t="str">
        <f aca="false">IF(D76&lt;300,"Not enough spend to judge",IF(G76&gt;='Read Me &amp; Markers'!$B$20,"Winner signal",IF(G76&gt;=1,"Breakeven","Losing")))</f>
        <v>Not enough spend to judge</v>
      </c>
    </row>
    <row r="77" customFormat="false" ht="15" hidden="false" customHeight="false" outlineLevel="0" collapsed="false">
      <c r="A77" s="4" t="s">
        <v>3359</v>
      </c>
      <c r="B77" s="4" t="n">
        <v>1</v>
      </c>
      <c r="C77" s="4" t="n">
        <v>1</v>
      </c>
      <c r="D77" s="5" t="n">
        <v>7.32</v>
      </c>
      <c r="E77" s="7" t="n">
        <v>0</v>
      </c>
      <c r="F77" s="5" t="n">
        <v>0</v>
      </c>
      <c r="G77" s="8" t="n">
        <f aca="false">IF(D77&gt;0,F77/D77,0)</f>
        <v>0</v>
      </c>
      <c r="H77" s="5" t="n">
        <f aca="false">IF(E77&gt;0,D77/E77,0)</f>
        <v>0</v>
      </c>
      <c r="I77" s="29" t="n">
        <v>0.0177777777777778</v>
      </c>
      <c r="J77" s="21" t="n">
        <v>0.946666666666667</v>
      </c>
      <c r="K77" s="21" t="n">
        <v>0.0610328638497653</v>
      </c>
      <c r="L77" s="4" t="str">
        <f aca="false">IF(D77&lt;300,"Not enough spend to judge",IF(G77&gt;='Read Me &amp; Markers'!$B$20,"Winner signal",IF(G77&gt;=1,"Breakeven","Losing")))</f>
        <v>Not enough spend to judge</v>
      </c>
    </row>
    <row r="78" customFormat="false" ht="15" hidden="false" customHeight="false" outlineLevel="0" collapsed="false">
      <c r="A78" s="4" t="s">
        <v>3360</v>
      </c>
      <c r="B78" s="4" t="n">
        <v>1</v>
      </c>
      <c r="C78" s="4" t="n">
        <v>1</v>
      </c>
      <c r="D78" s="5" t="n">
        <v>7.27</v>
      </c>
      <c r="E78" s="7" t="n">
        <v>0</v>
      </c>
      <c r="F78" s="5" t="n">
        <v>0</v>
      </c>
      <c r="G78" s="8" t="n">
        <f aca="false">IF(D78&gt;0,F78/D78,0)</f>
        <v>0</v>
      </c>
      <c r="H78" s="5" t="n">
        <f aca="false">IF(E78&gt;0,D78/E78,0)</f>
        <v>0</v>
      </c>
      <c r="I78" s="29" t="n">
        <v>0</v>
      </c>
      <c r="J78" s="21" t="n">
        <v>0.770833333333333</v>
      </c>
      <c r="K78" s="21" t="n">
        <v>0.148648648648649</v>
      </c>
      <c r="L78" s="4" t="str">
        <f aca="false">IF(D78&lt;300,"Not enough spend to judge",IF(G78&gt;='Read Me &amp; Markers'!$B$20,"Winner signal",IF(G78&gt;=1,"Breakeven","Losing")))</f>
        <v>Not enough spend to judge</v>
      </c>
    </row>
    <row r="79" customFormat="false" ht="15" hidden="false" customHeight="false" outlineLevel="0" collapsed="false">
      <c r="A79" s="4" t="s">
        <v>3361</v>
      </c>
      <c r="B79" s="4" t="n">
        <v>1</v>
      </c>
      <c r="C79" s="4" t="n">
        <v>1</v>
      </c>
      <c r="D79" s="5" t="n">
        <v>7.24</v>
      </c>
      <c r="E79" s="7" t="n">
        <v>0</v>
      </c>
      <c r="F79" s="5" t="n">
        <v>0</v>
      </c>
      <c r="G79" s="8" t="n">
        <f aca="false">IF(D79&gt;0,F79/D79,0)</f>
        <v>0</v>
      </c>
      <c r="H79" s="5" t="n">
        <f aca="false">IF(E79&gt;0,D79/E79,0)</f>
        <v>0</v>
      </c>
      <c r="I79" s="29" t="n">
        <v>0.02</v>
      </c>
      <c r="J79" s="21" t="n">
        <v>0.95</v>
      </c>
      <c r="K79" s="21" t="n">
        <v>0.157894736842105</v>
      </c>
      <c r="L79" s="4" t="str">
        <f aca="false">IF(D79&lt;300,"Not enough spend to judge",IF(G79&gt;='Read Me &amp; Markers'!$B$20,"Winner signal",IF(G79&gt;=1,"Breakeven","Losing")))</f>
        <v>Not enough spend to judge</v>
      </c>
    </row>
    <row r="80" customFormat="false" ht="15" hidden="false" customHeight="false" outlineLevel="0" collapsed="false">
      <c r="A80" s="4" t="s">
        <v>3362</v>
      </c>
      <c r="B80" s="4" t="n">
        <v>1</v>
      </c>
      <c r="C80" s="4" t="n">
        <v>1</v>
      </c>
      <c r="D80" s="5" t="n">
        <v>7.23</v>
      </c>
      <c r="E80" s="7" t="n">
        <v>0</v>
      </c>
      <c r="F80" s="5" t="n">
        <v>0</v>
      </c>
      <c r="G80" s="8" t="n">
        <f aca="false">IF(D80&gt;0,F80/D80,0)</f>
        <v>0</v>
      </c>
      <c r="H80" s="5" t="n">
        <f aca="false">IF(E80&gt;0,D80/E80,0)</f>
        <v>0</v>
      </c>
      <c r="I80" s="29" t="n">
        <v>0.0208333333333333</v>
      </c>
      <c r="J80" s="21" t="n">
        <v>0.958333333333333</v>
      </c>
      <c r="K80" s="21" t="n">
        <v>0.347826086956522</v>
      </c>
      <c r="L80" s="4" t="str">
        <f aca="false">IF(D80&lt;300,"Not enough spend to judge",IF(G80&gt;='Read Me &amp; Markers'!$B$20,"Winner signal",IF(G80&gt;=1,"Breakeven","Losing")))</f>
        <v>Not enough spend to judge</v>
      </c>
    </row>
    <row r="81" customFormat="false" ht="15" hidden="false" customHeight="false" outlineLevel="0" collapsed="false">
      <c r="A81" s="4" t="s">
        <v>3363</v>
      </c>
      <c r="B81" s="4" t="n">
        <v>1</v>
      </c>
      <c r="C81" s="4" t="n">
        <v>1</v>
      </c>
      <c r="D81" s="5" t="n">
        <v>6.93</v>
      </c>
      <c r="E81" s="7" t="n">
        <v>0</v>
      </c>
      <c r="F81" s="5" t="n">
        <v>0</v>
      </c>
      <c r="G81" s="8" t="n">
        <f aca="false">IF(D81&gt;0,F81/D81,0)</f>
        <v>0</v>
      </c>
      <c r="H81" s="5" t="n">
        <f aca="false">IF(E81&gt;0,D81/E81,0)</f>
        <v>0</v>
      </c>
      <c r="I81" s="29" t="n">
        <v>0.015625</v>
      </c>
      <c r="J81" s="21" t="n">
        <v>0.96875</v>
      </c>
      <c r="K81" s="21" t="n">
        <v>0.0967741935483871</v>
      </c>
      <c r="L81" s="4" t="str">
        <f aca="false">IF(D81&lt;300,"Not enough spend to judge",IF(G81&gt;='Read Me &amp; Markers'!$B$20,"Winner signal",IF(G81&gt;=1,"Breakeven","Losing")))</f>
        <v>Not enough spend to judge</v>
      </c>
    </row>
    <row r="82" customFormat="false" ht="15" hidden="false" customHeight="false" outlineLevel="0" collapsed="false">
      <c r="A82" s="4" t="s">
        <v>3364</v>
      </c>
      <c r="B82" s="4" t="n">
        <v>2</v>
      </c>
      <c r="C82" s="4" t="n">
        <v>2</v>
      </c>
      <c r="D82" s="5" t="n">
        <v>6.92</v>
      </c>
      <c r="E82" s="7" t="n">
        <v>0</v>
      </c>
      <c r="F82" s="5" t="n">
        <v>0</v>
      </c>
      <c r="G82" s="8" t="n">
        <f aca="false">IF(D82&gt;0,F82/D82,0)</f>
        <v>0</v>
      </c>
      <c r="H82" s="5" t="n">
        <f aca="false">IF(E82&gt;0,D82/E82,0)</f>
        <v>0</v>
      </c>
      <c r="I82" s="29" t="n">
        <v>0.0065359477124183</v>
      </c>
      <c r="J82" s="21" t="n">
        <v>0.0261437908496732</v>
      </c>
      <c r="K82" s="21" t="n">
        <v>0</v>
      </c>
      <c r="L82" s="4" t="str">
        <f aca="false">IF(D82&lt;300,"Not enough spend to judge",IF(G82&gt;='Read Me &amp; Markers'!$B$20,"Winner signal",IF(G82&gt;=1,"Breakeven","Losing")))</f>
        <v>Not enough spend to judge</v>
      </c>
    </row>
    <row r="83" customFormat="false" ht="15" hidden="false" customHeight="false" outlineLevel="0" collapsed="false">
      <c r="A83" s="4" t="s">
        <v>3365</v>
      </c>
      <c r="B83" s="4" t="n">
        <v>2</v>
      </c>
      <c r="C83" s="4" t="n">
        <v>2</v>
      </c>
      <c r="D83" s="5" t="n">
        <v>6.63</v>
      </c>
      <c r="E83" s="7" t="n">
        <v>0</v>
      </c>
      <c r="F83" s="5" t="n">
        <v>0</v>
      </c>
      <c r="G83" s="8" t="n">
        <f aca="false">IF(D83&gt;0,F83/D83,0)</f>
        <v>0</v>
      </c>
      <c r="H83" s="5" t="n">
        <f aca="false">IF(E83&gt;0,D83/E83,0)</f>
        <v>0</v>
      </c>
      <c r="I83" s="29" t="n">
        <v>0.0344827586206897</v>
      </c>
      <c r="J83" s="21" t="n">
        <v>0.896551724137931</v>
      </c>
      <c r="K83" s="21" t="n">
        <v>0.153846153846154</v>
      </c>
      <c r="L83" s="4" t="str">
        <f aca="false">IF(D83&lt;300,"Not enough spend to judge",IF(G83&gt;='Read Me &amp; Markers'!$B$20,"Winner signal",IF(G83&gt;=1,"Breakeven","Losing")))</f>
        <v>Not enough spend to judge</v>
      </c>
    </row>
    <row r="84" customFormat="false" ht="15" hidden="false" customHeight="false" outlineLevel="0" collapsed="false">
      <c r="A84" s="4" t="s">
        <v>3366</v>
      </c>
      <c r="B84" s="4" t="n">
        <v>1</v>
      </c>
      <c r="C84" s="4" t="n">
        <v>1</v>
      </c>
      <c r="D84" s="5" t="n">
        <v>5.88</v>
      </c>
      <c r="E84" s="7" t="n">
        <v>0</v>
      </c>
      <c r="F84" s="5" t="n">
        <v>0</v>
      </c>
      <c r="G84" s="8" t="n">
        <f aca="false">IF(D84&gt;0,F84/D84,0)</f>
        <v>0</v>
      </c>
      <c r="H84" s="5" t="n">
        <f aca="false">IF(E84&gt;0,D84/E84,0)</f>
        <v>0</v>
      </c>
      <c r="I84" s="29" t="n">
        <v>0.0612244897959184</v>
      </c>
      <c r="J84" s="21" t="n">
        <v>0.938775510204082</v>
      </c>
      <c r="K84" s="21" t="n">
        <v>0.217391304347826</v>
      </c>
      <c r="L84" s="4" t="str">
        <f aca="false">IF(D84&lt;300,"Not enough spend to judge",IF(G84&gt;='Read Me &amp; Markers'!$B$20,"Winner signal",IF(G84&gt;=1,"Breakeven","Losing")))</f>
        <v>Not enough spend to judge</v>
      </c>
    </row>
    <row r="85" customFormat="false" ht="15" hidden="false" customHeight="false" outlineLevel="0" collapsed="false">
      <c r="A85" s="4" t="s">
        <v>3367</v>
      </c>
      <c r="B85" s="4" t="n">
        <v>1</v>
      </c>
      <c r="C85" s="4" t="n">
        <v>1</v>
      </c>
      <c r="D85" s="5" t="n">
        <v>5.53</v>
      </c>
      <c r="E85" s="7" t="n">
        <v>0</v>
      </c>
      <c r="F85" s="5" t="n">
        <v>0</v>
      </c>
      <c r="G85" s="8" t="n">
        <f aca="false">IF(D85&gt;0,F85/D85,0)</f>
        <v>0</v>
      </c>
      <c r="H85" s="5" t="n">
        <f aca="false">IF(E85&gt;0,D85/E85,0)</f>
        <v>0</v>
      </c>
      <c r="I85" s="29" t="n">
        <v>0.05</v>
      </c>
      <c r="J85" s="21" t="n">
        <v>0.925</v>
      </c>
      <c r="K85" s="21" t="n">
        <v>0.27027027027027</v>
      </c>
      <c r="L85" s="4" t="str">
        <f aca="false">IF(D85&lt;300,"Not enough spend to judge",IF(G85&gt;='Read Me &amp; Markers'!$B$20,"Winner signal",IF(G85&gt;=1,"Breakeven","Losing")))</f>
        <v>Not enough spend to judge</v>
      </c>
    </row>
    <row r="86" customFormat="false" ht="15" hidden="false" customHeight="false" outlineLevel="0" collapsed="false">
      <c r="A86" s="4" t="s">
        <v>3368</v>
      </c>
      <c r="B86" s="4" t="n">
        <v>1</v>
      </c>
      <c r="C86" s="4" t="n">
        <v>1</v>
      </c>
      <c r="D86" s="5" t="n">
        <v>5.44</v>
      </c>
      <c r="E86" s="7" t="n">
        <v>0</v>
      </c>
      <c r="F86" s="5" t="n">
        <v>0</v>
      </c>
      <c r="G86" s="8" t="n">
        <f aca="false">IF(D86&gt;0,F86/D86,0)</f>
        <v>0</v>
      </c>
      <c r="H86" s="5" t="n">
        <f aca="false">IF(E86&gt;0,D86/E86,0)</f>
        <v>0</v>
      </c>
      <c r="I86" s="29" t="n">
        <v>0.0294117647058824</v>
      </c>
      <c r="J86" s="21" t="n">
        <v>0.941176470588235</v>
      </c>
      <c r="K86" s="21" t="n">
        <v>0.1875</v>
      </c>
      <c r="L86" s="4" t="str">
        <f aca="false">IF(D86&lt;300,"Not enough spend to judge",IF(G86&gt;='Read Me &amp; Markers'!$B$20,"Winner signal",IF(G86&gt;=1,"Breakeven","Losing")))</f>
        <v>Not enough spend to judge</v>
      </c>
    </row>
    <row r="87" customFormat="false" ht="15" hidden="false" customHeight="false" outlineLevel="0" collapsed="false">
      <c r="A87" s="4" t="s">
        <v>3369</v>
      </c>
      <c r="B87" s="4" t="n">
        <v>1</v>
      </c>
      <c r="C87" s="4" t="n">
        <v>1</v>
      </c>
      <c r="D87" s="5" t="n">
        <v>5.43</v>
      </c>
      <c r="E87" s="7" t="n">
        <v>0</v>
      </c>
      <c r="F87" s="5" t="n">
        <v>0</v>
      </c>
      <c r="G87" s="8" t="n">
        <f aca="false">IF(D87&gt;0,F87/D87,0)</f>
        <v>0</v>
      </c>
      <c r="H87" s="5" t="n">
        <f aca="false">IF(E87&gt;0,D87/E87,0)</f>
        <v>0</v>
      </c>
      <c r="I87" s="29" t="n">
        <v>0.03125</v>
      </c>
      <c r="J87" s="21" t="n">
        <v>0.96875</v>
      </c>
      <c r="K87" s="21" t="n">
        <v>0.290322580645161</v>
      </c>
      <c r="L87" s="4" t="str">
        <f aca="false">IF(D87&lt;300,"Not enough spend to judge",IF(G87&gt;='Read Me &amp; Markers'!$B$20,"Winner signal",IF(G87&gt;=1,"Breakeven","Losing")))</f>
        <v>Not enough spend to judge</v>
      </c>
    </row>
    <row r="88" customFormat="false" ht="15" hidden="false" customHeight="false" outlineLevel="0" collapsed="false">
      <c r="A88" s="4" t="s">
        <v>3370</v>
      </c>
      <c r="B88" s="4" t="n">
        <v>1</v>
      </c>
      <c r="C88" s="4" t="n">
        <v>1</v>
      </c>
      <c r="D88" s="5" t="n">
        <v>5.4</v>
      </c>
      <c r="E88" s="7" t="n">
        <v>0</v>
      </c>
      <c r="F88" s="5" t="n">
        <v>0</v>
      </c>
      <c r="G88" s="8" t="n">
        <f aca="false">IF(D88&gt;0,F88/D88,0)</f>
        <v>0</v>
      </c>
      <c r="H88" s="5" t="n">
        <f aca="false">IF(E88&gt;0,D88/E88,0)</f>
        <v>0</v>
      </c>
      <c r="I88" s="29" t="n">
        <v>0</v>
      </c>
      <c r="J88" s="21" t="n">
        <v>0.0348837209302326</v>
      </c>
      <c r="K88" s="21" t="n">
        <v>0</v>
      </c>
      <c r="L88" s="4" t="str">
        <f aca="false">IF(D88&lt;300,"Not enough spend to judge",IF(G88&gt;='Read Me &amp; Markers'!$B$20,"Winner signal",IF(G88&gt;=1,"Breakeven","Losing")))</f>
        <v>Not enough spend to judge</v>
      </c>
    </row>
    <row r="89" customFormat="false" ht="15" hidden="false" customHeight="false" outlineLevel="0" collapsed="false">
      <c r="A89" s="4" t="s">
        <v>3371</v>
      </c>
      <c r="B89" s="4" t="n">
        <v>1</v>
      </c>
      <c r="C89" s="4" t="n">
        <v>1</v>
      </c>
      <c r="D89" s="5" t="n">
        <v>5.39</v>
      </c>
      <c r="E89" s="7" t="n">
        <v>0</v>
      </c>
      <c r="F89" s="5" t="n">
        <v>0</v>
      </c>
      <c r="G89" s="8" t="n">
        <f aca="false">IF(D89&gt;0,F89/D89,0)</f>
        <v>0</v>
      </c>
      <c r="H89" s="5" t="n">
        <f aca="false">IF(E89&gt;0,D89/E89,0)</f>
        <v>0</v>
      </c>
      <c r="I89" s="29" t="n">
        <v>0.137254901960784</v>
      </c>
      <c r="J89" s="21" t="n">
        <v>0.803921568627451</v>
      </c>
      <c r="K89" s="21" t="n">
        <v>0.24390243902439</v>
      </c>
      <c r="L89" s="4" t="str">
        <f aca="false">IF(D89&lt;300,"Not enough spend to judge",IF(G89&gt;='Read Me &amp; Markers'!$B$20,"Winner signal",IF(G89&gt;=1,"Breakeven","Losing")))</f>
        <v>Not enough spend to judge</v>
      </c>
    </row>
    <row r="90" customFormat="false" ht="15" hidden="false" customHeight="false" outlineLevel="0" collapsed="false">
      <c r="A90" s="4" t="s">
        <v>3372</v>
      </c>
      <c r="B90" s="4" t="n">
        <v>1</v>
      </c>
      <c r="C90" s="4" t="n">
        <v>1</v>
      </c>
      <c r="D90" s="5" t="n">
        <v>5.22</v>
      </c>
      <c r="E90" s="7" t="n">
        <v>0</v>
      </c>
      <c r="F90" s="5" t="n">
        <v>0</v>
      </c>
      <c r="G90" s="8" t="n">
        <f aca="false">IF(D90&gt;0,F90/D90,0)</f>
        <v>0</v>
      </c>
      <c r="H90" s="5" t="n">
        <f aca="false">IF(E90&gt;0,D90/E90,0)</f>
        <v>0</v>
      </c>
      <c r="I90" s="29" t="n">
        <v>0.0588235294117647</v>
      </c>
      <c r="J90" s="21" t="n">
        <v>0.96078431372549</v>
      </c>
      <c r="K90" s="21" t="n">
        <v>0.0816326530612245</v>
      </c>
      <c r="L90" s="4" t="str">
        <f aca="false">IF(D90&lt;300,"Not enough spend to judge",IF(G90&gt;='Read Me &amp; Markers'!$B$20,"Winner signal",IF(G90&gt;=1,"Breakeven","Losing")))</f>
        <v>Not enough spend to judge</v>
      </c>
    </row>
    <row r="91" customFormat="false" ht="15" hidden="false" customHeight="false" outlineLevel="0" collapsed="false">
      <c r="A91" s="4" t="s">
        <v>3373</v>
      </c>
      <c r="B91" s="4" t="n">
        <v>1</v>
      </c>
      <c r="C91" s="4" t="n">
        <v>1</v>
      </c>
      <c r="D91" s="5" t="n">
        <v>5.21</v>
      </c>
      <c r="E91" s="7" t="n">
        <v>0</v>
      </c>
      <c r="F91" s="5" t="n">
        <v>0</v>
      </c>
      <c r="G91" s="8" t="n">
        <f aca="false">IF(D91&gt;0,F91/D91,0)</f>
        <v>0</v>
      </c>
      <c r="H91" s="5" t="n">
        <f aca="false">IF(E91&gt;0,D91/E91,0)</f>
        <v>0</v>
      </c>
      <c r="I91" s="29" t="n">
        <v>0</v>
      </c>
      <c r="J91" s="21" t="n">
        <v>0</v>
      </c>
      <c r="K91" s="21" t="n">
        <v>0</v>
      </c>
      <c r="L91" s="4" t="str">
        <f aca="false">IF(D91&lt;300,"Not enough spend to judge",IF(G91&gt;='Read Me &amp; Markers'!$B$20,"Winner signal",IF(G91&gt;=1,"Breakeven","Losing")))</f>
        <v>Not enough spend to judge</v>
      </c>
    </row>
    <row r="92" customFormat="false" ht="15" hidden="false" customHeight="false" outlineLevel="0" collapsed="false">
      <c r="A92" s="4" t="s">
        <v>3374</v>
      </c>
      <c r="B92" s="4" t="n">
        <v>1</v>
      </c>
      <c r="C92" s="4" t="n">
        <v>1</v>
      </c>
      <c r="D92" s="5" t="n">
        <v>5.08</v>
      </c>
      <c r="E92" s="7" t="n">
        <v>0</v>
      </c>
      <c r="F92" s="5" t="n">
        <v>0</v>
      </c>
      <c r="G92" s="8" t="n">
        <f aca="false">IF(D92&gt;0,F92/D92,0)</f>
        <v>0</v>
      </c>
      <c r="H92" s="5" t="n">
        <f aca="false">IF(E92&gt;0,D92/E92,0)</f>
        <v>0</v>
      </c>
      <c r="I92" s="29" t="n">
        <v>0.0344827586206897</v>
      </c>
      <c r="J92" s="21" t="n">
        <v>0.879310344827586</v>
      </c>
      <c r="K92" s="21" t="n">
        <v>0.0392156862745098</v>
      </c>
      <c r="L92" s="4" t="str">
        <f aca="false">IF(D92&lt;300,"Not enough spend to judge",IF(G92&gt;='Read Me &amp; Markers'!$B$20,"Winner signal",IF(G92&gt;=1,"Breakeven","Losing")))</f>
        <v>Not enough spend to judge</v>
      </c>
    </row>
    <row r="93" customFormat="false" ht="15" hidden="false" customHeight="false" outlineLevel="0" collapsed="false">
      <c r="A93" s="4" t="s">
        <v>3375</v>
      </c>
      <c r="B93" s="4" t="n">
        <v>1</v>
      </c>
      <c r="C93" s="4" t="n">
        <v>1</v>
      </c>
      <c r="D93" s="5" t="n">
        <v>4.87</v>
      </c>
      <c r="E93" s="7" t="n">
        <v>0</v>
      </c>
      <c r="F93" s="5" t="n">
        <v>0</v>
      </c>
      <c r="G93" s="8" t="n">
        <f aca="false">IF(D93&gt;0,F93/D93,0)</f>
        <v>0</v>
      </c>
      <c r="H93" s="5" t="n">
        <f aca="false">IF(E93&gt;0,D93/E93,0)</f>
        <v>0</v>
      </c>
      <c r="I93" s="29" t="n">
        <v>0.0277777777777778</v>
      </c>
      <c r="J93" s="21" t="n">
        <v>0.888888888888889</v>
      </c>
      <c r="K93" s="21" t="n">
        <v>0.03125</v>
      </c>
      <c r="L93" s="4" t="str">
        <f aca="false">IF(D93&lt;300,"Not enough spend to judge",IF(G93&gt;='Read Me &amp; Markers'!$B$20,"Winner signal",IF(G93&gt;=1,"Breakeven","Losing")))</f>
        <v>Not enough spend to judge</v>
      </c>
    </row>
    <row r="94" customFormat="false" ht="15" hidden="false" customHeight="false" outlineLevel="0" collapsed="false">
      <c r="A94" s="4" t="s">
        <v>3376</v>
      </c>
      <c r="B94" s="4" t="n">
        <v>1</v>
      </c>
      <c r="C94" s="4" t="n">
        <v>1</v>
      </c>
      <c r="D94" s="5" t="n">
        <v>4.84</v>
      </c>
      <c r="E94" s="7" t="n">
        <v>0</v>
      </c>
      <c r="F94" s="5" t="n">
        <v>0</v>
      </c>
      <c r="G94" s="8" t="n">
        <f aca="false">IF(D94&gt;0,F94/D94,0)</f>
        <v>0</v>
      </c>
      <c r="H94" s="5" t="n">
        <f aca="false">IF(E94&gt;0,D94/E94,0)</f>
        <v>0</v>
      </c>
      <c r="I94" s="29" t="n">
        <v>0.0184331797235023</v>
      </c>
      <c r="J94" s="21" t="n">
        <v>0.00460829493087558</v>
      </c>
      <c r="K94" s="21" t="n">
        <v>0</v>
      </c>
      <c r="L94" s="4" t="str">
        <f aca="false">IF(D94&lt;300,"Not enough spend to judge",IF(G94&gt;='Read Me &amp; Markers'!$B$20,"Winner signal",IF(G94&gt;=1,"Breakeven","Losing")))</f>
        <v>Not enough spend to judge</v>
      </c>
    </row>
    <row r="95" customFormat="false" ht="15" hidden="false" customHeight="false" outlineLevel="0" collapsed="false">
      <c r="A95" s="4" t="s">
        <v>3377</v>
      </c>
      <c r="B95" s="4" t="n">
        <v>1</v>
      </c>
      <c r="C95" s="4" t="n">
        <v>1</v>
      </c>
      <c r="D95" s="5" t="n">
        <v>4.81</v>
      </c>
      <c r="E95" s="7" t="n">
        <v>0</v>
      </c>
      <c r="F95" s="5" t="n">
        <v>0</v>
      </c>
      <c r="G95" s="8" t="n">
        <f aca="false">IF(D95&gt;0,F95/D95,0)</f>
        <v>0</v>
      </c>
      <c r="H95" s="5" t="n">
        <f aca="false">IF(E95&gt;0,D95/E95,0)</f>
        <v>0</v>
      </c>
      <c r="I95" s="29" t="n">
        <v>0</v>
      </c>
      <c r="J95" s="21" t="n">
        <v>0.847826086956522</v>
      </c>
      <c r="K95" s="21" t="n">
        <v>0.0256410256410256</v>
      </c>
      <c r="L95" s="4" t="str">
        <f aca="false">IF(D95&lt;300,"Not enough spend to judge",IF(G95&gt;='Read Me &amp; Markers'!$B$20,"Winner signal",IF(G95&gt;=1,"Breakeven","Losing")))</f>
        <v>Not enough spend to judge</v>
      </c>
    </row>
    <row r="96" customFormat="false" ht="15" hidden="false" customHeight="false" outlineLevel="0" collapsed="false">
      <c r="A96" s="4" t="s">
        <v>3378</v>
      </c>
      <c r="B96" s="4" t="n">
        <v>1</v>
      </c>
      <c r="C96" s="4" t="n">
        <v>1</v>
      </c>
      <c r="D96" s="5" t="n">
        <v>4.8</v>
      </c>
      <c r="E96" s="7" t="n">
        <v>0</v>
      </c>
      <c r="F96" s="5" t="n">
        <v>0</v>
      </c>
      <c r="G96" s="8" t="n">
        <f aca="false">IF(D96&gt;0,F96/D96,0)</f>
        <v>0</v>
      </c>
      <c r="H96" s="5" t="n">
        <f aca="false">IF(E96&gt;0,D96/E96,0)</f>
        <v>0</v>
      </c>
      <c r="I96" s="29" t="n">
        <v>0.00510204081632653</v>
      </c>
      <c r="J96" s="21" t="n">
        <v>0.00510204081632653</v>
      </c>
      <c r="K96" s="21" t="n">
        <v>0</v>
      </c>
      <c r="L96" s="4" t="str">
        <f aca="false">IF(D96&lt;300,"Not enough spend to judge",IF(G96&gt;='Read Me &amp; Markers'!$B$20,"Winner signal",IF(G96&gt;=1,"Breakeven","Losing")))</f>
        <v>Not enough spend to judge</v>
      </c>
    </row>
    <row r="97" customFormat="false" ht="15" hidden="false" customHeight="false" outlineLevel="0" collapsed="false">
      <c r="A97" s="4" t="s">
        <v>3379</v>
      </c>
      <c r="B97" s="4" t="n">
        <v>1</v>
      </c>
      <c r="C97" s="4" t="n">
        <v>1</v>
      </c>
      <c r="D97" s="5" t="n">
        <v>4.54</v>
      </c>
      <c r="E97" s="7" t="n">
        <v>0</v>
      </c>
      <c r="F97" s="5" t="n">
        <v>0</v>
      </c>
      <c r="G97" s="8" t="n">
        <f aca="false">IF(D97&gt;0,F97/D97,0)</f>
        <v>0</v>
      </c>
      <c r="H97" s="5" t="n">
        <f aca="false">IF(E97&gt;0,D97/E97,0)</f>
        <v>0</v>
      </c>
      <c r="I97" s="29" t="n">
        <v>0</v>
      </c>
      <c r="J97" s="21" t="n">
        <v>0.00763358778625954</v>
      </c>
      <c r="K97" s="21" t="n">
        <v>0</v>
      </c>
      <c r="L97" s="4" t="str">
        <f aca="false">IF(D97&lt;300,"Not enough spend to judge",IF(G97&gt;='Read Me &amp; Markers'!$B$20,"Winner signal",IF(G97&gt;=1,"Breakeven","Losing")))</f>
        <v>Not enough spend to judge</v>
      </c>
    </row>
    <row r="98" customFormat="false" ht="15" hidden="false" customHeight="false" outlineLevel="0" collapsed="false">
      <c r="A98" s="4" t="s">
        <v>3380</v>
      </c>
      <c r="B98" s="4" t="n">
        <v>1</v>
      </c>
      <c r="C98" s="4" t="n">
        <v>1</v>
      </c>
      <c r="D98" s="5" t="n">
        <v>4.46</v>
      </c>
      <c r="E98" s="7" t="n">
        <v>0</v>
      </c>
      <c r="F98" s="5" t="n">
        <v>0</v>
      </c>
      <c r="G98" s="8" t="n">
        <f aca="false">IF(D98&gt;0,F98/D98,0)</f>
        <v>0</v>
      </c>
      <c r="H98" s="5" t="n">
        <f aca="false">IF(E98&gt;0,D98/E98,0)</f>
        <v>0</v>
      </c>
      <c r="I98" s="29" t="n">
        <v>0.0638297872340426</v>
      </c>
      <c r="J98" s="21" t="n">
        <v>0.914893617021277</v>
      </c>
      <c r="K98" s="21" t="n">
        <v>0.232558139534884</v>
      </c>
      <c r="L98" s="4" t="str">
        <f aca="false">IF(D98&lt;300,"Not enough spend to judge",IF(G98&gt;='Read Me &amp; Markers'!$B$20,"Winner signal",IF(G98&gt;=1,"Breakeven","Losing")))</f>
        <v>Not enough spend to judge</v>
      </c>
    </row>
    <row r="99" customFormat="false" ht="15" hidden="false" customHeight="false" outlineLevel="0" collapsed="false">
      <c r="A99" s="4" t="s">
        <v>3381</v>
      </c>
      <c r="B99" s="4" t="n">
        <v>1</v>
      </c>
      <c r="C99" s="4" t="n">
        <v>1</v>
      </c>
      <c r="D99" s="5" t="n">
        <v>4.34</v>
      </c>
      <c r="E99" s="7" t="n">
        <v>0</v>
      </c>
      <c r="F99" s="5" t="n">
        <v>0</v>
      </c>
      <c r="G99" s="8" t="n">
        <f aca="false">IF(D99&gt;0,F99/D99,0)</f>
        <v>0</v>
      </c>
      <c r="H99" s="5" t="n">
        <f aca="false">IF(E99&gt;0,D99/E99,0)</f>
        <v>0</v>
      </c>
      <c r="I99" s="29" t="n">
        <v>0</v>
      </c>
      <c r="J99" s="21" t="n">
        <v>0</v>
      </c>
      <c r="K99" s="21" t="n">
        <v>0</v>
      </c>
      <c r="L99" s="4" t="str">
        <f aca="false">IF(D99&lt;300,"Not enough spend to judge",IF(G99&gt;='Read Me &amp; Markers'!$B$20,"Winner signal",IF(G99&gt;=1,"Breakeven","Losing")))</f>
        <v>Not enough spend to judge</v>
      </c>
    </row>
    <row r="100" customFormat="false" ht="15" hidden="false" customHeight="false" outlineLevel="0" collapsed="false">
      <c r="A100" s="4" t="s">
        <v>3382</v>
      </c>
      <c r="B100" s="4" t="n">
        <v>1</v>
      </c>
      <c r="C100" s="4" t="n">
        <v>1</v>
      </c>
      <c r="D100" s="5" t="n">
        <v>4.32</v>
      </c>
      <c r="E100" s="7" t="n">
        <v>0</v>
      </c>
      <c r="F100" s="5" t="n">
        <v>0</v>
      </c>
      <c r="G100" s="8" t="n">
        <f aca="false">IF(D100&gt;0,F100/D100,0)</f>
        <v>0</v>
      </c>
      <c r="H100" s="5" t="n">
        <f aca="false">IF(E100&gt;0,D100/E100,0)</f>
        <v>0</v>
      </c>
      <c r="I100" s="29" t="n">
        <v>0</v>
      </c>
      <c r="J100" s="21" t="n">
        <v>0.782608695652174</v>
      </c>
      <c r="K100" s="21" t="n">
        <v>0</v>
      </c>
      <c r="L100" s="4" t="str">
        <f aca="false">IF(D100&lt;300,"Not enough spend to judge",IF(G100&gt;='Read Me &amp; Markers'!$B$20,"Winner signal",IF(G100&gt;=1,"Breakeven","Losing")))</f>
        <v>Not enough spend to judge</v>
      </c>
    </row>
    <row r="101" customFormat="false" ht="15" hidden="false" customHeight="false" outlineLevel="0" collapsed="false">
      <c r="A101" s="4" t="s">
        <v>3383</v>
      </c>
      <c r="B101" s="4" t="n">
        <v>1</v>
      </c>
      <c r="C101" s="4" t="n">
        <v>1</v>
      </c>
      <c r="D101" s="5" t="n">
        <v>4.28</v>
      </c>
      <c r="E101" s="7" t="n">
        <v>0</v>
      </c>
      <c r="F101" s="5" t="n">
        <v>0</v>
      </c>
      <c r="G101" s="8" t="n">
        <f aca="false">IF(D101&gt;0,F101/D101,0)</f>
        <v>0</v>
      </c>
      <c r="H101" s="5" t="n">
        <f aca="false">IF(E101&gt;0,D101/E101,0)</f>
        <v>0</v>
      </c>
      <c r="I101" s="29" t="n">
        <v>0.0384615384615385</v>
      </c>
      <c r="J101" s="21" t="n">
        <v>1</v>
      </c>
      <c r="K101" s="21" t="n">
        <v>0.230769230769231</v>
      </c>
      <c r="L101" s="4" t="str">
        <f aca="false">IF(D101&lt;300,"Not enough spend to judge",IF(G101&gt;='Read Me &amp; Markers'!$B$20,"Winner signal",IF(G101&gt;=1,"Breakeven","Losing")))</f>
        <v>Not enough spend to judge</v>
      </c>
    </row>
    <row r="102" customFormat="false" ht="15" hidden="false" customHeight="false" outlineLevel="0" collapsed="false">
      <c r="A102" s="4" t="s">
        <v>3384</v>
      </c>
      <c r="B102" s="4" t="n">
        <v>1</v>
      </c>
      <c r="C102" s="4" t="n">
        <v>1</v>
      </c>
      <c r="D102" s="5" t="n">
        <v>4.25</v>
      </c>
      <c r="E102" s="7" t="n">
        <v>0</v>
      </c>
      <c r="F102" s="5" t="n">
        <v>0</v>
      </c>
      <c r="G102" s="8" t="n">
        <f aca="false">IF(D102&gt;0,F102/D102,0)</f>
        <v>0</v>
      </c>
      <c r="H102" s="5" t="n">
        <f aca="false">IF(E102&gt;0,D102/E102,0)</f>
        <v>0</v>
      </c>
      <c r="I102" s="29" t="n">
        <v>0</v>
      </c>
      <c r="J102" s="21" t="n">
        <v>0.931034482758621</v>
      </c>
      <c r="K102" s="21" t="n">
        <v>0.111111111111111</v>
      </c>
      <c r="L102" s="4" t="str">
        <f aca="false">IF(D102&lt;300,"Not enough spend to judge",IF(G102&gt;='Read Me &amp; Markers'!$B$20,"Winner signal",IF(G102&gt;=1,"Breakeven","Losing")))</f>
        <v>Not enough spend to judge</v>
      </c>
    </row>
    <row r="103" customFormat="false" ht="15" hidden="false" customHeight="false" outlineLevel="0" collapsed="false">
      <c r="A103" s="4" t="s">
        <v>3385</v>
      </c>
      <c r="B103" s="4" t="n">
        <v>1</v>
      </c>
      <c r="C103" s="4" t="n">
        <v>1</v>
      </c>
      <c r="D103" s="5" t="n">
        <v>4.22</v>
      </c>
      <c r="E103" s="7" t="n">
        <v>0</v>
      </c>
      <c r="F103" s="5" t="n">
        <v>0</v>
      </c>
      <c r="G103" s="8" t="n">
        <f aca="false">IF(D103&gt;0,F103/D103,0)</f>
        <v>0</v>
      </c>
      <c r="H103" s="5" t="n">
        <f aca="false">IF(E103&gt;0,D103/E103,0)</f>
        <v>0</v>
      </c>
      <c r="I103" s="29" t="n">
        <v>0.0153846153846154</v>
      </c>
      <c r="J103" s="21" t="n">
        <v>0</v>
      </c>
      <c r="K103" s="21" t="n">
        <v>0</v>
      </c>
      <c r="L103" s="4" t="str">
        <f aca="false">IF(D103&lt;300,"Not enough spend to judge",IF(G103&gt;='Read Me &amp; Markers'!$B$20,"Winner signal",IF(G103&gt;=1,"Breakeven","Losing")))</f>
        <v>Not enough spend to judge</v>
      </c>
    </row>
    <row r="104" customFormat="false" ht="15" hidden="false" customHeight="false" outlineLevel="0" collapsed="false">
      <c r="A104" s="4" t="s">
        <v>3386</v>
      </c>
      <c r="B104" s="4" t="n">
        <v>1</v>
      </c>
      <c r="C104" s="4" t="n">
        <v>1</v>
      </c>
      <c r="D104" s="5" t="n">
        <v>3.96</v>
      </c>
      <c r="E104" s="7" t="n">
        <v>0</v>
      </c>
      <c r="F104" s="5" t="n">
        <v>0</v>
      </c>
      <c r="G104" s="8" t="n">
        <f aca="false">IF(D104&gt;0,F104/D104,0)</f>
        <v>0</v>
      </c>
      <c r="H104" s="5" t="n">
        <f aca="false">IF(E104&gt;0,D104/E104,0)</f>
        <v>0</v>
      </c>
      <c r="I104" s="29" t="n">
        <v>0.1875</v>
      </c>
      <c r="J104" s="21" t="n">
        <v>1</v>
      </c>
      <c r="K104" s="21" t="n">
        <v>0.3125</v>
      </c>
      <c r="L104" s="4" t="str">
        <f aca="false">IF(D104&lt;300,"Not enough spend to judge",IF(G104&gt;='Read Me &amp; Markers'!$B$20,"Winner signal",IF(G104&gt;=1,"Breakeven","Losing")))</f>
        <v>Not enough spend to judge</v>
      </c>
    </row>
    <row r="105" customFormat="false" ht="15" hidden="false" customHeight="false" outlineLevel="0" collapsed="false">
      <c r="A105" s="4" t="s">
        <v>3387</v>
      </c>
      <c r="B105" s="4" t="n">
        <v>1</v>
      </c>
      <c r="C105" s="4" t="n">
        <v>1</v>
      </c>
      <c r="D105" s="5" t="n">
        <v>3.78</v>
      </c>
      <c r="E105" s="7" t="n">
        <v>0</v>
      </c>
      <c r="F105" s="5" t="n">
        <v>0</v>
      </c>
      <c r="G105" s="8" t="n">
        <f aca="false">IF(D105&gt;0,F105/D105,0)</f>
        <v>0</v>
      </c>
      <c r="H105" s="5" t="n">
        <f aca="false">IF(E105&gt;0,D105/E105,0)</f>
        <v>0</v>
      </c>
      <c r="I105" s="29" t="n">
        <v>0.125</v>
      </c>
      <c r="J105" s="21" t="n">
        <v>0.875</v>
      </c>
      <c r="K105" s="21" t="n">
        <v>0.357142857142857</v>
      </c>
      <c r="L105" s="4" t="str">
        <f aca="false">IF(D105&lt;300,"Not enough spend to judge",IF(G105&gt;='Read Me &amp; Markers'!$B$20,"Winner signal",IF(G105&gt;=1,"Breakeven","Losing")))</f>
        <v>Not enough spend to judge</v>
      </c>
    </row>
    <row r="106" customFormat="false" ht="15" hidden="false" customHeight="false" outlineLevel="0" collapsed="false">
      <c r="A106" s="4" t="s">
        <v>3388</v>
      </c>
      <c r="B106" s="4" t="n">
        <v>1</v>
      </c>
      <c r="C106" s="4" t="n">
        <v>1</v>
      </c>
      <c r="D106" s="5" t="n">
        <v>3.32</v>
      </c>
      <c r="E106" s="7" t="n">
        <v>0</v>
      </c>
      <c r="F106" s="5" t="n">
        <v>0</v>
      </c>
      <c r="G106" s="8" t="n">
        <f aca="false">IF(D106&gt;0,F106/D106,0)</f>
        <v>0</v>
      </c>
      <c r="H106" s="5" t="n">
        <f aca="false">IF(E106&gt;0,D106/E106,0)</f>
        <v>0</v>
      </c>
      <c r="I106" s="29" t="n">
        <v>0</v>
      </c>
      <c r="J106" s="21" t="n">
        <v>0.0465116279069767</v>
      </c>
      <c r="K106" s="21" t="n">
        <v>0</v>
      </c>
      <c r="L106" s="4" t="str">
        <f aca="false">IF(D106&lt;300,"Not enough spend to judge",IF(G106&gt;='Read Me &amp; Markers'!$B$20,"Winner signal",IF(G106&gt;=1,"Breakeven","Losing")))</f>
        <v>Not enough spend to judge</v>
      </c>
    </row>
    <row r="107" customFormat="false" ht="15" hidden="false" customHeight="false" outlineLevel="0" collapsed="false">
      <c r="A107" s="4" t="s">
        <v>3389</v>
      </c>
      <c r="B107" s="4" t="n">
        <v>1</v>
      </c>
      <c r="C107" s="4" t="n">
        <v>1</v>
      </c>
      <c r="D107" s="5" t="n">
        <v>3.16</v>
      </c>
      <c r="E107" s="7" t="n">
        <v>0</v>
      </c>
      <c r="F107" s="5" t="n">
        <v>0</v>
      </c>
      <c r="G107" s="8" t="n">
        <f aca="false">IF(D107&gt;0,F107/D107,0)</f>
        <v>0</v>
      </c>
      <c r="H107" s="5" t="n">
        <f aca="false">IF(E107&gt;0,D107/E107,0)</f>
        <v>0</v>
      </c>
      <c r="I107" s="29" t="n">
        <v>0.024390243902439</v>
      </c>
      <c r="J107" s="21" t="n">
        <v>0.853658536585366</v>
      </c>
      <c r="K107" s="21" t="n">
        <v>0.142857142857143</v>
      </c>
      <c r="L107" s="4" t="str">
        <f aca="false">IF(D107&lt;300,"Not enough spend to judge",IF(G107&gt;='Read Me &amp; Markers'!$B$20,"Winner signal",IF(G107&gt;=1,"Breakeven","Losing")))</f>
        <v>Not enough spend to judge</v>
      </c>
    </row>
    <row r="108" customFormat="false" ht="15" hidden="false" customHeight="false" outlineLevel="0" collapsed="false">
      <c r="A108" s="4" t="s">
        <v>3390</v>
      </c>
      <c r="B108" s="4" t="n">
        <v>1</v>
      </c>
      <c r="C108" s="4" t="n">
        <v>1</v>
      </c>
      <c r="D108" s="5" t="n">
        <v>3.05</v>
      </c>
      <c r="E108" s="7" t="n">
        <v>0</v>
      </c>
      <c r="F108" s="5" t="n">
        <v>0</v>
      </c>
      <c r="G108" s="8" t="n">
        <f aca="false">IF(D108&gt;0,F108/D108,0)</f>
        <v>0</v>
      </c>
      <c r="H108" s="5" t="n">
        <f aca="false">IF(E108&gt;0,D108/E108,0)</f>
        <v>0</v>
      </c>
      <c r="I108" s="29" t="n">
        <v>0.0208333333333333</v>
      </c>
      <c r="J108" s="21" t="n">
        <v>0</v>
      </c>
      <c r="K108" s="21" t="n">
        <v>0</v>
      </c>
      <c r="L108" s="4" t="str">
        <f aca="false">IF(D108&lt;300,"Not enough spend to judge",IF(G108&gt;='Read Me &amp; Markers'!$B$20,"Winner signal",IF(G108&gt;=1,"Breakeven","Losing")))</f>
        <v>Not enough spend to judge</v>
      </c>
    </row>
    <row r="109" customFormat="false" ht="15" hidden="false" customHeight="false" outlineLevel="0" collapsed="false">
      <c r="A109" s="4" t="s">
        <v>3391</v>
      </c>
      <c r="B109" s="4" t="n">
        <v>1</v>
      </c>
      <c r="C109" s="4" t="n">
        <v>1</v>
      </c>
      <c r="D109" s="5" t="n">
        <v>2.74</v>
      </c>
      <c r="E109" s="7" t="n">
        <v>0</v>
      </c>
      <c r="F109" s="5" t="n">
        <v>0</v>
      </c>
      <c r="G109" s="8" t="n">
        <f aca="false">IF(D109&gt;0,F109/D109,0)</f>
        <v>0</v>
      </c>
      <c r="H109" s="5" t="n">
        <f aca="false">IF(E109&gt;0,D109/E109,0)</f>
        <v>0</v>
      </c>
      <c r="I109" s="29" t="n">
        <v>0.0909090909090909</v>
      </c>
      <c r="J109" s="21" t="n">
        <v>0.954545454545455</v>
      </c>
      <c r="K109" s="21" t="n">
        <v>0.285714285714286</v>
      </c>
      <c r="L109" s="4" t="str">
        <f aca="false">IF(D109&lt;300,"Not enough spend to judge",IF(G109&gt;='Read Me &amp; Markers'!$B$20,"Winner signal",IF(G109&gt;=1,"Breakeven","Losing")))</f>
        <v>Not enough spend to judge</v>
      </c>
    </row>
    <row r="110" customFormat="false" ht="15" hidden="false" customHeight="false" outlineLevel="0" collapsed="false">
      <c r="A110" s="4" t="s">
        <v>3392</v>
      </c>
      <c r="B110" s="4" t="n">
        <v>1</v>
      </c>
      <c r="C110" s="4" t="n">
        <v>1</v>
      </c>
      <c r="D110" s="5" t="n">
        <v>2.68</v>
      </c>
      <c r="E110" s="7" t="n">
        <v>0</v>
      </c>
      <c r="F110" s="5" t="n">
        <v>0</v>
      </c>
      <c r="G110" s="8" t="n">
        <f aca="false">IF(D110&gt;0,F110/D110,0)</f>
        <v>0</v>
      </c>
      <c r="H110" s="5" t="n">
        <f aca="false">IF(E110&gt;0,D110/E110,0)</f>
        <v>0</v>
      </c>
      <c r="I110" s="29" t="n">
        <v>0</v>
      </c>
      <c r="J110" s="21" t="n">
        <v>0</v>
      </c>
      <c r="K110" s="21" t="n">
        <v>0</v>
      </c>
      <c r="L110" s="4" t="str">
        <f aca="false">IF(D110&lt;300,"Not enough spend to judge",IF(G110&gt;='Read Me &amp; Markers'!$B$20,"Winner signal",IF(G110&gt;=1,"Breakeven","Losing")))</f>
        <v>Not enough spend to judge</v>
      </c>
    </row>
    <row r="111" customFormat="false" ht="15" hidden="false" customHeight="false" outlineLevel="0" collapsed="false">
      <c r="A111" s="4" t="s">
        <v>3393</v>
      </c>
      <c r="B111" s="4" t="n">
        <v>1</v>
      </c>
      <c r="C111" s="4" t="n">
        <v>1</v>
      </c>
      <c r="D111" s="5" t="n">
        <v>2.57</v>
      </c>
      <c r="E111" s="7" t="n">
        <v>0</v>
      </c>
      <c r="F111" s="5" t="n">
        <v>0</v>
      </c>
      <c r="G111" s="8" t="n">
        <f aca="false">IF(D111&gt;0,F111/D111,0)</f>
        <v>0</v>
      </c>
      <c r="H111" s="5" t="n">
        <f aca="false">IF(E111&gt;0,D111/E111,0)</f>
        <v>0</v>
      </c>
      <c r="I111" s="29" t="n">
        <v>0</v>
      </c>
      <c r="J111" s="21" t="n">
        <v>0.032258064516129</v>
      </c>
      <c r="K111" s="21" t="n">
        <v>0</v>
      </c>
      <c r="L111" s="4" t="str">
        <f aca="false">IF(D111&lt;300,"Not enough spend to judge",IF(G111&gt;='Read Me &amp; Markers'!$B$20,"Winner signal",IF(G111&gt;=1,"Breakeven","Losing")))</f>
        <v>Not enough spend to judge</v>
      </c>
    </row>
    <row r="112" customFormat="false" ht="15" hidden="false" customHeight="false" outlineLevel="0" collapsed="false">
      <c r="A112" s="4" t="s">
        <v>3394</v>
      </c>
      <c r="B112" s="4" t="n">
        <v>1</v>
      </c>
      <c r="C112" s="4" t="n">
        <v>1</v>
      </c>
      <c r="D112" s="5" t="n">
        <v>2.56</v>
      </c>
      <c r="E112" s="7" t="n">
        <v>0</v>
      </c>
      <c r="F112" s="5" t="n">
        <v>0</v>
      </c>
      <c r="G112" s="8" t="n">
        <f aca="false">IF(D112&gt;0,F112/D112,0)</f>
        <v>0</v>
      </c>
      <c r="H112" s="5" t="n">
        <f aca="false">IF(E112&gt;0,D112/E112,0)</f>
        <v>0</v>
      </c>
      <c r="I112" s="29" t="n">
        <v>0</v>
      </c>
      <c r="J112" s="21" t="n">
        <v>1</v>
      </c>
      <c r="K112" s="21" t="n">
        <v>0.111111111111111</v>
      </c>
      <c r="L112" s="4" t="str">
        <f aca="false">IF(D112&lt;300,"Not enough spend to judge",IF(G112&gt;='Read Me &amp; Markers'!$B$20,"Winner signal",IF(G112&gt;=1,"Breakeven","Losing")))</f>
        <v>Not enough spend to judge</v>
      </c>
    </row>
    <row r="113" customFormat="false" ht="15" hidden="false" customHeight="false" outlineLevel="0" collapsed="false">
      <c r="A113" s="4" t="s">
        <v>3395</v>
      </c>
      <c r="B113" s="4" t="n">
        <v>1</v>
      </c>
      <c r="C113" s="4" t="n">
        <v>1</v>
      </c>
      <c r="D113" s="5" t="n">
        <v>2.44</v>
      </c>
      <c r="E113" s="7" t="n">
        <v>0</v>
      </c>
      <c r="F113" s="5" t="n">
        <v>0</v>
      </c>
      <c r="G113" s="8" t="n">
        <f aca="false">IF(D113&gt;0,F113/D113,0)</f>
        <v>0</v>
      </c>
      <c r="H113" s="5" t="n">
        <f aca="false">IF(E113&gt;0,D113/E113,0)</f>
        <v>0</v>
      </c>
      <c r="I113" s="29" t="n">
        <v>0</v>
      </c>
      <c r="J113" s="21" t="n">
        <v>0.863636363636364</v>
      </c>
      <c r="K113" s="21" t="n">
        <v>0.157894736842105</v>
      </c>
      <c r="L113" s="4" t="str">
        <f aca="false">IF(D113&lt;300,"Not enough spend to judge",IF(G113&gt;='Read Me &amp; Markers'!$B$20,"Winner signal",IF(G113&gt;=1,"Breakeven","Losing")))</f>
        <v>Not enough spend to judge</v>
      </c>
    </row>
    <row r="114" customFormat="false" ht="15" hidden="false" customHeight="false" outlineLevel="0" collapsed="false">
      <c r="A114" s="4" t="s">
        <v>3396</v>
      </c>
      <c r="B114" s="4" t="n">
        <v>1</v>
      </c>
      <c r="C114" s="4" t="n">
        <v>1</v>
      </c>
      <c r="D114" s="5" t="n">
        <v>2.38</v>
      </c>
      <c r="E114" s="7" t="n">
        <v>0</v>
      </c>
      <c r="F114" s="5" t="n">
        <v>0</v>
      </c>
      <c r="G114" s="8" t="n">
        <f aca="false">IF(D114&gt;0,F114/D114,0)</f>
        <v>0</v>
      </c>
      <c r="H114" s="5" t="n">
        <f aca="false">IF(E114&gt;0,D114/E114,0)</f>
        <v>0</v>
      </c>
      <c r="I114" s="29" t="n">
        <v>0</v>
      </c>
      <c r="J114" s="21" t="n">
        <v>0.909090909090909</v>
      </c>
      <c r="K114" s="21" t="n">
        <v>0.2</v>
      </c>
      <c r="L114" s="4" t="str">
        <f aca="false">IF(D114&lt;300,"Not enough spend to judge",IF(G114&gt;='Read Me &amp; Markers'!$B$20,"Winner signal",IF(G114&gt;=1,"Breakeven","Losing")))</f>
        <v>Not enough spend to judge</v>
      </c>
    </row>
    <row r="115" customFormat="false" ht="15" hidden="false" customHeight="false" outlineLevel="0" collapsed="false">
      <c r="A115" s="4" t="s">
        <v>3397</v>
      </c>
      <c r="B115" s="4" t="n">
        <v>1</v>
      </c>
      <c r="C115" s="4" t="n">
        <v>1</v>
      </c>
      <c r="D115" s="5" t="n">
        <v>2.33</v>
      </c>
      <c r="E115" s="7" t="n">
        <v>0</v>
      </c>
      <c r="F115" s="5" t="n">
        <v>0</v>
      </c>
      <c r="G115" s="8" t="n">
        <f aca="false">IF(D115&gt;0,F115/D115,0)</f>
        <v>0</v>
      </c>
      <c r="H115" s="5" t="n">
        <f aca="false">IF(E115&gt;0,D115/E115,0)</f>
        <v>0</v>
      </c>
      <c r="I115" s="29" t="n">
        <v>0.037037037037037</v>
      </c>
      <c r="J115" s="21" t="n">
        <v>0.888888888888889</v>
      </c>
      <c r="K115" s="21" t="n">
        <v>0.208333333333333</v>
      </c>
      <c r="L115" s="4" t="str">
        <f aca="false">IF(D115&lt;300,"Not enough spend to judge",IF(G115&gt;='Read Me &amp; Markers'!$B$20,"Winner signal",IF(G115&gt;=1,"Breakeven","Losing")))</f>
        <v>Not enough spend to judge</v>
      </c>
    </row>
    <row r="116" customFormat="false" ht="15" hidden="false" customHeight="false" outlineLevel="0" collapsed="false">
      <c r="A116" s="4" t="s">
        <v>3398</v>
      </c>
      <c r="B116" s="4" t="n">
        <v>1</v>
      </c>
      <c r="C116" s="4" t="n">
        <v>1</v>
      </c>
      <c r="D116" s="5" t="n">
        <v>2.33</v>
      </c>
      <c r="E116" s="7" t="n">
        <v>0</v>
      </c>
      <c r="F116" s="5" t="n">
        <v>0</v>
      </c>
      <c r="G116" s="8" t="n">
        <f aca="false">IF(D116&gt;0,F116/D116,0)</f>
        <v>0</v>
      </c>
      <c r="H116" s="5" t="n">
        <f aca="false">IF(E116&gt;0,D116/E116,0)</f>
        <v>0</v>
      </c>
      <c r="I116" s="29" t="n">
        <v>0.00657894736842105</v>
      </c>
      <c r="J116" s="21" t="n">
        <v>0.0131578947368421</v>
      </c>
      <c r="K116" s="21" t="n">
        <v>0</v>
      </c>
      <c r="L116" s="4" t="str">
        <f aca="false">IF(D116&lt;300,"Not enough spend to judge",IF(G116&gt;='Read Me &amp; Markers'!$B$20,"Winner signal",IF(G116&gt;=1,"Breakeven","Losing")))</f>
        <v>Not enough spend to judge</v>
      </c>
    </row>
    <row r="117" customFormat="false" ht="15" hidden="false" customHeight="false" outlineLevel="0" collapsed="false">
      <c r="A117" s="4" t="s">
        <v>3399</v>
      </c>
      <c r="B117" s="4" t="n">
        <v>1</v>
      </c>
      <c r="C117" s="4" t="n">
        <v>1</v>
      </c>
      <c r="D117" s="5" t="n">
        <v>2.33</v>
      </c>
      <c r="E117" s="7" t="n">
        <v>0</v>
      </c>
      <c r="F117" s="5" t="n">
        <v>0</v>
      </c>
      <c r="G117" s="8" t="n">
        <f aca="false">IF(D117&gt;0,F117/D117,0)</f>
        <v>0</v>
      </c>
      <c r="H117" s="5" t="n">
        <f aca="false">IF(E117&gt;0,D117/E117,0)</f>
        <v>0</v>
      </c>
      <c r="I117" s="29" t="n">
        <v>0</v>
      </c>
      <c r="J117" s="21" t="n">
        <v>0</v>
      </c>
      <c r="K117" s="21" t="n">
        <v>0</v>
      </c>
      <c r="L117" s="4" t="str">
        <f aca="false">IF(D117&lt;300,"Not enough spend to judge",IF(G117&gt;='Read Me &amp; Markers'!$B$20,"Winner signal",IF(G117&gt;=1,"Breakeven","Losing")))</f>
        <v>Not enough spend to judge</v>
      </c>
    </row>
    <row r="118" customFormat="false" ht="15" hidden="false" customHeight="false" outlineLevel="0" collapsed="false">
      <c r="A118" s="4" t="s">
        <v>3400</v>
      </c>
      <c r="B118" s="4" t="n">
        <v>1</v>
      </c>
      <c r="C118" s="4" t="n">
        <v>1</v>
      </c>
      <c r="D118" s="5" t="n">
        <v>2.14</v>
      </c>
      <c r="E118" s="7" t="n">
        <v>0</v>
      </c>
      <c r="F118" s="5" t="n">
        <v>0</v>
      </c>
      <c r="G118" s="8" t="n">
        <f aca="false">IF(D118&gt;0,F118/D118,0)</f>
        <v>0</v>
      </c>
      <c r="H118" s="5" t="n">
        <f aca="false">IF(E118&gt;0,D118/E118,0)</f>
        <v>0</v>
      </c>
      <c r="I118" s="29" t="n">
        <v>0</v>
      </c>
      <c r="J118" s="21" t="n">
        <v>0.95</v>
      </c>
      <c r="K118" s="21" t="n">
        <v>0.157894736842105</v>
      </c>
      <c r="L118" s="4" t="str">
        <f aca="false">IF(D118&lt;300,"Not enough spend to judge",IF(G118&gt;='Read Me &amp; Markers'!$B$20,"Winner signal",IF(G118&gt;=1,"Breakeven","Losing")))</f>
        <v>Not enough spend to judge</v>
      </c>
    </row>
    <row r="119" customFormat="false" ht="15" hidden="false" customHeight="false" outlineLevel="0" collapsed="false">
      <c r="A119" s="4" t="s">
        <v>3401</v>
      </c>
      <c r="B119" s="4" t="n">
        <v>1</v>
      </c>
      <c r="C119" s="4" t="n">
        <v>1</v>
      </c>
      <c r="D119" s="5" t="n">
        <v>2.08</v>
      </c>
      <c r="E119" s="7" t="n">
        <v>0</v>
      </c>
      <c r="F119" s="5" t="n">
        <v>0</v>
      </c>
      <c r="G119" s="8" t="n">
        <f aca="false">IF(D119&gt;0,F119/D119,0)</f>
        <v>0</v>
      </c>
      <c r="H119" s="5" t="n">
        <f aca="false">IF(E119&gt;0,D119/E119,0)</f>
        <v>0</v>
      </c>
      <c r="I119" s="29" t="n">
        <v>0.0555555555555556</v>
      </c>
      <c r="J119" s="21" t="n">
        <v>0.944444444444444</v>
      </c>
      <c r="K119" s="21" t="n">
        <v>0.176470588235294</v>
      </c>
      <c r="L119" s="4" t="str">
        <f aca="false">IF(D119&lt;300,"Not enough spend to judge",IF(G119&gt;='Read Me &amp; Markers'!$B$20,"Winner signal",IF(G119&gt;=1,"Breakeven","Losing")))</f>
        <v>Not enough spend to judge</v>
      </c>
    </row>
    <row r="120" customFormat="false" ht="15" hidden="false" customHeight="false" outlineLevel="0" collapsed="false">
      <c r="A120" s="4" t="s">
        <v>3402</v>
      </c>
      <c r="B120" s="4" t="n">
        <v>1</v>
      </c>
      <c r="C120" s="4" t="n">
        <v>1</v>
      </c>
      <c r="D120" s="5" t="n">
        <v>2.01</v>
      </c>
      <c r="E120" s="7" t="n">
        <v>0</v>
      </c>
      <c r="F120" s="5" t="n">
        <v>0</v>
      </c>
      <c r="G120" s="8" t="n">
        <f aca="false">IF(D120&gt;0,F120/D120,0)</f>
        <v>0</v>
      </c>
      <c r="H120" s="5" t="n">
        <f aca="false">IF(E120&gt;0,D120/E120,0)</f>
        <v>0</v>
      </c>
      <c r="I120" s="29" t="n">
        <v>0</v>
      </c>
      <c r="J120" s="21" t="n">
        <v>0.0232558139534884</v>
      </c>
      <c r="K120" s="21" t="n">
        <v>0</v>
      </c>
      <c r="L120" s="4" t="str">
        <f aca="false">IF(D120&lt;300,"Not enough spend to judge",IF(G120&gt;='Read Me &amp; Markers'!$B$20,"Winner signal",IF(G120&gt;=1,"Breakeven","Losing")))</f>
        <v>Not enough spend to judge</v>
      </c>
    </row>
    <row r="121" customFormat="false" ht="15" hidden="false" customHeight="false" outlineLevel="0" collapsed="false">
      <c r="A121" s="4" t="s">
        <v>3403</v>
      </c>
      <c r="B121" s="4" t="n">
        <v>1</v>
      </c>
      <c r="C121" s="4" t="n">
        <v>1</v>
      </c>
      <c r="D121" s="5" t="n">
        <v>1.99</v>
      </c>
      <c r="E121" s="7" t="n">
        <v>0</v>
      </c>
      <c r="F121" s="5" t="n">
        <v>0</v>
      </c>
      <c r="G121" s="8" t="n">
        <f aca="false">IF(D121&gt;0,F121/D121,0)</f>
        <v>0</v>
      </c>
      <c r="H121" s="5" t="n">
        <f aca="false">IF(E121&gt;0,D121/E121,0)</f>
        <v>0</v>
      </c>
      <c r="I121" s="29" t="n">
        <v>0</v>
      </c>
      <c r="J121" s="21" t="n">
        <v>0</v>
      </c>
      <c r="K121" s="21" t="n">
        <v>0</v>
      </c>
      <c r="L121" s="4" t="str">
        <f aca="false">IF(D121&lt;300,"Not enough spend to judge",IF(G121&gt;='Read Me &amp; Markers'!$B$20,"Winner signal",IF(G121&gt;=1,"Breakeven","Losing")))</f>
        <v>Not enough spend to judge</v>
      </c>
    </row>
    <row r="122" customFormat="false" ht="15" hidden="false" customHeight="false" outlineLevel="0" collapsed="false">
      <c r="A122" s="4" t="s">
        <v>3404</v>
      </c>
      <c r="B122" s="4" t="n">
        <v>1</v>
      </c>
      <c r="C122" s="4" t="n">
        <v>1</v>
      </c>
      <c r="D122" s="5" t="n">
        <v>1.97</v>
      </c>
      <c r="E122" s="7" t="n">
        <v>0</v>
      </c>
      <c r="F122" s="5" t="n">
        <v>0</v>
      </c>
      <c r="G122" s="8" t="n">
        <f aca="false">IF(D122&gt;0,F122/D122,0)</f>
        <v>0</v>
      </c>
      <c r="H122" s="5" t="n">
        <f aca="false">IF(E122&gt;0,D122/E122,0)</f>
        <v>0</v>
      </c>
      <c r="I122" s="29" t="n">
        <v>0</v>
      </c>
      <c r="J122" s="21" t="n">
        <v>0.875</v>
      </c>
      <c r="K122" s="21" t="n">
        <v>0.285714285714286</v>
      </c>
      <c r="L122" s="4" t="str">
        <f aca="false">IF(D122&lt;300,"Not enough spend to judge",IF(G122&gt;='Read Me &amp; Markers'!$B$20,"Winner signal",IF(G122&gt;=1,"Breakeven","Losing")))</f>
        <v>Not enough spend to judge</v>
      </c>
    </row>
    <row r="123" customFormat="false" ht="15" hidden="false" customHeight="false" outlineLevel="0" collapsed="false">
      <c r="A123" s="4" t="s">
        <v>3405</v>
      </c>
      <c r="B123" s="4" t="n">
        <v>1</v>
      </c>
      <c r="C123" s="4" t="n">
        <v>1</v>
      </c>
      <c r="D123" s="5" t="n">
        <v>1.89</v>
      </c>
      <c r="E123" s="7" t="n">
        <v>0</v>
      </c>
      <c r="F123" s="5" t="n">
        <v>0</v>
      </c>
      <c r="G123" s="8" t="n">
        <f aca="false">IF(D123&gt;0,F123/D123,0)</f>
        <v>0</v>
      </c>
      <c r="H123" s="5" t="n">
        <f aca="false">IF(E123&gt;0,D123/E123,0)</f>
        <v>0</v>
      </c>
      <c r="I123" s="29" t="n">
        <v>0</v>
      </c>
      <c r="J123" s="21" t="n">
        <v>0.916666666666667</v>
      </c>
      <c r="K123" s="21" t="n">
        <v>0.363636363636364</v>
      </c>
      <c r="L123" s="4" t="str">
        <f aca="false">IF(D123&lt;300,"Not enough spend to judge",IF(G123&gt;='Read Me &amp; Markers'!$B$20,"Winner signal",IF(G123&gt;=1,"Breakeven","Losing")))</f>
        <v>Not enough spend to judge</v>
      </c>
    </row>
    <row r="124" customFormat="false" ht="15" hidden="false" customHeight="false" outlineLevel="0" collapsed="false">
      <c r="A124" s="4" t="s">
        <v>3406</v>
      </c>
      <c r="B124" s="4" t="n">
        <v>1</v>
      </c>
      <c r="C124" s="4" t="n">
        <v>0</v>
      </c>
      <c r="D124" s="5" t="n">
        <v>1.86</v>
      </c>
      <c r="E124" s="7" t="n">
        <v>0</v>
      </c>
      <c r="F124" s="5" t="n">
        <v>0</v>
      </c>
      <c r="G124" s="8" t="n">
        <f aca="false">IF(D124&gt;0,F124/D124,0)</f>
        <v>0</v>
      </c>
      <c r="H124" s="5" t="n">
        <f aca="false">IF(E124&gt;0,D124/E124,0)</f>
        <v>0</v>
      </c>
      <c r="I124" s="29" t="n">
        <v>0</v>
      </c>
      <c r="J124" s="21" t="n">
        <v>0.928571428571429</v>
      </c>
      <c r="K124" s="21" t="n">
        <v>0.230769230769231</v>
      </c>
      <c r="L124" s="4" t="str">
        <f aca="false">IF(D124&lt;300,"Not enough spend to judge",IF(G124&gt;='Read Me &amp; Markers'!$B$20,"Winner signal",IF(G124&gt;=1,"Breakeven","Losing")))</f>
        <v>Not enough spend to judge</v>
      </c>
    </row>
    <row r="125" customFormat="false" ht="15" hidden="false" customHeight="false" outlineLevel="0" collapsed="false">
      <c r="A125" s="4" t="s">
        <v>3407</v>
      </c>
      <c r="B125" s="4" t="n">
        <v>1</v>
      </c>
      <c r="C125" s="4" t="n">
        <v>1</v>
      </c>
      <c r="D125" s="5" t="n">
        <v>1.82</v>
      </c>
      <c r="E125" s="7" t="n">
        <v>0</v>
      </c>
      <c r="F125" s="5" t="n">
        <v>0</v>
      </c>
      <c r="G125" s="8" t="n">
        <f aca="false">IF(D125&gt;0,F125/D125,0)</f>
        <v>0</v>
      </c>
      <c r="H125" s="5" t="n">
        <f aca="false">IF(E125&gt;0,D125/E125,0)</f>
        <v>0</v>
      </c>
      <c r="I125" s="29" t="n">
        <v>0.0153846153846154</v>
      </c>
      <c r="J125" s="21" t="n">
        <v>0.953846153846154</v>
      </c>
      <c r="K125" s="21" t="n">
        <v>0.0967741935483871</v>
      </c>
      <c r="L125" s="4" t="str">
        <f aca="false">IF(D125&lt;300,"Not enough spend to judge",IF(G125&gt;='Read Me &amp; Markers'!$B$20,"Winner signal",IF(G125&gt;=1,"Breakeven","Losing")))</f>
        <v>Not enough spend to judge</v>
      </c>
    </row>
    <row r="127" customFormat="false" ht="15" hidden="false" customHeight="false" outlineLevel="0" collapsed="false">
      <c r="A127" s="2" t="s">
        <v>3408</v>
      </c>
    </row>
  </sheetData>
  <autoFilter ref="A1:L1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2026-10-16T14:08:30Z</dcterms:created>
  <dc:creator>openpyxl</dc:creator>
  <dc:description/>
  <dc:language>en-US</dc:language>
  <cp:lastModifiedBy/>
  <dcterms:modified xsi:type="dcterms:W3CDTF">2026-10-16T14:08:30Z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