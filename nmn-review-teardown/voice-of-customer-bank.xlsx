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 Bank" sheetId="1" state="visible" r:id="rId1"/>
    <sheet xmlns:r="http://schemas.openxmlformats.org/officeDocument/2006/relationships" name="Rollups" sheetId="2" state="visible" r:id="rId2"/>
    <sheet xmlns:r="http://schemas.openxmlformats.org/officeDocument/2006/relationships" name="How to use this" sheetId="3" state="visible" r:id="rId3"/>
  </sheets>
  <definedNames>
    <definedName name="_xlnm._FilterDatabase" localSheetId="0" hidden="1">'Quote Bank'!$A$1:$S$190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sz val="10"/>
    </font>
    <font>
      <name val="Arial"/>
      <b val="1"/>
      <color rgb="00FFFFFF"/>
      <sz val="9"/>
    </font>
    <font>
      <name val="Arial"/>
      <i val="1"/>
      <sz val="10"/>
    </font>
    <font>
      <name val="Arial"/>
      <b val="1"/>
      <color rgb="008A8F86"/>
      <sz val="10"/>
    </font>
    <font>
      <name val="Arial"/>
      <b val="1"/>
      <color rgb="002E6B3E"/>
      <sz val="10"/>
    </font>
    <font>
      <name val="Arial"/>
      <b val="1"/>
      <color rgb="002E3D31"/>
      <sz val="13"/>
    </font>
    <font>
      <name val="Arial"/>
      <i val="1"/>
      <color rgb="00777777"/>
      <sz val="9"/>
    </font>
    <font>
      <name val="Arial"/>
      <b val="1"/>
      <sz val="11"/>
    </font>
    <font>
      <name val="Arial"/>
      <b val="1"/>
      <color rgb="002E3D31"/>
      <sz val="15"/>
    </font>
    <font>
      <name val="Arial"/>
      <b val="1"/>
      <color rgb="002E3D31"/>
      <sz val="11"/>
    </font>
  </fonts>
  <fills count="6">
    <fill>
      <patternFill/>
    </fill>
    <fill>
      <patternFill patternType="gray125"/>
    </fill>
    <fill>
      <patternFill patternType="solid">
        <fgColor rgb="002E3D31"/>
      </patternFill>
    </fill>
    <fill>
      <patternFill patternType="solid">
        <fgColor rgb="00F2F2EE"/>
      </patternFill>
    </fill>
    <fill>
      <patternFill patternType="solid">
        <fgColor rgb="00E4EEE6"/>
      </patternFill>
    </fill>
    <fill>
      <patternFill patternType="solid">
        <fgColor rgb="00F7DDD8"/>
      </patternFill>
    </fill>
  </fills>
  <borders count="2">
    <border>
      <left/>
      <right/>
      <top/>
      <bottom/>
      <diagonal/>
    </border>
    <border>
      <left style="thin">
        <color rgb="00D0D4CC"/>
      </left>
      <right style="thin">
        <color rgb="00D0D4CC"/>
      </right>
      <top style="thin">
        <color rgb="00D0D4CC"/>
      </top>
      <bottom style="thin">
        <color rgb="00D0D4CC"/>
      </bottom>
    </border>
  </borders>
  <cellStyleXfs count="1">
    <xf numFmtId="0" fontId="0" fillId="0" borderId="0"/>
  </cellStyleXfs>
  <cellXfs count="21">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horizontal="center" vertical="top"/>
    </xf>
    <xf numFmtId="0" fontId="4" fillId="3" borderId="1" applyAlignment="1" pivotButton="0" quotePrefix="0" xfId="0">
      <alignment horizontal="center" vertical="top"/>
    </xf>
    <xf numFmtId="0" fontId="5" fillId="4" borderId="1" applyAlignment="1" pivotButton="0" quotePrefix="0" xfId="0">
      <alignment horizontal="center" vertical="top"/>
    </xf>
    <xf numFmtId="0" fontId="1" fillId="5" borderId="1" applyAlignment="1" pivotButton="0" quotePrefix="0" xfId="0">
      <alignment vertical="top" wrapText="1"/>
    </xf>
    <xf numFmtId="0" fontId="3" fillId="5" borderId="1" applyAlignment="1" pivotButton="0" quotePrefix="0" xfId="0">
      <alignment vertical="top" wrapText="1"/>
    </xf>
    <xf numFmtId="0" fontId="1" fillId="5" borderId="1" applyAlignment="1" pivotButton="0" quotePrefix="0" xfId="0">
      <alignment horizontal="center" vertical="top"/>
    </xf>
    <xf numFmtId="0" fontId="4" fillId="5" borderId="1" applyAlignment="1" pivotButton="0" quotePrefix="0" xfId="0">
      <alignment horizontal="center" vertical="top"/>
    </xf>
    <xf numFmtId="0" fontId="5" fillId="5" borderId="1" applyAlignment="1" pivotButton="0" quotePrefix="0" xfId="0">
      <alignment horizontal="center" vertical="top"/>
    </xf>
    <xf numFmtId="0" fontId="6" fillId="0" borderId="0" applyAlignment="1" pivotButton="0" quotePrefix="0" xfId="0">
      <alignment vertical="center"/>
    </xf>
    <xf numFmtId="0" fontId="0"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0" fontId="2" fillId="2" borderId="0" applyAlignment="1" pivotButton="0" quotePrefix="0" xfId="0">
      <alignment vertical="center"/>
    </xf>
    <xf numFmtId="0" fontId="1" fillId="0" borderId="0" applyAlignment="1" pivotButton="0" quotePrefix="0" xfId="0">
      <alignment vertical="center"/>
    </xf>
    <xf numFmtId="0" fontId="9" fillId="0" borderId="0" pivotButton="0" quotePrefix="0" xfId="0"/>
    <xf numFmtId="0" fontId="1" fillId="0" borderId="0"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7" customWidth="1" min="3" max="3"/>
    <col width="26" customWidth="1" min="4" max="4"/>
    <col width="25" customWidth="1" min="5" max="5"/>
    <col width="19" customWidth="1" min="6" max="6"/>
    <col width="11" customWidth="1" min="7" max="7"/>
    <col width="27" customWidth="1" min="8" max="8"/>
    <col width="29" customWidth="1" min="9" max="9"/>
    <col width="22" customWidth="1" min="10" max="10"/>
    <col width="10" customWidth="1" min="11" max="11"/>
    <col width="9" customWidth="1" min="12" max="12"/>
    <col width="11" customWidth="1" min="13" max="13"/>
    <col width="11" customWidth="1" min="14" max="14"/>
    <col width="8" customWidth="1" min="15" max="15"/>
    <col width="9" customWidth="1" min="16" max="16"/>
    <col width="8" customWidth="1" min="17" max="17"/>
    <col width="10" customWidth="1" min="18" max="18"/>
    <col width="22" customWidth="1" min="19" max="19"/>
  </cols>
  <sheetData>
    <row r="1" ht="34" customHeight="1">
      <c r="A1" s="1" t="inlineStr">
        <is>
          <t>ID</t>
        </is>
      </c>
      <c r="B1" s="1" t="inlineStr">
        <is>
          <t>Customer's own words</t>
        </is>
      </c>
      <c r="C1" s="1" t="inlineStr">
        <is>
          <t>Words</t>
        </is>
      </c>
      <c r="D1" s="1" t="inlineStr">
        <is>
          <t>Brand / SKU</t>
        </is>
      </c>
      <c r="E1" s="1" t="inlineStr">
        <is>
          <t>Source</t>
        </is>
      </c>
      <c r="F1" s="1" t="inlineStr">
        <is>
          <t>Provenance</t>
        </is>
      </c>
      <c r="G1" s="1" t="inlineStr">
        <is>
          <t>Emotion</t>
        </is>
      </c>
      <c r="H1" s="1" t="inlineStr">
        <is>
          <t>Job to be done</t>
        </is>
      </c>
      <c r="I1" s="1" t="inlineStr">
        <is>
          <t>Objection or Benefit</t>
        </is>
      </c>
      <c r="J1" s="1" t="inlineStr">
        <is>
          <t>Trigger moment</t>
        </is>
      </c>
      <c r="K1" s="1" t="inlineStr">
        <is>
          <t>Time/place</t>
        </is>
      </c>
      <c r="L1" s="1" t="inlineStr">
        <is>
          <t>Physical</t>
        </is>
      </c>
      <c r="M1" s="1" t="inlineStr">
        <is>
          <t>Former self</t>
        </is>
      </c>
      <c r="N1" s="1" t="inlineStr">
        <is>
          <t>Admission</t>
        </is>
      </c>
      <c r="O1" s="1" t="inlineStr">
        <is>
          <t>Plain</t>
        </is>
      </c>
      <c r="P1" s="1" t="inlineStr">
        <is>
          <t>&lt;12 words</t>
        </is>
      </c>
      <c r="Q1" s="1" t="inlineStr">
        <is>
          <t>Marker score</t>
        </is>
      </c>
      <c r="R1" s="1" t="inlineStr">
        <is>
          <t>Verdict</t>
        </is>
      </c>
      <c r="S1" s="1" t="inlineStr">
        <is>
          <t>Angle</t>
        </is>
      </c>
    </row>
    <row r="2">
      <c r="A2" s="2" t="inlineStr">
        <is>
          <t>Q001</t>
        </is>
      </c>
      <c r="B2" s="3" t="inlineStr">
        <is>
          <t>After researching the ingredients and company behind this supplement I feel confident taking it.</t>
        </is>
      </c>
      <c r="C2" s="4">
        <f>IF(LEN(TRIM(B2))=0,0,LEN(TRIM(B2))-LEN(SUBSTITUTE(TRIM(B2)," ",""))+1)</f>
        <v/>
      </c>
      <c r="D2" s="2" t="inlineStr">
        <is>
          <t>ProHealth NMN Pro (Uthever)</t>
        </is>
      </c>
      <c r="E2" s="2" t="inlineStr">
        <is>
          <t>Mark B · 4★ · Jul 2026 · Vine</t>
        </is>
      </c>
      <c r="F2" s="2" t="inlineStr">
        <is>
          <t>Verbatim</t>
        </is>
      </c>
      <c r="G2" s="2" t="inlineStr">
        <is>
          <t>Pride</t>
        </is>
      </c>
      <c r="H2" s="2" t="inlineStr">
        <is>
          <t>Be the person who did the research</t>
        </is>
      </c>
      <c r="I2" s="2" t="inlineStr">
        <is>
          <t>BENEFIT · Credentialed brand</t>
        </is>
      </c>
      <c r="J2" s="2" t="inlineStr">
        <is>
          <t>Pre-purchase research</t>
        </is>
      </c>
      <c r="K2" s="4" t="inlineStr"/>
      <c r="L2" s="4" t="inlineStr"/>
      <c r="M2" s="4" t="inlineStr"/>
      <c r="N2" s="4" t="inlineStr"/>
      <c r="O2" s="4" t="inlineStr">
        <is>
          <t>Y</t>
        </is>
      </c>
      <c r="P2" s="4">
        <f>IF(C2&lt;12,"Y","")</f>
        <v/>
      </c>
      <c r="Q2" s="4">
        <f>COUNTIF(K2:P2,"Y")</f>
        <v/>
      </c>
      <c r="R2" s="5">
        <f>IF(Q2&gt;=3,"USE","CONTEXT")</f>
        <v/>
      </c>
      <c r="S2" s="2" t="inlineStr">
        <is>
          <t>A7 Honest science</t>
        </is>
      </c>
    </row>
    <row r="3">
      <c r="A3" s="2" t="inlineStr">
        <is>
          <t>Q002</t>
        </is>
      </c>
      <c r="B3" s="3" t="inlineStr">
        <is>
          <t>I also looked at the broader science to see if NMN is just hype.</t>
        </is>
      </c>
      <c r="C3" s="4">
        <f>IF(LEN(TRIM(B3))=0,0,LEN(TRIM(B3))-LEN(SUBSTITUTE(TRIM(B3)," ",""))+1)</f>
        <v/>
      </c>
      <c r="D3" s="2" t="inlineStr">
        <is>
          <t>ProHealth NMN Pro (Uthever)</t>
        </is>
      </c>
      <c r="E3" s="2" t="inlineStr">
        <is>
          <t>Mark B · 4★ · Jul 2026 · Vine</t>
        </is>
      </c>
      <c r="F3" s="2" t="inlineStr">
        <is>
          <t>Verbatim</t>
        </is>
      </c>
      <c r="G3" s="2" t="inlineStr">
        <is>
          <t>Fear</t>
        </is>
      </c>
      <c r="H3" s="2" t="inlineStr">
        <is>
          <t>Verify it's real and safe</t>
        </is>
      </c>
      <c r="I3" s="2" t="inlineStr">
        <is>
          <t>OBJECTION · Category is hype</t>
        </is>
      </c>
      <c r="J3" s="2" t="inlineStr">
        <is>
          <t>Pre-purchase research</t>
        </is>
      </c>
      <c r="K3" s="4" t="inlineStr"/>
      <c r="L3" s="4" t="inlineStr"/>
      <c r="M3" s="4" t="inlineStr"/>
      <c r="N3" s="4" t="inlineStr">
        <is>
          <t>Y</t>
        </is>
      </c>
      <c r="O3" s="4" t="inlineStr">
        <is>
          <t>Y</t>
        </is>
      </c>
      <c r="P3" s="4">
        <f>IF(C3&lt;12,"Y","")</f>
        <v/>
      </c>
      <c r="Q3" s="4">
        <f>COUNTIF(K3:P3,"Y")</f>
        <v/>
      </c>
      <c r="R3" s="5">
        <f>IF(Q3&gt;=3,"USE","CONTEXT")</f>
        <v/>
      </c>
      <c r="S3" s="2" t="inlineStr">
        <is>
          <t>A7 Honest science</t>
        </is>
      </c>
    </row>
    <row r="4">
      <c r="A4" s="2" t="inlineStr">
        <is>
          <t>Q003</t>
        </is>
      </c>
      <c r="B4" s="3" t="inlineStr">
        <is>
          <t>The honest answer is that the science is real but still emerging.</t>
        </is>
      </c>
      <c r="C4" s="4">
        <f>IF(LEN(TRIM(B4))=0,0,LEN(TRIM(B4))-LEN(SUBSTITUTE(TRIM(B4)," ",""))+1)</f>
        <v/>
      </c>
      <c r="D4" s="2" t="inlineStr">
        <is>
          <t>ProHealth NMN Pro (Uthever)</t>
        </is>
      </c>
      <c r="E4" s="2" t="inlineStr">
        <is>
          <t>Mark B · 4★ · Jul 2026 · Vine</t>
        </is>
      </c>
      <c r="F4" s="2" t="inlineStr">
        <is>
          <t>Verbatim</t>
        </is>
      </c>
      <c r="G4" s="2" t="inlineStr">
        <is>
          <t>Hope</t>
        </is>
      </c>
      <c r="H4" s="2" t="inlineStr">
        <is>
          <t>Verify it's real and safe</t>
        </is>
      </c>
      <c r="I4" s="2" t="inlineStr">
        <is>
          <t>OBJECTION · Evidence immature</t>
        </is>
      </c>
      <c r="J4" s="2" t="inlineStr">
        <is>
          <t>Pre-purchase research</t>
        </is>
      </c>
      <c r="K4" s="4" t="inlineStr"/>
      <c r="L4" s="4" t="inlineStr"/>
      <c r="M4" s="4" t="inlineStr"/>
      <c r="N4" s="4" t="inlineStr"/>
      <c r="O4" s="4" t="inlineStr">
        <is>
          <t>Y</t>
        </is>
      </c>
      <c r="P4" s="4">
        <f>IF(C4&lt;12,"Y","")</f>
        <v/>
      </c>
      <c r="Q4" s="4">
        <f>COUNTIF(K4:P4,"Y")</f>
        <v/>
      </c>
      <c r="R4" s="5">
        <f>IF(Q4&gt;=3,"USE","CONTEXT")</f>
        <v/>
      </c>
      <c r="S4" s="2" t="inlineStr">
        <is>
          <t>A7 Honest science</t>
        </is>
      </c>
    </row>
    <row r="5">
      <c r="A5" s="2" t="inlineStr">
        <is>
          <t>Q004</t>
        </is>
      </c>
      <c r="B5" s="3" t="inlineStr">
        <is>
          <t>It is not snake oil but the anti aging claims are ahead of the evidence.</t>
        </is>
      </c>
      <c r="C5" s="4">
        <f>IF(LEN(TRIM(B5))=0,0,LEN(TRIM(B5))-LEN(SUBSTITUTE(TRIM(B5)," ",""))+1)</f>
        <v/>
      </c>
      <c r="D5" s="2" t="inlineStr">
        <is>
          <t>ProHealth NMN Pro (Uthever)</t>
        </is>
      </c>
      <c r="E5" s="2" t="inlineStr">
        <is>
          <t>Mark B · 4★ · Jul 2026 · Vine</t>
        </is>
      </c>
      <c r="F5" s="2" t="inlineStr">
        <is>
          <t>Verbatim</t>
        </is>
      </c>
      <c r="G5" s="2" t="inlineStr">
        <is>
          <t>Fear</t>
        </is>
      </c>
      <c r="H5" s="2" t="inlineStr">
        <is>
          <t>Verify it's real and safe</t>
        </is>
      </c>
      <c r="I5" s="2" t="inlineStr">
        <is>
          <t>OBJECTION · Marketing overreach</t>
        </is>
      </c>
      <c r="J5" s="2" t="inlineStr">
        <is>
          <t>Comparing brands</t>
        </is>
      </c>
      <c r="K5" s="4" t="inlineStr"/>
      <c r="L5" s="4" t="inlineStr"/>
      <c r="M5" s="4" t="inlineStr"/>
      <c r="N5" s="4" t="inlineStr"/>
      <c r="O5" s="4" t="inlineStr">
        <is>
          <t>Y</t>
        </is>
      </c>
      <c r="P5" s="4">
        <f>IF(C5&lt;12,"Y","")</f>
        <v/>
      </c>
      <c r="Q5" s="4">
        <f>COUNTIF(K5:P5,"Y")</f>
        <v/>
      </c>
      <c r="R5" s="5">
        <f>IF(Q5&gt;=3,"USE","CONTEXT")</f>
        <v/>
      </c>
      <c r="S5" s="2" t="inlineStr">
        <is>
          <t>A7 Honest science</t>
        </is>
      </c>
    </row>
    <row r="6">
      <c r="A6" s="2" t="inlineStr">
        <is>
          <t>Q005</t>
        </is>
      </c>
      <c r="B6" s="3" t="inlineStr">
        <is>
          <t>A 2025 meta analysis found no clear benefit for muscle strength or metabolic markers.</t>
        </is>
      </c>
      <c r="C6" s="4">
        <f>IF(LEN(TRIM(B6))=0,0,LEN(TRIM(B6))-LEN(SUBSTITUTE(TRIM(B6)," ",""))+1)</f>
        <v/>
      </c>
      <c r="D6" s="2" t="inlineStr">
        <is>
          <t>ProHealth NMN Pro (Uthever)</t>
        </is>
      </c>
      <c r="E6" s="2" t="inlineStr">
        <is>
          <t>Mark B · 4★ · Jul 2026 · Vine</t>
        </is>
      </c>
      <c r="F6" s="2" t="inlineStr">
        <is>
          <t>Verbatim</t>
        </is>
      </c>
      <c r="G6" s="2" t="inlineStr">
        <is>
          <t>Fear</t>
        </is>
      </c>
      <c r="H6" s="2" t="inlineStr">
        <is>
          <t>Verify it's real and safe</t>
        </is>
      </c>
      <c r="I6" s="2" t="inlineStr">
        <is>
          <t>OBJECTION · Evidence immature</t>
        </is>
      </c>
      <c r="J6" s="2" t="inlineStr">
        <is>
          <t>Pre-purchase research</t>
        </is>
      </c>
      <c r="K6" s="4" t="inlineStr"/>
      <c r="L6" s="4" t="inlineStr"/>
      <c r="M6" s="4" t="inlineStr"/>
      <c r="N6" s="4" t="inlineStr"/>
      <c r="O6" s="4" t="inlineStr"/>
      <c r="P6" s="4">
        <f>IF(C6&lt;12,"Y","")</f>
        <v/>
      </c>
      <c r="Q6" s="4">
        <f>COUNTIF(K6:P6,"Y")</f>
        <v/>
      </c>
      <c r="R6" s="5">
        <f>IF(Q6&gt;=3,"USE","CONTEXT")</f>
        <v/>
      </c>
      <c r="S6" s="2" t="inlineStr">
        <is>
          <t>A7 Honest science</t>
        </is>
      </c>
    </row>
    <row r="7">
      <c r="A7" s="2" t="inlineStr">
        <is>
          <t>Q006</t>
        </is>
      </c>
      <c r="B7" s="3" t="inlineStr">
        <is>
          <t>The FDA reversed its 2022 ban and now allows NMN as a supplement.</t>
        </is>
      </c>
      <c r="C7" s="4">
        <f>IF(LEN(TRIM(B7))=0,0,LEN(TRIM(B7))-LEN(SUBSTITUTE(TRIM(B7)," ",""))+1)</f>
        <v/>
      </c>
      <c r="D7" s="2" t="inlineStr">
        <is>
          <t>ProHealth NMN Pro (Uthever)</t>
        </is>
      </c>
      <c r="E7" s="2" t="inlineStr">
        <is>
          <t>Mark B · 4★ · Jul 2026 · Vine</t>
        </is>
      </c>
      <c r="F7" s="2" t="inlineStr">
        <is>
          <t>Verbatim</t>
        </is>
      </c>
      <c r="G7" s="2" t="inlineStr">
        <is>
          <t>Relief</t>
        </is>
      </c>
      <c r="H7" s="2" t="inlineStr">
        <is>
          <t>Verify it's real and safe</t>
        </is>
      </c>
      <c r="I7" s="2" t="inlineStr">
        <is>
          <t>OBJECTION · Was NMN banned?</t>
        </is>
      </c>
      <c r="J7" s="2" t="inlineStr">
        <is>
          <t>Pre-purchase research</t>
        </is>
      </c>
      <c r="K7" s="4" t="inlineStr">
        <is>
          <t>Y</t>
        </is>
      </c>
      <c r="L7" s="4" t="inlineStr"/>
      <c r="M7" s="4" t="inlineStr"/>
      <c r="N7" s="4" t="inlineStr"/>
      <c r="O7" s="4" t="inlineStr"/>
      <c r="P7" s="4">
        <f>IF(C7&lt;12,"Y","")</f>
        <v/>
      </c>
      <c r="Q7" s="4">
        <f>COUNTIF(K7:P7,"Y")</f>
        <v/>
      </c>
      <c r="R7" s="5">
        <f>IF(Q7&gt;=3,"USE","CONTEXT")</f>
        <v/>
      </c>
      <c r="S7" s="2" t="inlineStr">
        <is>
          <t>A7 Honest science</t>
        </is>
      </c>
    </row>
    <row r="8">
      <c r="A8" s="2" t="inlineStr">
        <is>
          <t>Q007</t>
        </is>
      </c>
      <c r="B8" s="3" t="inlineStr">
        <is>
          <t>Perhaps in another year or two the effectiveness will be demonstrated in clinical testing.</t>
        </is>
      </c>
      <c r="C8" s="4">
        <f>IF(LEN(TRIM(B8))=0,0,LEN(TRIM(B8))-LEN(SUBSTITUTE(TRIM(B8)," ",""))+1)</f>
        <v/>
      </c>
      <c r="D8" s="2" t="inlineStr">
        <is>
          <t>ProHealth NMN Pro (Uthever)</t>
        </is>
      </c>
      <c r="E8" s="2" t="inlineStr">
        <is>
          <t>Mark B · 4★ · Jul 2026 · Vine</t>
        </is>
      </c>
      <c r="F8" s="2" t="inlineStr">
        <is>
          <t>Verbatim</t>
        </is>
      </c>
      <c r="G8" s="2" t="inlineStr">
        <is>
          <t>Hope</t>
        </is>
      </c>
      <c r="H8" s="2" t="inlineStr">
        <is>
          <t>Know whether it's working</t>
        </is>
      </c>
      <c r="I8" s="2" t="inlineStr">
        <is>
          <t>OBJECTION · Evidence immature</t>
        </is>
      </c>
      <c r="J8" s="2" t="inlineStr">
        <is>
          <t>Reorder decision</t>
        </is>
      </c>
      <c r="K8" s="4" t="inlineStr">
        <is>
          <t>Y</t>
        </is>
      </c>
      <c r="L8" s="4" t="inlineStr"/>
      <c r="M8" s="4" t="inlineStr"/>
      <c r="N8" s="4" t="inlineStr"/>
      <c r="O8" s="4" t="inlineStr">
        <is>
          <t>Y</t>
        </is>
      </c>
      <c r="P8" s="4">
        <f>IF(C8&lt;12,"Y","")</f>
        <v/>
      </c>
      <c r="Q8" s="4">
        <f>COUNTIF(K8:P8,"Y")</f>
        <v/>
      </c>
      <c r="R8" s="5">
        <f>IF(Q8&gt;=3,"USE","CONTEXT")</f>
        <v/>
      </c>
      <c r="S8" s="2" t="inlineStr">
        <is>
          <t>A7 Honest science</t>
        </is>
      </c>
    </row>
    <row r="9">
      <c r="A9" s="2" t="inlineStr">
        <is>
          <t>Q008</t>
        </is>
      </c>
      <c r="B9" s="3" t="inlineStr">
        <is>
          <t>The marketing leans on benefits that are still being studied.</t>
        </is>
      </c>
      <c r="C9" s="4">
        <f>IF(LEN(TRIM(B9))=0,0,LEN(TRIM(B9))-LEN(SUBSTITUTE(TRIM(B9)," ",""))+1)</f>
        <v/>
      </c>
      <c r="D9" s="2" t="inlineStr">
        <is>
          <t>ProHealth NMN Pro (Uthever)</t>
        </is>
      </c>
      <c r="E9" s="2" t="inlineStr">
        <is>
          <t>Mark B · 4★ · Jul 2026 · Vine</t>
        </is>
      </c>
      <c r="F9" s="2" t="inlineStr">
        <is>
          <t>Verbatim</t>
        </is>
      </c>
      <c r="G9" s="2" t="inlineStr">
        <is>
          <t>Anger</t>
        </is>
      </c>
      <c r="H9" s="2" t="inlineStr">
        <is>
          <t>Not get ripped off</t>
        </is>
      </c>
      <c r="I9" s="2" t="inlineStr">
        <is>
          <t>OBJECTION · Marketing overreach</t>
        </is>
      </c>
      <c r="J9" s="2" t="inlineStr">
        <is>
          <t>Warning others</t>
        </is>
      </c>
      <c r="K9" s="4" t="inlineStr"/>
      <c r="L9" s="4" t="inlineStr"/>
      <c r="M9" s="4" t="inlineStr"/>
      <c r="N9" s="4" t="inlineStr"/>
      <c r="O9" s="4" t="inlineStr">
        <is>
          <t>Y</t>
        </is>
      </c>
      <c r="P9" s="4">
        <f>IF(C9&lt;12,"Y","")</f>
        <v/>
      </c>
      <c r="Q9" s="4">
        <f>COUNTIF(K9:P9,"Y")</f>
        <v/>
      </c>
      <c r="R9" s="5">
        <f>IF(Q9&gt;=3,"USE","CONTEXT")</f>
        <v/>
      </c>
      <c r="S9" s="2" t="inlineStr">
        <is>
          <t>A7 Honest science</t>
        </is>
      </c>
    </row>
    <row r="10">
      <c r="A10" s="2" t="inlineStr">
        <is>
          <t>Q009</t>
        </is>
      </c>
      <c r="B10" s="3" t="inlineStr">
        <is>
          <t>TMG supports methylation which is important because NMN supplementation can deplete methyl groups.</t>
        </is>
      </c>
      <c r="C10" s="4">
        <f>IF(LEN(TRIM(B10))=0,0,LEN(TRIM(B10))-LEN(SUBSTITUTE(TRIM(B10)," ",""))+1)</f>
        <v/>
      </c>
      <c r="D10" s="2" t="inlineStr">
        <is>
          <t>ProHealth NMN Pro (Uthever)</t>
        </is>
      </c>
      <c r="E10" s="2" t="inlineStr">
        <is>
          <t>Mark B · 4★ · Jul 2026 · Vine</t>
        </is>
      </c>
      <c r="F10" s="2" t="inlineStr">
        <is>
          <t>Verbatim</t>
        </is>
      </c>
      <c r="G10" s="2" t="inlineStr">
        <is>
          <t>Pride</t>
        </is>
      </c>
      <c r="H10" s="2" t="inlineStr">
        <is>
          <t>Be the person who did the research</t>
        </is>
      </c>
      <c r="I10" s="2" t="inlineStr">
        <is>
          <t>BENEFIT · Cofactors included</t>
        </is>
      </c>
      <c r="J10" s="2" t="inlineStr">
        <is>
          <t>Reading the label</t>
        </is>
      </c>
      <c r="K10" s="4" t="inlineStr"/>
      <c r="L10" s="4" t="inlineStr"/>
      <c r="M10" s="4" t="inlineStr"/>
      <c r="N10" s="4" t="inlineStr"/>
      <c r="O10" s="4" t="inlineStr"/>
      <c r="P10" s="4">
        <f>IF(C10&lt;12,"Y","")</f>
        <v/>
      </c>
      <c r="Q10" s="4">
        <f>COUNTIF(K10:P10,"Y")</f>
        <v/>
      </c>
      <c r="R10" s="5">
        <f>IF(Q10&gt;=3,"USE","CONTEXT")</f>
        <v/>
      </c>
      <c r="S10" s="2" t="inlineStr">
        <is>
          <t>A6 Retire the shelf</t>
        </is>
      </c>
    </row>
    <row r="11">
      <c r="A11" s="2" t="inlineStr">
        <is>
          <t>Q010</t>
        </is>
      </c>
      <c r="B11" s="3" t="inlineStr">
        <is>
          <t>Having all three in one bottle is convenient and actually costs less than buying them separately.</t>
        </is>
      </c>
      <c r="C11" s="4">
        <f>IF(LEN(TRIM(B11))=0,0,LEN(TRIM(B11))-LEN(SUBSTITUTE(TRIM(B11)," ",""))+1)</f>
        <v/>
      </c>
      <c r="D11" s="2" t="inlineStr">
        <is>
          <t>ProHealth NMN Pro (Uthever)</t>
        </is>
      </c>
      <c r="E11" s="2" t="inlineStr">
        <is>
          <t>Mark B · 4★ · Jul 2026 · Vine</t>
        </is>
      </c>
      <c r="F11" s="2" t="inlineStr">
        <is>
          <t>Verbatim</t>
        </is>
      </c>
      <c r="G11" s="2" t="inlineStr">
        <is>
          <t>Relief</t>
        </is>
      </c>
      <c r="H11" s="2" t="inlineStr">
        <is>
          <t>Simplify my routine</t>
        </is>
      </c>
      <c r="I11" s="2" t="inlineStr">
        <is>
          <t>BENEFIT · Consolidation</t>
        </is>
      </c>
      <c r="J11" s="2" t="inlineStr">
        <is>
          <t>Doing the price math</t>
        </is>
      </c>
      <c r="K11" s="4" t="inlineStr"/>
      <c r="L11" s="4" t="inlineStr"/>
      <c r="M11" s="4" t="inlineStr"/>
      <c r="N11" s="4" t="inlineStr"/>
      <c r="O11" s="4" t="inlineStr">
        <is>
          <t>Y</t>
        </is>
      </c>
      <c r="P11" s="4">
        <f>IF(C11&lt;12,"Y","")</f>
        <v/>
      </c>
      <c r="Q11" s="4">
        <f>COUNTIF(K11:P11,"Y")</f>
        <v/>
      </c>
      <c r="R11" s="5">
        <f>IF(Q11&gt;=3,"USE","CONTEXT")</f>
        <v/>
      </c>
      <c r="S11" s="2" t="inlineStr">
        <is>
          <t>A6 Retire the shelf</t>
        </is>
      </c>
    </row>
    <row r="12">
      <c r="A12" s="2" t="inlineStr">
        <is>
          <t>Q011</t>
        </is>
      </c>
      <c r="B12" s="3" t="inlineStr">
        <is>
          <t>This is a well thought out stack.</t>
        </is>
      </c>
      <c r="C12" s="4">
        <f>IF(LEN(TRIM(B12))=0,0,LEN(TRIM(B12))-LEN(SUBSTITUTE(TRIM(B12)," ",""))+1)</f>
        <v/>
      </c>
      <c r="D12" s="2" t="inlineStr">
        <is>
          <t>ProHealth NMN Pro (Uthever)</t>
        </is>
      </c>
      <c r="E12" s="2" t="inlineStr">
        <is>
          <t>Mark B · 4★ · Jul 2026 · Vine</t>
        </is>
      </c>
      <c r="F12" s="2" t="inlineStr">
        <is>
          <t>Verbatim</t>
        </is>
      </c>
      <c r="G12" s="2" t="inlineStr">
        <is>
          <t>Pride</t>
        </is>
      </c>
      <c r="H12" s="2" t="inlineStr">
        <is>
          <t>Simplify my routine</t>
        </is>
      </c>
      <c r="I12" s="2" t="inlineStr">
        <is>
          <t>BENEFIT · Formula design</t>
        </is>
      </c>
      <c r="J12" s="2" t="inlineStr">
        <is>
          <t>Reading the label</t>
        </is>
      </c>
      <c r="K12" s="4" t="inlineStr"/>
      <c r="L12" s="4" t="inlineStr"/>
      <c r="M12" s="4" t="inlineStr"/>
      <c r="N12" s="4" t="inlineStr"/>
      <c r="O12" s="4" t="inlineStr">
        <is>
          <t>Y</t>
        </is>
      </c>
      <c r="P12" s="4">
        <f>IF(C12&lt;12,"Y","")</f>
        <v/>
      </c>
      <c r="Q12" s="4">
        <f>COUNTIF(K12:P12,"Y")</f>
        <v/>
      </c>
      <c r="R12" s="5">
        <f>IF(Q12&gt;=3,"USE","CONTEXT")</f>
        <v/>
      </c>
      <c r="S12" s="2" t="inlineStr">
        <is>
          <t>A6 Retire the shelf</t>
        </is>
      </c>
    </row>
    <row r="13">
      <c r="A13" s="2" t="inlineStr">
        <is>
          <t>Q012</t>
        </is>
      </c>
      <c r="B13" s="3" t="inlineStr">
        <is>
          <t>The capsules are easy to swallow and have no unpleasant taste.</t>
        </is>
      </c>
      <c r="C13" s="4">
        <f>IF(LEN(TRIM(B13))=0,0,LEN(TRIM(B13))-LEN(SUBSTITUTE(TRIM(B13)," ",""))+1)</f>
        <v/>
      </c>
      <c r="D13" s="2" t="inlineStr">
        <is>
          <t>ProHealth NMN Pro (Uthever)</t>
        </is>
      </c>
      <c r="E13" s="2" t="inlineStr">
        <is>
          <t>Mark B · 4★ · Jul 2026 · Vine</t>
        </is>
      </c>
      <c r="F13" s="2" t="inlineStr">
        <is>
          <t>Verbatim</t>
        </is>
      </c>
      <c r="G13" s="2" t="inlineStr">
        <is>
          <t>Relief</t>
        </is>
      </c>
      <c r="H13" s="2" t="inlineStr">
        <is>
          <t>Protect a sensitive body</t>
        </is>
      </c>
      <c r="I13" s="2" t="inlineStr">
        <is>
          <t>BENEFIT · Sensory ease</t>
        </is>
      </c>
      <c r="J13" s="2" t="inlineStr">
        <is>
          <t>First dose</t>
        </is>
      </c>
      <c r="K13" s="4" t="inlineStr"/>
      <c r="L13" s="4" t="inlineStr">
        <is>
          <t>Y</t>
        </is>
      </c>
      <c r="M13" s="4" t="inlineStr"/>
      <c r="N13" s="4" t="inlineStr"/>
      <c r="O13" s="4" t="inlineStr">
        <is>
          <t>Y</t>
        </is>
      </c>
      <c r="P13" s="4">
        <f>IF(C13&lt;12,"Y","")</f>
        <v/>
      </c>
      <c r="Q13" s="4">
        <f>COUNTIF(K13:P13,"Y")</f>
        <v/>
      </c>
      <c r="R13" s="6">
        <f>IF(Q13&gt;=3,"USE","CONTEXT")</f>
        <v/>
      </c>
      <c r="S13" s="2" t="inlineStr">
        <is>
          <t>A5 Gentle start</t>
        </is>
      </c>
    </row>
    <row r="14">
      <c r="A14" s="2" t="inlineStr">
        <is>
          <t>Q013</t>
        </is>
      </c>
      <c r="B14" s="3" t="inlineStr">
        <is>
          <t>I have noticed slight improved energy levels since starting.</t>
        </is>
      </c>
      <c r="C14" s="4">
        <f>IF(LEN(TRIM(B14))=0,0,LEN(TRIM(B14))-LEN(SUBSTITUTE(TRIM(B14)," ",""))+1)</f>
        <v/>
      </c>
      <c r="D14" s="2" t="inlineStr">
        <is>
          <t>ProHealth NMN Pro (Uthever)</t>
        </is>
      </c>
      <c r="E14" s="2" t="inlineStr">
        <is>
          <t>Mark B · 4★ · Jul 2026 · Vine</t>
        </is>
      </c>
      <c r="F14" s="2" t="inlineStr">
        <is>
          <t>Verbatim</t>
        </is>
      </c>
      <c r="G14" s="2" t="inlineStr">
        <is>
          <t>Hope</t>
        </is>
      </c>
      <c r="H14" s="2" t="inlineStr">
        <is>
          <t>Get my energy back</t>
        </is>
      </c>
      <c r="I14" s="2" t="inlineStr">
        <is>
          <t>BENEFIT · Mild energy</t>
        </is>
      </c>
      <c r="J14" s="2" t="inlineStr">
        <is>
          <t>Weeks 2–4</t>
        </is>
      </c>
      <c r="K14" s="4" t="inlineStr"/>
      <c r="L14" s="4" t="inlineStr">
        <is>
          <t>Y</t>
        </is>
      </c>
      <c r="M14" s="4" t="inlineStr"/>
      <c r="N14" s="4" t="inlineStr"/>
      <c r="O14" s="4" t="inlineStr">
        <is>
          <t>Y</t>
        </is>
      </c>
      <c r="P14" s="4">
        <f>IF(C14&lt;12,"Y","")</f>
        <v/>
      </c>
      <c r="Q14" s="4">
        <f>COUNTIF(K14:P14,"Y")</f>
        <v/>
      </c>
      <c r="R14" s="6">
        <f>IF(Q14&gt;=3,"USE","CONTEXT")</f>
        <v/>
      </c>
      <c r="S14" s="2" t="inlineStr">
        <is>
          <t>A1 You won't feel it</t>
        </is>
      </c>
    </row>
    <row r="15">
      <c r="A15" s="2" t="inlineStr">
        <is>
          <t>Q014</t>
        </is>
      </c>
      <c r="B15" s="3" t="inlineStr">
        <is>
          <t>The 3 pack provides a 6 month supply at about 232 dollars which is premium pricing.</t>
        </is>
      </c>
      <c r="C15" s="4">
        <f>IF(LEN(TRIM(B15))=0,0,LEN(TRIM(B15))-LEN(SUBSTITUTE(TRIM(B15)," ",""))+1)</f>
        <v/>
      </c>
      <c r="D15" s="2" t="inlineStr">
        <is>
          <t>ProHealth NMN Pro (Uthever)</t>
        </is>
      </c>
      <c r="E15" s="2" t="inlineStr">
        <is>
          <t>Mark B · 4★ · Jul 2026 · Vine</t>
        </is>
      </c>
      <c r="F15" s="2" t="inlineStr">
        <is>
          <t>Verbatim</t>
        </is>
      </c>
      <c r="G15" s="2" t="inlineStr">
        <is>
          <t>Anger</t>
        </is>
      </c>
      <c r="H15" s="2" t="inlineStr">
        <is>
          <t>Justify the ongoing spend</t>
        </is>
      </c>
      <c r="I15" s="2" t="inlineStr">
        <is>
          <t>OBJECTION · Cost per day</t>
        </is>
      </c>
      <c r="J15" s="2" t="inlineStr">
        <is>
          <t>Doing the price math</t>
        </is>
      </c>
      <c r="K15" s="4" t="inlineStr"/>
      <c r="L15" s="4" t="inlineStr"/>
      <c r="M15" s="4" t="inlineStr"/>
      <c r="N15" s="4" t="inlineStr"/>
      <c r="O15" s="4" t="inlineStr">
        <is>
          <t>Y</t>
        </is>
      </c>
      <c r="P15" s="4">
        <f>IF(C15&lt;12,"Y","")</f>
        <v/>
      </c>
      <c r="Q15" s="4">
        <f>COUNTIF(K15:P15,"Y")</f>
        <v/>
      </c>
      <c r="R15" s="5">
        <f>IF(Q15&gt;=3,"USE","CONTEXT")</f>
        <v/>
      </c>
      <c r="S15" s="2" t="inlineStr">
        <is>
          <t>A3 Do the math</t>
        </is>
      </c>
    </row>
    <row r="16">
      <c r="A16" s="2" t="inlineStr">
        <is>
          <t>Q015</t>
        </is>
      </c>
      <c r="B16" s="3" t="inlineStr">
        <is>
          <t>ProHealth has been around since 1988 and is a BBB A plus rated company.</t>
        </is>
      </c>
      <c r="C16" s="4">
        <f>IF(LEN(TRIM(B16))=0,0,LEN(TRIM(B16))-LEN(SUBSTITUTE(TRIM(B16)," ",""))+1)</f>
        <v/>
      </c>
      <c r="D16" s="2" t="inlineStr">
        <is>
          <t>ProHealth NMN Pro (Uthever)</t>
        </is>
      </c>
      <c r="E16" s="2" t="inlineStr">
        <is>
          <t>Mark B · 4★ · Jul 2026 · Vine</t>
        </is>
      </c>
      <c r="F16" s="2" t="inlineStr">
        <is>
          <t>Verbatim</t>
        </is>
      </c>
      <c r="G16" s="2" t="inlineStr">
        <is>
          <t>Relief</t>
        </is>
      </c>
      <c r="H16" s="2" t="inlineStr">
        <is>
          <t>Verify it's real and safe</t>
        </is>
      </c>
      <c r="I16" s="2" t="inlineStr">
        <is>
          <t>BENEFIT · Track record</t>
        </is>
      </c>
      <c r="J16" s="2" t="inlineStr">
        <is>
          <t>Comparing brands</t>
        </is>
      </c>
      <c r="K16" s="4" t="inlineStr">
        <is>
          <t>Y</t>
        </is>
      </c>
      <c r="L16" s="4" t="inlineStr"/>
      <c r="M16" s="4" t="inlineStr"/>
      <c r="N16" s="4" t="inlineStr"/>
      <c r="O16" s="4" t="inlineStr"/>
      <c r="P16" s="4">
        <f>IF(C16&lt;12,"Y","")</f>
        <v/>
      </c>
      <c r="Q16" s="4">
        <f>COUNTIF(K16:P16,"Y")</f>
        <v/>
      </c>
      <c r="R16" s="5">
        <f>IF(Q16&gt;=3,"USE","CONTEXT")</f>
        <v/>
      </c>
      <c r="S16" s="2" t="inlineStr">
        <is>
          <t>A2 The receipt</t>
        </is>
      </c>
    </row>
    <row r="17">
      <c r="A17" s="2" t="inlineStr">
        <is>
          <t>Q016</t>
        </is>
      </c>
      <c r="B17" s="3" t="inlineStr">
        <is>
          <t>I take a lot of supplements and am very focused on metabolically healthy aging as I am approaching 60.</t>
        </is>
      </c>
      <c r="C17" s="4">
        <f>IF(LEN(TRIM(B17))=0,0,LEN(TRIM(B17))-LEN(SUBSTITUTE(TRIM(B17)," ",""))+1)</f>
        <v/>
      </c>
      <c r="D17" s="2" t="inlineStr">
        <is>
          <t>ProHealth NMN Pro (Uthever)</t>
        </is>
      </c>
      <c r="E17" s="2" t="inlineStr">
        <is>
          <t>kLr · 4★ · Jun 2026 · Vine</t>
        </is>
      </c>
      <c r="F17" s="2" t="inlineStr">
        <is>
          <t>Verbatim</t>
        </is>
      </c>
      <c r="G17" s="2" t="inlineStr">
        <is>
          <t>Fear</t>
        </is>
      </c>
      <c r="H17" s="2" t="inlineStr">
        <is>
          <t>Stay functional as I age</t>
        </is>
      </c>
      <c r="I17" s="2" t="inlineStr">
        <is>
          <t>BENEFIT · Identity fit</t>
        </is>
      </c>
      <c r="J17" s="2" t="inlineStr">
        <is>
          <t>Pre-purchase research</t>
        </is>
      </c>
      <c r="K17" s="4" t="inlineStr">
        <is>
          <t>Y</t>
        </is>
      </c>
      <c r="L17" s="4" t="inlineStr"/>
      <c r="M17" s="4" t="inlineStr">
        <is>
          <t>Y</t>
        </is>
      </c>
      <c r="N17" s="4" t="inlineStr"/>
      <c r="O17" s="4" t="inlineStr"/>
      <c r="P17" s="4">
        <f>IF(C17&lt;12,"Y","")</f>
        <v/>
      </c>
      <c r="Q17" s="4">
        <f>COUNTIF(K17:P17,"Y")</f>
        <v/>
      </c>
      <c r="R17" s="5">
        <f>IF(Q17&gt;=3,"USE","CONTEXT")</f>
        <v/>
      </c>
      <c r="S17" s="2" t="inlineStr">
        <is>
          <t>A6 Retire the shelf</t>
        </is>
      </c>
    </row>
    <row r="18">
      <c r="A18" s="2" t="inlineStr">
        <is>
          <t>Q017</t>
        </is>
      </c>
      <c r="B18" s="3" t="inlineStr">
        <is>
          <t>They can add up, so it's important to me that they are not just effective, but a good value proposition and safe.</t>
        </is>
      </c>
      <c r="C18" s="4">
        <f>IF(LEN(TRIM(B18))=0,0,LEN(TRIM(B18))-LEN(SUBSTITUTE(TRIM(B18)," ",""))+1)</f>
        <v/>
      </c>
      <c r="D18" s="2" t="inlineStr">
        <is>
          <t>ProHealth NMN Pro (Uthever)</t>
        </is>
      </c>
      <c r="E18" s="2" t="inlineStr">
        <is>
          <t>kLr · 4★ · Jun 2026 · Vine</t>
        </is>
      </c>
      <c r="F18" s="2" t="inlineStr">
        <is>
          <t>Verbatim</t>
        </is>
      </c>
      <c r="G18" s="2" t="inlineStr">
        <is>
          <t>Anger</t>
        </is>
      </c>
      <c r="H18" s="2" t="inlineStr">
        <is>
          <t>Justify the ongoing spend</t>
        </is>
      </c>
      <c r="I18" s="2" t="inlineStr">
        <is>
          <t>OBJECTION · Stack tax</t>
        </is>
      </c>
      <c r="J18" s="2" t="inlineStr">
        <is>
          <t>Doing the price math</t>
        </is>
      </c>
      <c r="K18" s="4" t="inlineStr"/>
      <c r="L18" s="4" t="inlineStr"/>
      <c r="M18" s="4" t="inlineStr"/>
      <c r="N18" s="4" t="inlineStr"/>
      <c r="O18" s="4" t="inlineStr">
        <is>
          <t>Y</t>
        </is>
      </c>
      <c r="P18" s="4">
        <f>IF(C18&lt;12,"Y","")</f>
        <v/>
      </c>
      <c r="Q18" s="4">
        <f>COUNTIF(K18:P18,"Y")</f>
        <v/>
      </c>
      <c r="R18" s="5">
        <f>IF(Q18&gt;=3,"USE","CONTEXT")</f>
        <v/>
      </c>
      <c r="S18" s="2" t="inlineStr">
        <is>
          <t>A3 Do the math</t>
        </is>
      </c>
    </row>
    <row r="19">
      <c r="A19" s="2" t="inlineStr">
        <is>
          <t>Q018</t>
        </is>
      </c>
      <c r="B19" s="3" t="inlineStr">
        <is>
          <t>It's often hard to quantify changes in the short term on an individual basis.</t>
        </is>
      </c>
      <c r="C19" s="4">
        <f>IF(LEN(TRIM(B19))=0,0,LEN(TRIM(B19))-LEN(SUBSTITUTE(TRIM(B19)," ",""))+1)</f>
        <v/>
      </c>
      <c r="D19" s="2" t="inlineStr">
        <is>
          <t>ProHealth NMN Pro (Uthever)</t>
        </is>
      </c>
      <c r="E19" s="2" t="inlineStr">
        <is>
          <t>kLr · 4★ · Jun 2026 · Vine</t>
        </is>
      </c>
      <c r="F19" s="2" t="inlineStr">
        <is>
          <t>Verbatim</t>
        </is>
      </c>
      <c r="G19" s="2" t="inlineStr">
        <is>
          <t>Hope</t>
        </is>
      </c>
      <c r="H19" s="2" t="inlineStr">
        <is>
          <t>Know whether it's working</t>
        </is>
      </c>
      <c r="I19" s="2" t="inlineStr">
        <is>
          <t>OBJECTION · No feedback loop</t>
        </is>
      </c>
      <c r="J19" s="2" t="inlineStr">
        <is>
          <t>Weeks 2–4</t>
        </is>
      </c>
      <c r="K19" s="4" t="inlineStr"/>
      <c r="L19" s="4" t="inlineStr"/>
      <c r="M19" s="4" t="inlineStr"/>
      <c r="N19" s="4" t="inlineStr">
        <is>
          <t>Y</t>
        </is>
      </c>
      <c r="O19" s="4" t="inlineStr">
        <is>
          <t>Y</t>
        </is>
      </c>
      <c r="P19" s="4">
        <f>IF(C19&lt;12,"Y","")</f>
        <v/>
      </c>
      <c r="Q19" s="4">
        <f>COUNTIF(K19:P19,"Y")</f>
        <v/>
      </c>
      <c r="R19" s="5">
        <f>IF(Q19&gt;=3,"USE","CONTEXT")</f>
        <v/>
      </c>
      <c r="S19" s="2" t="inlineStr">
        <is>
          <t>A1 You won't feel it</t>
        </is>
      </c>
    </row>
    <row r="20">
      <c r="A20" s="2" t="inlineStr">
        <is>
          <t>Q019</t>
        </is>
      </c>
      <c r="B20" s="3" t="inlineStr">
        <is>
          <t>So many factors come into play in how I may feel on a particular day.</t>
        </is>
      </c>
      <c r="C20" s="4">
        <f>IF(LEN(TRIM(B20))=0,0,LEN(TRIM(B20))-LEN(SUBSTITUTE(TRIM(B20)," ",""))+1)</f>
        <v/>
      </c>
      <c r="D20" s="2" t="inlineStr">
        <is>
          <t>ProHealth NMN Pro (Uthever)</t>
        </is>
      </c>
      <c r="E20" s="2" t="inlineStr">
        <is>
          <t>kLr · 4★ · Jun 2026 · Vine</t>
        </is>
      </c>
      <c r="F20" s="2" t="inlineStr">
        <is>
          <t>Verbatim</t>
        </is>
      </c>
      <c r="G20" s="2" t="inlineStr">
        <is>
          <t>Hope</t>
        </is>
      </c>
      <c r="H20" s="2" t="inlineStr">
        <is>
          <t>Know whether it's working</t>
        </is>
      </c>
      <c r="I20" s="2" t="inlineStr">
        <is>
          <t>OBJECTION · No feedback loop</t>
        </is>
      </c>
      <c r="J20" s="2" t="inlineStr">
        <is>
          <t>Weeks 2–4</t>
        </is>
      </c>
      <c r="K20" s="4" t="inlineStr"/>
      <c r="L20" s="4" t="inlineStr">
        <is>
          <t>Y</t>
        </is>
      </c>
      <c r="M20" s="4" t="inlineStr"/>
      <c r="N20" s="4" t="inlineStr">
        <is>
          <t>Y</t>
        </is>
      </c>
      <c r="O20" s="4" t="inlineStr">
        <is>
          <t>Y</t>
        </is>
      </c>
      <c r="P20" s="4">
        <f>IF(C20&lt;12,"Y","")</f>
        <v/>
      </c>
      <c r="Q20" s="4">
        <f>COUNTIF(K20:P20,"Y")</f>
        <v/>
      </c>
      <c r="R20" s="6">
        <f>IF(Q20&gt;=3,"USE","CONTEXT")</f>
        <v/>
      </c>
      <c r="S20" s="2" t="inlineStr">
        <is>
          <t>A1 You won't feel it</t>
        </is>
      </c>
    </row>
    <row r="21">
      <c r="A21" s="2" t="inlineStr">
        <is>
          <t>Q020</t>
        </is>
      </c>
      <c r="B21" s="3" t="inlineStr">
        <is>
          <t>Have I exercised, did I sleep well, am I stressed, did I drink alcohol the day before?</t>
        </is>
      </c>
      <c r="C21" s="4">
        <f>IF(LEN(TRIM(B21))=0,0,LEN(TRIM(B21))-LEN(SUBSTITUTE(TRIM(B21)," ",""))+1)</f>
        <v/>
      </c>
      <c r="D21" s="2" t="inlineStr">
        <is>
          <t>ProHealth NMN Pro (Uthever)</t>
        </is>
      </c>
      <c r="E21" s="2" t="inlineStr">
        <is>
          <t>kLr · 4★ · Jun 2026 · Vine</t>
        </is>
      </c>
      <c r="F21" s="2" t="inlineStr">
        <is>
          <t>Verbatim</t>
        </is>
      </c>
      <c r="G21" s="2" t="inlineStr">
        <is>
          <t>Shame</t>
        </is>
      </c>
      <c r="H21" s="2" t="inlineStr">
        <is>
          <t>Know whether it's working</t>
        </is>
      </c>
      <c r="I21" s="2" t="inlineStr">
        <is>
          <t>OBJECTION · No feedback loop</t>
        </is>
      </c>
      <c r="J21" s="2" t="inlineStr">
        <is>
          <t>Weeks 2–4</t>
        </is>
      </c>
      <c r="K21" s="4" t="inlineStr"/>
      <c r="L21" s="4" t="inlineStr">
        <is>
          <t>Y</t>
        </is>
      </c>
      <c r="M21" s="4" t="inlineStr"/>
      <c r="N21" s="4" t="inlineStr">
        <is>
          <t>Y</t>
        </is>
      </c>
      <c r="O21" s="4" t="inlineStr">
        <is>
          <t>Y</t>
        </is>
      </c>
      <c r="P21" s="4">
        <f>IF(C21&lt;12,"Y","")</f>
        <v/>
      </c>
      <c r="Q21" s="4">
        <f>COUNTIF(K21:P21,"Y")</f>
        <v/>
      </c>
      <c r="R21" s="6">
        <f>IF(Q21&gt;=3,"USE","CONTEXT")</f>
        <v/>
      </c>
      <c r="S21" s="2" t="inlineStr">
        <is>
          <t>A1 You won't feel it</t>
        </is>
      </c>
    </row>
    <row r="22">
      <c r="A22" s="2" t="inlineStr">
        <is>
          <t>Q021</t>
        </is>
      </c>
      <c r="B22" s="3" t="inlineStr">
        <is>
          <t>I consider this a long-term health optimizer.</t>
        </is>
      </c>
      <c r="C22" s="4">
        <f>IF(LEN(TRIM(B22))=0,0,LEN(TRIM(B22))-LEN(SUBSTITUTE(TRIM(B22)," ",""))+1)</f>
        <v/>
      </c>
      <c r="D22" s="2" t="inlineStr">
        <is>
          <t>ProHealth NMN Pro (Uthever)</t>
        </is>
      </c>
      <c r="E22" s="2" t="inlineStr">
        <is>
          <t>kLr · 4★ · Jun 2026 · Vine</t>
        </is>
      </c>
      <c r="F22" s="2" t="inlineStr">
        <is>
          <t>Verbatim</t>
        </is>
      </c>
      <c r="G22" s="2" t="inlineStr">
        <is>
          <t>Hope</t>
        </is>
      </c>
      <c r="H22" s="2" t="inlineStr">
        <is>
          <t>Stay functional as I age</t>
        </is>
      </c>
      <c r="I22" s="2" t="inlineStr">
        <is>
          <t>BENEFIT · Insurance frame</t>
        </is>
      </c>
      <c r="J22" s="2" t="inlineStr">
        <is>
          <t>Reorder decision</t>
        </is>
      </c>
      <c r="K22" s="4" t="inlineStr"/>
      <c r="L22" s="4" t="inlineStr"/>
      <c r="M22" s="4" t="inlineStr"/>
      <c r="N22" s="4" t="inlineStr"/>
      <c r="O22" s="4" t="inlineStr">
        <is>
          <t>Y</t>
        </is>
      </c>
      <c r="P22" s="4">
        <f>IF(C22&lt;12,"Y","")</f>
        <v/>
      </c>
      <c r="Q22" s="4">
        <f>COUNTIF(K22:P22,"Y")</f>
        <v/>
      </c>
      <c r="R22" s="5">
        <f>IF(Q22&gt;=3,"USE","CONTEXT")</f>
        <v/>
      </c>
      <c r="S22" s="2" t="inlineStr">
        <is>
          <t>A1 You won't feel it</t>
        </is>
      </c>
    </row>
    <row r="23">
      <c r="A23" s="2" t="inlineStr">
        <is>
          <t>Q022</t>
        </is>
      </c>
      <c r="B23" s="3" t="inlineStr">
        <is>
          <t>I am very interested in giving my body the resources it needs to have the best outcome it can have as I age.</t>
        </is>
      </c>
      <c r="C23" s="4">
        <f>IF(LEN(TRIM(B23))=0,0,LEN(TRIM(B23))-LEN(SUBSTITUTE(TRIM(B23)," ",""))+1)</f>
        <v/>
      </c>
      <c r="D23" s="2" t="inlineStr">
        <is>
          <t>ProHealth NMN Pro (Uthever)</t>
        </is>
      </c>
      <c r="E23" s="2" t="inlineStr">
        <is>
          <t>kLr · 4★ · Jun 2026 · Vine</t>
        </is>
      </c>
      <c r="F23" s="2" t="inlineStr">
        <is>
          <t>Verbatim</t>
        </is>
      </c>
      <c r="G23" s="2" t="inlineStr">
        <is>
          <t>Hope</t>
        </is>
      </c>
      <c r="H23" s="2" t="inlineStr">
        <is>
          <t>Stay functional as I age</t>
        </is>
      </c>
      <c r="I23" s="2" t="inlineStr">
        <is>
          <t>BENEFIT · Insurance frame</t>
        </is>
      </c>
      <c r="J23" s="2" t="inlineStr">
        <is>
          <t>Reorder decision</t>
        </is>
      </c>
      <c r="K23" s="4" t="inlineStr"/>
      <c r="L23" s="4" t="inlineStr">
        <is>
          <t>Y</t>
        </is>
      </c>
      <c r="M23" s="4" t="inlineStr"/>
      <c r="N23" s="4" t="inlineStr"/>
      <c r="O23" s="4" t="inlineStr">
        <is>
          <t>Y</t>
        </is>
      </c>
      <c r="P23" s="4">
        <f>IF(C23&lt;12,"Y","")</f>
        <v/>
      </c>
      <c r="Q23" s="4">
        <f>COUNTIF(K23:P23,"Y")</f>
        <v/>
      </c>
      <c r="R23" s="5">
        <f>IF(Q23&gt;=3,"USE","CONTEXT")</f>
        <v/>
      </c>
      <c r="S23" s="2" t="inlineStr">
        <is>
          <t>A1 You won't feel it</t>
        </is>
      </c>
    </row>
    <row r="24">
      <c r="A24" s="2" t="inlineStr">
        <is>
          <t>Q023</t>
        </is>
      </c>
      <c r="B24" s="3" t="inlineStr">
        <is>
          <t>I am not new to these.</t>
        </is>
      </c>
      <c r="C24" s="4">
        <f>IF(LEN(TRIM(B24))=0,0,LEN(TRIM(B24))-LEN(SUBSTITUTE(TRIM(B24)," ",""))+1)</f>
        <v/>
      </c>
      <c r="D24" s="2" t="inlineStr">
        <is>
          <t>ProHealth NMN Pro (Uthever)</t>
        </is>
      </c>
      <c r="E24" s="2" t="inlineStr">
        <is>
          <t>kLr · 4★ · Jun 2026 · Vine</t>
        </is>
      </c>
      <c r="F24" s="2" t="inlineStr">
        <is>
          <t>Verbatim</t>
        </is>
      </c>
      <c r="G24" s="2" t="inlineStr">
        <is>
          <t>Pride</t>
        </is>
      </c>
      <c r="H24" s="2" t="inlineStr">
        <is>
          <t>Be the person who did the research</t>
        </is>
      </c>
      <c r="I24" s="2" t="inlineStr">
        <is>
          <t>BENEFIT · Self-image</t>
        </is>
      </c>
      <c r="J24" s="2" t="inlineStr">
        <is>
          <t>Comparing brands</t>
        </is>
      </c>
      <c r="K24" s="4" t="inlineStr"/>
      <c r="L24" s="4" t="inlineStr"/>
      <c r="M24" s="4" t="inlineStr">
        <is>
          <t>Y</t>
        </is>
      </c>
      <c r="N24" s="4" t="inlineStr"/>
      <c r="O24" s="4" t="inlineStr">
        <is>
          <t>Y</t>
        </is>
      </c>
      <c r="P24" s="4">
        <f>IF(C24&lt;12,"Y","")</f>
        <v/>
      </c>
      <c r="Q24" s="4">
        <f>COUNTIF(K24:P24,"Y")</f>
        <v/>
      </c>
      <c r="R24" s="6">
        <f>IF(Q24&gt;=3,"USE","CONTEXT")</f>
        <v/>
      </c>
      <c r="S24" s="2" t="inlineStr">
        <is>
          <t>A4 Dose is the product</t>
        </is>
      </c>
    </row>
    <row r="25">
      <c r="A25" s="2" t="inlineStr">
        <is>
          <t>Q024</t>
        </is>
      </c>
      <c r="B25" s="3" t="inlineStr">
        <is>
          <t>One might alternate both forms to get some of these benefits without totally breaking the budget.</t>
        </is>
      </c>
      <c r="C25" s="4">
        <f>IF(LEN(TRIM(B25))=0,0,LEN(TRIM(B25))-LEN(SUBSTITUTE(TRIM(B25)," ",""))+1)</f>
        <v/>
      </c>
      <c r="D25" s="2" t="inlineStr">
        <is>
          <t>ProHealth NMN Pro (Uthever)</t>
        </is>
      </c>
      <c r="E25" s="2" t="inlineStr">
        <is>
          <t>kLr · 4★ · Jun 2026 · Vine</t>
        </is>
      </c>
      <c r="F25" s="2" t="inlineStr">
        <is>
          <t>Verbatim</t>
        </is>
      </c>
      <c r="G25" s="2" t="inlineStr">
        <is>
          <t>Shame</t>
        </is>
      </c>
      <c r="H25" s="2" t="inlineStr">
        <is>
          <t>Justify the ongoing spend</t>
        </is>
      </c>
      <c r="I25" s="2" t="inlineStr">
        <is>
          <t>OBJECTION · Cost per day</t>
        </is>
      </c>
      <c r="J25" s="2" t="inlineStr">
        <is>
          <t>Doing the price math</t>
        </is>
      </c>
      <c r="K25" s="4" t="inlineStr"/>
      <c r="L25" s="4" t="inlineStr"/>
      <c r="M25" s="4" t="inlineStr"/>
      <c r="N25" s="4" t="inlineStr">
        <is>
          <t>Y</t>
        </is>
      </c>
      <c r="O25" s="4" t="inlineStr">
        <is>
          <t>Y</t>
        </is>
      </c>
      <c r="P25" s="4">
        <f>IF(C25&lt;12,"Y","")</f>
        <v/>
      </c>
      <c r="Q25" s="4">
        <f>COUNTIF(K25:P25,"Y")</f>
        <v/>
      </c>
      <c r="R25" s="5">
        <f>IF(Q25&gt;=3,"USE","CONTEXT")</f>
        <v/>
      </c>
      <c r="S25" s="2" t="inlineStr">
        <is>
          <t>A3 Do the math</t>
        </is>
      </c>
    </row>
    <row r="26">
      <c r="A26" s="2" t="inlineStr">
        <is>
          <t>Q025</t>
        </is>
      </c>
      <c r="B26" s="3" t="inlineStr">
        <is>
          <t>Lot tested, with public batch-specific certificates.</t>
        </is>
      </c>
      <c r="C26" s="4">
        <f>IF(LEN(TRIM(B26))=0,0,LEN(TRIM(B26))-LEN(SUBSTITUTE(TRIM(B26)," ",""))+1)</f>
        <v/>
      </c>
      <c r="D26" s="2" t="inlineStr">
        <is>
          <t>ProHealth NMN Pro (Uthever)</t>
        </is>
      </c>
      <c r="E26" s="2" t="inlineStr">
        <is>
          <t>kLr · 4★ · Jun 2026 · Vine</t>
        </is>
      </c>
      <c r="F26" s="2" t="inlineStr">
        <is>
          <t>Verbatim</t>
        </is>
      </c>
      <c r="G26" s="2" t="inlineStr">
        <is>
          <t>Relief</t>
        </is>
      </c>
      <c r="H26" s="2" t="inlineStr">
        <is>
          <t>Verify it's real and safe</t>
        </is>
      </c>
      <c r="I26" s="2" t="inlineStr">
        <is>
          <t>BENEFIT · Batch COA</t>
        </is>
      </c>
      <c r="J26" s="2" t="inlineStr">
        <is>
          <t>Pre-purchase research</t>
        </is>
      </c>
      <c r="K26" s="4" t="inlineStr"/>
      <c r="L26" s="4" t="inlineStr"/>
      <c r="M26" s="4" t="inlineStr"/>
      <c r="N26" s="4" t="inlineStr"/>
      <c r="O26" s="4" t="inlineStr"/>
      <c r="P26" s="4">
        <f>IF(C26&lt;12,"Y","")</f>
        <v/>
      </c>
      <c r="Q26" s="4">
        <f>COUNTIF(K26:P26,"Y")</f>
        <v/>
      </c>
      <c r="R26" s="5">
        <f>IF(Q26&gt;=3,"USE","CONTEXT")</f>
        <v/>
      </c>
      <c r="S26" s="2" t="inlineStr">
        <is>
          <t>A2 The receipt</t>
        </is>
      </c>
    </row>
    <row r="27">
      <c r="A27" s="2" t="inlineStr">
        <is>
          <t>Q026</t>
        </is>
      </c>
      <c r="B27" s="3" t="inlineStr">
        <is>
          <t>Lot number and Best By date is printed on the bottle.</t>
        </is>
      </c>
      <c r="C27" s="4">
        <f>IF(LEN(TRIM(B27))=0,0,LEN(TRIM(B27))-LEN(SUBSTITUTE(TRIM(B27)," ",""))+1)</f>
        <v/>
      </c>
      <c r="D27" s="2" t="inlineStr">
        <is>
          <t>ProHealth NMN Pro (Uthever)</t>
        </is>
      </c>
      <c r="E27" s="2" t="inlineStr">
        <is>
          <t>kLr · 4★ · Jun 2026 · Vine</t>
        </is>
      </c>
      <c r="F27" s="2" t="inlineStr">
        <is>
          <t>Verbatim</t>
        </is>
      </c>
      <c r="G27" s="2" t="inlineStr">
        <is>
          <t>Relief</t>
        </is>
      </c>
      <c r="H27" s="2" t="inlineStr">
        <is>
          <t>Verify it's real and safe</t>
        </is>
      </c>
      <c r="I27" s="2" t="inlineStr">
        <is>
          <t>BENEFIT · Expiry printed</t>
        </is>
      </c>
      <c r="J27" s="2" t="inlineStr">
        <is>
          <t>Unboxing / first inspection</t>
        </is>
      </c>
      <c r="K27" s="4" t="inlineStr"/>
      <c r="L27" s="4" t="inlineStr"/>
      <c r="M27" s="4" t="inlineStr"/>
      <c r="N27" s="4" t="inlineStr"/>
      <c r="O27" s="4" t="inlineStr">
        <is>
          <t>Y</t>
        </is>
      </c>
      <c r="P27" s="4">
        <f>IF(C27&lt;12,"Y","")</f>
        <v/>
      </c>
      <c r="Q27" s="4">
        <f>COUNTIF(K27:P27,"Y")</f>
        <v/>
      </c>
      <c r="R27" s="5">
        <f>IF(Q27&gt;=3,"USE","CONTEXT")</f>
        <v/>
      </c>
      <c r="S27" s="2" t="inlineStr">
        <is>
          <t>A2 The receipt</t>
        </is>
      </c>
    </row>
    <row r="28">
      <c r="A28" s="2" t="inlineStr">
        <is>
          <t>Q027</t>
        </is>
      </c>
      <c r="B28" s="3" t="inlineStr">
        <is>
          <t>It is confirmed made at a cGMP third-party certified facility.</t>
        </is>
      </c>
      <c r="C28" s="4">
        <f>IF(LEN(TRIM(B28))=0,0,LEN(TRIM(B28))-LEN(SUBSTITUTE(TRIM(B28)," ",""))+1)</f>
        <v/>
      </c>
      <c r="D28" s="2" t="inlineStr">
        <is>
          <t>ProHealth NMN Pro (Uthever)</t>
        </is>
      </c>
      <c r="E28" s="2" t="inlineStr">
        <is>
          <t>kLr · 4★ · Jun 2026 · Vine</t>
        </is>
      </c>
      <c r="F28" s="2" t="inlineStr">
        <is>
          <t>Verbatim</t>
        </is>
      </c>
      <c r="G28" s="2" t="inlineStr">
        <is>
          <t>Relief</t>
        </is>
      </c>
      <c r="H28" s="2" t="inlineStr">
        <is>
          <t>Verify it's real and safe</t>
        </is>
      </c>
      <c r="I28" s="2" t="inlineStr">
        <is>
          <t>BENEFIT · Manufacturing</t>
        </is>
      </c>
      <c r="J28" s="2" t="inlineStr">
        <is>
          <t>Pre-purchase research</t>
        </is>
      </c>
      <c r="K28" s="4" t="inlineStr"/>
      <c r="L28" s="4" t="inlineStr"/>
      <c r="M28" s="4" t="inlineStr"/>
      <c r="N28" s="4" t="inlineStr"/>
      <c r="O28" s="4" t="inlineStr"/>
      <c r="P28" s="4">
        <f>IF(C28&lt;12,"Y","")</f>
        <v/>
      </c>
      <c r="Q28" s="4">
        <f>COUNTIF(K28:P28,"Y")</f>
        <v/>
      </c>
      <c r="R28" s="5">
        <f>IF(Q28&gt;=3,"USE","CONTEXT")</f>
        <v/>
      </c>
      <c r="S28" s="2" t="inlineStr">
        <is>
          <t>A2 The receipt</t>
        </is>
      </c>
    </row>
    <row r="29">
      <c r="A29" s="2" t="inlineStr">
        <is>
          <t>Q028</t>
        </is>
      </c>
      <c r="B29" s="3" t="inlineStr">
        <is>
          <t>300 mg a day for 60 days in 66 adults, a 38% NAD+ increase by day 60.</t>
        </is>
      </c>
      <c r="C29" s="4">
        <f>IF(LEN(TRIM(B29))=0,0,LEN(TRIM(B29))-LEN(SUBSTITUTE(TRIM(B29)," ",""))+1)</f>
        <v/>
      </c>
      <c r="D29" s="2" t="inlineStr">
        <is>
          <t>ProHealth NMN Pro (Uthever)</t>
        </is>
      </c>
      <c r="E29" s="2" t="inlineStr">
        <is>
          <t>kLr · 4★ · Jun 2026 · Vine</t>
        </is>
      </c>
      <c r="F29" s="2" t="inlineStr">
        <is>
          <t>Verbatim</t>
        </is>
      </c>
      <c r="G29" s="2" t="inlineStr">
        <is>
          <t>Pride</t>
        </is>
      </c>
      <c r="H29" s="2" t="inlineStr">
        <is>
          <t>Be the person who did the research</t>
        </is>
      </c>
      <c r="I29" s="2" t="inlineStr">
        <is>
          <t>BENEFIT · Human RCT</t>
        </is>
      </c>
      <c r="J29" s="2" t="inlineStr">
        <is>
          <t>Reading the label</t>
        </is>
      </c>
      <c r="K29" s="4" t="inlineStr">
        <is>
          <t>Y</t>
        </is>
      </c>
      <c r="L29" s="4" t="inlineStr"/>
      <c r="M29" s="4" t="inlineStr"/>
      <c r="N29" s="4" t="inlineStr"/>
      <c r="O29" s="4" t="inlineStr"/>
      <c r="P29" s="4">
        <f>IF(C29&lt;12,"Y","")</f>
        <v/>
      </c>
      <c r="Q29" s="4">
        <f>COUNTIF(K29:P29,"Y")</f>
        <v/>
      </c>
      <c r="R29" s="5">
        <f>IF(Q29&gt;=3,"USE","CONTEXT")</f>
        <v/>
      </c>
      <c r="S29" s="2" t="inlineStr">
        <is>
          <t>A4 Dose is the product</t>
        </is>
      </c>
    </row>
    <row r="30">
      <c r="A30" s="2" t="inlineStr">
        <is>
          <t>Q029</t>
        </is>
      </c>
      <c r="B30" s="3" t="inlineStr">
        <is>
          <t>Results vary by interpretation, dose and duration.</t>
        </is>
      </c>
      <c r="C30" s="4">
        <f>IF(LEN(TRIM(B30))=0,0,LEN(TRIM(B30))-LEN(SUBSTITUTE(TRIM(B30)," ",""))+1)</f>
        <v/>
      </c>
      <c r="D30" s="2" t="inlineStr">
        <is>
          <t>ProHealth NMN Pro (Uthever)</t>
        </is>
      </c>
      <c r="E30" s="2" t="inlineStr">
        <is>
          <t>kLr · 4★ · Jun 2026 · Vine</t>
        </is>
      </c>
      <c r="F30" s="2" t="inlineStr">
        <is>
          <t>Verbatim</t>
        </is>
      </c>
      <c r="G30" s="2" t="inlineStr">
        <is>
          <t>Fear</t>
        </is>
      </c>
      <c r="H30" s="2" t="inlineStr">
        <is>
          <t>Know whether it's working</t>
        </is>
      </c>
      <c r="I30" s="2" t="inlineStr">
        <is>
          <t>OBJECTION · Evidence immature</t>
        </is>
      </c>
      <c r="J30" s="2" t="inlineStr">
        <is>
          <t>Pre-purchase research</t>
        </is>
      </c>
      <c r="K30" s="4" t="inlineStr"/>
      <c r="L30" s="4" t="inlineStr"/>
      <c r="M30" s="4" t="inlineStr"/>
      <c r="N30" s="4" t="inlineStr"/>
      <c r="O30" s="4" t="inlineStr">
        <is>
          <t>Y</t>
        </is>
      </c>
      <c r="P30" s="4">
        <f>IF(C30&lt;12,"Y","")</f>
        <v/>
      </c>
      <c r="Q30" s="4">
        <f>COUNTIF(K30:P30,"Y")</f>
        <v/>
      </c>
      <c r="R30" s="5">
        <f>IF(Q30&gt;=3,"USE","CONTEXT")</f>
        <v/>
      </c>
      <c r="S30" s="2" t="inlineStr">
        <is>
          <t>A7 Honest science</t>
        </is>
      </c>
    </row>
    <row r="31">
      <c r="A31" s="2" t="inlineStr">
        <is>
          <t>Q030</t>
        </is>
      </c>
      <c r="B31" s="3" t="inlineStr">
        <is>
          <t>Liposomal delivery is supposed to enhance absorption.</t>
        </is>
      </c>
      <c r="C31" s="4">
        <f>IF(LEN(TRIM(B31))=0,0,LEN(TRIM(B31))-LEN(SUBSTITUTE(TRIM(B31)," ",""))+1)</f>
        <v/>
      </c>
      <c r="D31" s="2" t="inlineStr">
        <is>
          <t>ProHealth NMN Pro (Uthever)</t>
        </is>
      </c>
      <c r="E31" s="2" t="inlineStr">
        <is>
          <t>kLr · 4★ · Jun 2026 · Vine</t>
        </is>
      </c>
      <c r="F31" s="2" t="inlineStr">
        <is>
          <t>Verbatim</t>
        </is>
      </c>
      <c r="G31" s="2" t="inlineStr">
        <is>
          <t>Hope</t>
        </is>
      </c>
      <c r="H31" s="2" t="inlineStr">
        <is>
          <t>Verify it's real and safe</t>
        </is>
      </c>
      <c r="I31" s="2" t="inlineStr">
        <is>
          <t>OBJECTION · Absorption claim</t>
        </is>
      </c>
      <c r="J31" s="2" t="inlineStr">
        <is>
          <t>Reading the label</t>
        </is>
      </c>
      <c r="K31" s="4" t="inlineStr"/>
      <c r="L31" s="4" t="inlineStr"/>
      <c r="M31" s="4" t="inlineStr"/>
      <c r="N31" s="4" t="inlineStr"/>
      <c r="O31" s="4" t="inlineStr"/>
      <c r="P31" s="4">
        <f>IF(C31&lt;12,"Y","")</f>
        <v/>
      </c>
      <c r="Q31" s="4">
        <f>COUNTIF(K31:P31,"Y")</f>
        <v/>
      </c>
      <c r="R31" s="5">
        <f>IF(Q31&gt;=3,"USE","CONTEXT")</f>
        <v/>
      </c>
      <c r="S31" s="2" t="inlineStr">
        <is>
          <t>A4 Dose is the product</t>
        </is>
      </c>
    </row>
    <row r="32">
      <c r="A32" s="2" t="inlineStr">
        <is>
          <t>Q031</t>
        </is>
      </c>
      <c r="B32" s="3" t="inlineStr">
        <is>
          <t>Depending on how much you wish to take, one bottle could last weeks or months.</t>
        </is>
      </c>
      <c r="C32" s="4">
        <f>IF(LEN(TRIM(B32))=0,0,LEN(TRIM(B32))-LEN(SUBSTITUTE(TRIM(B32)," ",""))+1)</f>
        <v/>
      </c>
      <c r="D32" s="2" t="inlineStr">
        <is>
          <t>ProHealth NMN Pro (Uthever)</t>
        </is>
      </c>
      <c r="E32" s="2" t="inlineStr">
        <is>
          <t>kLr · 4★ · Jun 2026 · Vine</t>
        </is>
      </c>
      <c r="F32" s="2" t="inlineStr">
        <is>
          <t>Verbatim</t>
        </is>
      </c>
      <c r="G32" s="2" t="inlineStr">
        <is>
          <t>Fear</t>
        </is>
      </c>
      <c r="H32" s="2" t="inlineStr">
        <is>
          <t>Justify the ongoing spend</t>
        </is>
      </c>
      <c r="I32" s="2" t="inlineStr">
        <is>
          <t>OBJECTION · True supply length</t>
        </is>
      </c>
      <c r="J32" s="2" t="inlineStr">
        <is>
          <t>Doing the price math</t>
        </is>
      </c>
      <c r="K32" s="4" t="inlineStr"/>
      <c r="L32" s="4" t="inlineStr"/>
      <c r="M32" s="4" t="inlineStr"/>
      <c r="N32" s="4" t="inlineStr"/>
      <c r="O32" s="4" t="inlineStr">
        <is>
          <t>Y</t>
        </is>
      </c>
      <c r="P32" s="4">
        <f>IF(C32&lt;12,"Y","")</f>
        <v/>
      </c>
      <c r="Q32" s="4">
        <f>COUNTIF(K32:P32,"Y")</f>
        <v/>
      </c>
      <c r="R32" s="5">
        <f>IF(Q32&gt;=3,"USE","CONTEXT")</f>
        <v/>
      </c>
      <c r="S32" s="2" t="inlineStr">
        <is>
          <t>A3 Do the math</t>
        </is>
      </c>
    </row>
    <row r="33">
      <c r="A33" s="2" t="inlineStr">
        <is>
          <t>Q032</t>
        </is>
      </c>
      <c r="B33" s="3" t="inlineStr">
        <is>
          <t>I kind of had high hopes for this longevity supplement.</t>
        </is>
      </c>
      <c r="C33" s="4">
        <f>IF(LEN(TRIM(B33))=0,0,LEN(TRIM(B33))-LEN(SUBSTITUTE(TRIM(B33)," ",""))+1)</f>
        <v/>
      </c>
      <c r="D33" s="2" t="inlineStr">
        <is>
          <t>ProHealth NMN Pro (Uthever)</t>
        </is>
      </c>
      <c r="E33" s="2" t="inlineStr">
        <is>
          <t>Nancy Taylor · 3★ · Jul 2026</t>
        </is>
      </c>
      <c r="F33" s="2" t="inlineStr">
        <is>
          <t>Verbatim</t>
        </is>
      </c>
      <c r="G33" s="2" t="inlineStr">
        <is>
          <t>Grief</t>
        </is>
      </c>
      <c r="H33" s="2" t="inlineStr">
        <is>
          <t>Know whether it's working</t>
        </is>
      </c>
      <c r="I33" s="2" t="inlineStr">
        <is>
          <t>OBJECTION · Unmet expectation</t>
        </is>
      </c>
      <c r="J33" s="2" t="inlineStr">
        <is>
          <t>Weeks 2–4</t>
        </is>
      </c>
      <c r="K33" s="4" t="inlineStr"/>
      <c r="L33" s="4" t="inlineStr"/>
      <c r="M33" s="4" t="inlineStr"/>
      <c r="N33" s="4" t="inlineStr">
        <is>
          <t>Y</t>
        </is>
      </c>
      <c r="O33" s="4" t="inlineStr">
        <is>
          <t>Y</t>
        </is>
      </c>
      <c r="P33" s="4">
        <f>IF(C33&lt;12,"Y","")</f>
        <v/>
      </c>
      <c r="Q33" s="4">
        <f>COUNTIF(K33:P33,"Y")</f>
        <v/>
      </c>
      <c r="R33" s="6">
        <f>IF(Q33&gt;=3,"USE","CONTEXT")</f>
        <v/>
      </c>
      <c r="S33" s="2" t="inlineStr">
        <is>
          <t>A1 You won't feel it</t>
        </is>
      </c>
    </row>
    <row r="34">
      <c r="A34" s="2" t="inlineStr">
        <is>
          <t>Q033</t>
        </is>
      </c>
      <c r="B34" s="3" t="inlineStr">
        <is>
          <t>I'm not feeling any different energy wise.</t>
        </is>
      </c>
      <c r="C34" s="4">
        <f>IF(LEN(TRIM(B34))=0,0,LEN(TRIM(B34))-LEN(SUBSTITUTE(TRIM(B34)," ",""))+1)</f>
        <v/>
      </c>
      <c r="D34" s="2" t="inlineStr">
        <is>
          <t>ProHealth NMN Pro (Uthever)</t>
        </is>
      </c>
      <c r="E34" s="2" t="inlineStr">
        <is>
          <t>Nancy Taylor · 3★ · Jul 2026</t>
        </is>
      </c>
      <c r="F34" s="2" t="inlineStr">
        <is>
          <t>Verbatim</t>
        </is>
      </c>
      <c r="G34" s="2" t="inlineStr">
        <is>
          <t>Grief</t>
        </is>
      </c>
      <c r="H34" s="2" t="inlineStr">
        <is>
          <t>Get my energy back</t>
        </is>
      </c>
      <c r="I34" s="2" t="inlineStr">
        <is>
          <t>OBJECTION · Felt nothing</t>
        </is>
      </c>
      <c r="J34" s="2" t="inlineStr">
        <is>
          <t>Weeks 2–4</t>
        </is>
      </c>
      <c r="K34" s="4" t="inlineStr"/>
      <c r="L34" s="4" t="inlineStr">
        <is>
          <t>Y</t>
        </is>
      </c>
      <c r="M34" s="4" t="inlineStr"/>
      <c r="N34" s="4" t="inlineStr"/>
      <c r="O34" s="4" t="inlineStr">
        <is>
          <t>Y</t>
        </is>
      </c>
      <c r="P34" s="4">
        <f>IF(C34&lt;12,"Y","")</f>
        <v/>
      </c>
      <c r="Q34" s="4">
        <f>COUNTIF(K34:P34,"Y")</f>
        <v/>
      </c>
      <c r="R34" s="6">
        <f>IF(Q34&gt;=3,"USE","CONTEXT")</f>
        <v/>
      </c>
      <c r="S34" s="2" t="inlineStr">
        <is>
          <t>A1 You won't feel it</t>
        </is>
      </c>
    </row>
    <row r="35">
      <c r="A35" s="2" t="inlineStr">
        <is>
          <t>Q034</t>
        </is>
      </c>
      <c r="B35" s="3" t="inlineStr">
        <is>
          <t>But maybe I need to give it more time?</t>
        </is>
      </c>
      <c r="C35" s="4">
        <f>IF(LEN(TRIM(B35))=0,0,LEN(TRIM(B35))-LEN(SUBSTITUTE(TRIM(B35)," ",""))+1)</f>
        <v/>
      </c>
      <c r="D35" s="2" t="inlineStr">
        <is>
          <t>ProHealth NMN Pro (Uthever)</t>
        </is>
      </c>
      <c r="E35" s="2" t="inlineStr">
        <is>
          <t>Nancy Taylor · 3★ · Jul 2026</t>
        </is>
      </c>
      <c r="F35" s="2" t="inlineStr">
        <is>
          <t>Verbatim</t>
        </is>
      </c>
      <c r="G35" s="2" t="inlineStr">
        <is>
          <t>Hope</t>
        </is>
      </c>
      <c r="H35" s="2" t="inlineStr">
        <is>
          <t>Know whether it's working</t>
        </is>
      </c>
      <c r="I35" s="2" t="inlineStr">
        <is>
          <t>OBJECTION · Timeline unclear</t>
        </is>
      </c>
      <c r="J35" s="2" t="inlineStr">
        <is>
          <t>Weeks 2–4</t>
        </is>
      </c>
      <c r="K35" s="4" t="inlineStr"/>
      <c r="L35" s="4" t="inlineStr"/>
      <c r="M35" s="4" t="inlineStr"/>
      <c r="N35" s="4" t="inlineStr">
        <is>
          <t>Y</t>
        </is>
      </c>
      <c r="O35" s="4" t="inlineStr">
        <is>
          <t>Y</t>
        </is>
      </c>
      <c r="P35" s="4">
        <f>IF(C35&lt;12,"Y","")</f>
        <v/>
      </c>
      <c r="Q35" s="4">
        <f>COUNTIF(K35:P35,"Y")</f>
        <v/>
      </c>
      <c r="R35" s="6">
        <f>IF(Q35&gt;=3,"USE","CONTEXT")</f>
        <v/>
      </c>
      <c r="S35" s="2" t="inlineStr">
        <is>
          <t>A1 You won't feel it</t>
        </is>
      </c>
    </row>
    <row r="36">
      <c r="A36" s="2" t="inlineStr">
        <is>
          <t>Q035</t>
        </is>
      </c>
      <c r="B36" s="3" t="inlineStr">
        <is>
          <t>It's not inexpensive so I probably won't be ordering again.</t>
        </is>
      </c>
      <c r="C36" s="4">
        <f>IF(LEN(TRIM(B36))=0,0,LEN(TRIM(B36))-LEN(SUBSTITUTE(TRIM(B36)," ",""))+1)</f>
        <v/>
      </c>
      <c r="D36" s="2" t="inlineStr">
        <is>
          <t>ProHealth NMN Pro (Uthever)</t>
        </is>
      </c>
      <c r="E36" s="2" t="inlineStr">
        <is>
          <t>Nancy Taylor · 3★ · Jul 2026</t>
        </is>
      </c>
      <c r="F36" s="2" t="inlineStr">
        <is>
          <t>Verbatim</t>
        </is>
      </c>
      <c r="G36" s="2" t="inlineStr">
        <is>
          <t>Anger</t>
        </is>
      </c>
      <c r="H36" s="2" t="inlineStr">
        <is>
          <t>Justify the ongoing spend</t>
        </is>
      </c>
      <c r="I36" s="2" t="inlineStr">
        <is>
          <t>OBJECTION · Cost per day</t>
        </is>
      </c>
      <c r="J36" s="2" t="inlineStr">
        <is>
          <t>Reorder decision</t>
        </is>
      </c>
      <c r="K36" s="4" t="inlineStr"/>
      <c r="L36" s="4" t="inlineStr"/>
      <c r="M36" s="4" t="inlineStr"/>
      <c r="N36" s="4" t="inlineStr"/>
      <c r="O36" s="4" t="inlineStr">
        <is>
          <t>Y</t>
        </is>
      </c>
      <c r="P36" s="4">
        <f>IF(C36&lt;12,"Y","")</f>
        <v/>
      </c>
      <c r="Q36" s="4">
        <f>COUNTIF(K36:P36,"Y")</f>
        <v/>
      </c>
      <c r="R36" s="5">
        <f>IF(Q36&gt;=3,"USE","CONTEXT")</f>
        <v/>
      </c>
      <c r="S36" s="2" t="inlineStr">
        <is>
          <t>A3 Do the math</t>
        </is>
      </c>
    </row>
    <row r="37">
      <c r="A37" s="2" t="inlineStr">
        <is>
          <t>Q036</t>
        </is>
      </c>
      <c r="B37" s="3" t="inlineStr">
        <is>
          <t>Was hoping to notice a change while taking.</t>
        </is>
      </c>
      <c r="C37" s="4">
        <f>IF(LEN(TRIM(B37))=0,0,LEN(TRIM(B37))-LEN(SUBSTITUTE(TRIM(B37)," ",""))+1)</f>
        <v/>
      </c>
      <c r="D37" s="2" t="inlineStr">
        <is>
          <t>ProHealth NMN Pro (Uthever)</t>
        </is>
      </c>
      <c r="E37" s="2" t="inlineStr">
        <is>
          <t>Nancy Taylor · 3★ · Jul 2026</t>
        </is>
      </c>
      <c r="F37" s="2" t="inlineStr">
        <is>
          <t>Verbatim</t>
        </is>
      </c>
      <c r="G37" s="2" t="inlineStr">
        <is>
          <t>Grief</t>
        </is>
      </c>
      <c r="H37" s="2" t="inlineStr">
        <is>
          <t>Know whether it's working</t>
        </is>
      </c>
      <c r="I37" s="2" t="inlineStr">
        <is>
          <t>OBJECTION · Felt nothing</t>
        </is>
      </c>
      <c r="J37" s="2" t="inlineStr">
        <is>
          <t>Weeks 2–4</t>
        </is>
      </c>
      <c r="K37" s="4" t="inlineStr"/>
      <c r="L37" s="4" t="inlineStr">
        <is>
          <t>Y</t>
        </is>
      </c>
      <c r="M37" s="4" t="inlineStr"/>
      <c r="N37" s="4" t="inlineStr">
        <is>
          <t>Y</t>
        </is>
      </c>
      <c r="O37" s="4" t="inlineStr">
        <is>
          <t>Y</t>
        </is>
      </c>
      <c r="P37" s="4">
        <f>IF(C37&lt;12,"Y","")</f>
        <v/>
      </c>
      <c r="Q37" s="4">
        <f>COUNTIF(K37:P37,"Y")</f>
        <v/>
      </c>
      <c r="R37" s="6">
        <f>IF(Q37&gt;=3,"USE","CONTEXT")</f>
        <v/>
      </c>
      <c r="S37" s="2" t="inlineStr">
        <is>
          <t>A1 You won't feel it</t>
        </is>
      </c>
    </row>
    <row r="38">
      <c r="A38" s="2" t="inlineStr">
        <is>
          <t>Q037</t>
        </is>
      </c>
      <c r="B38" s="3" t="inlineStr">
        <is>
          <t>As recommended by the bottle I took two pills around 8am.</t>
        </is>
      </c>
      <c r="C38" s="4">
        <f>IF(LEN(TRIM(B38))=0,0,LEN(TRIM(B38))-LEN(SUBSTITUTE(TRIM(B38)," ",""))+1)</f>
        <v/>
      </c>
      <c r="D38" s="2" t="inlineStr">
        <is>
          <t>ProHealth NMN Pro (Uthever)</t>
        </is>
      </c>
      <c r="E38" s="2" t="inlineStr">
        <is>
          <t>Matthew B · 1★ · Mar 2022</t>
        </is>
      </c>
      <c r="F38" s="2" t="inlineStr">
        <is>
          <t>Verbatim</t>
        </is>
      </c>
      <c r="G38" s="2" t="inlineStr">
        <is>
          <t>Anger</t>
        </is>
      </c>
      <c r="H38" s="2" t="inlineStr">
        <is>
          <t>Protect a sensitive body</t>
        </is>
      </c>
      <c r="I38" s="2" t="inlineStr">
        <is>
          <t>OBJECTION · Dose guidance</t>
        </is>
      </c>
      <c r="J38" s="2" t="inlineStr">
        <is>
          <t>First dose</t>
        </is>
      </c>
      <c r="K38" s="4" t="inlineStr">
        <is>
          <t>Y</t>
        </is>
      </c>
      <c r="L38" s="4" t="inlineStr"/>
      <c r="M38" s="4" t="inlineStr"/>
      <c r="N38" s="4" t="inlineStr"/>
      <c r="O38" s="4" t="inlineStr">
        <is>
          <t>Y</t>
        </is>
      </c>
      <c r="P38" s="4">
        <f>IF(C38&lt;12,"Y","")</f>
        <v/>
      </c>
      <c r="Q38" s="4">
        <f>COUNTIF(K38:P38,"Y")</f>
        <v/>
      </c>
      <c r="R38" s="6">
        <f>IF(Q38&gt;=3,"USE","CONTEXT")</f>
        <v/>
      </c>
      <c r="S38" s="2" t="inlineStr">
        <is>
          <t>A5 Gentle start</t>
        </is>
      </c>
    </row>
    <row r="39">
      <c r="A39" s="2" t="inlineStr">
        <is>
          <t>Q038</t>
        </is>
      </c>
      <c r="B39" s="3" t="inlineStr">
        <is>
          <t>I was unable to fall asleep until 6am the following morning.</t>
        </is>
      </c>
      <c r="C39" s="4">
        <f>IF(LEN(TRIM(B39))=0,0,LEN(TRIM(B39))-LEN(SUBSTITUTE(TRIM(B39)," ",""))+1)</f>
        <v/>
      </c>
      <c r="D39" s="2" t="inlineStr">
        <is>
          <t>ProHealth NMN Pro (Uthever)</t>
        </is>
      </c>
      <c r="E39" s="2" t="inlineStr">
        <is>
          <t>Matthew B · 1★ · Mar 2022</t>
        </is>
      </c>
      <c r="F39" s="2" t="inlineStr">
        <is>
          <t>Verbatim</t>
        </is>
      </c>
      <c r="G39" s="2" t="inlineStr">
        <is>
          <t>Anger</t>
        </is>
      </c>
      <c r="H39" s="2" t="inlineStr">
        <is>
          <t>Sleep through the night</t>
        </is>
      </c>
      <c r="I39" s="2" t="inlineStr">
        <is>
          <t>OBJECTION · Insomnia</t>
        </is>
      </c>
      <c r="J39" s="2" t="inlineStr">
        <is>
          <t>First dose</t>
        </is>
      </c>
      <c r="K39" s="4" t="inlineStr">
        <is>
          <t>Y</t>
        </is>
      </c>
      <c r="L39" s="4" t="inlineStr">
        <is>
          <t>Y</t>
        </is>
      </c>
      <c r="M39" s="4" t="inlineStr"/>
      <c r="N39" s="4" t="inlineStr"/>
      <c r="O39" s="4" t="inlineStr">
        <is>
          <t>Y</t>
        </is>
      </c>
      <c r="P39" s="4">
        <f>IF(C39&lt;12,"Y","")</f>
        <v/>
      </c>
      <c r="Q39" s="4">
        <f>COUNTIF(K39:P39,"Y")</f>
        <v/>
      </c>
      <c r="R39" s="6">
        <f>IF(Q39&gt;=3,"USE","CONTEXT")</f>
        <v/>
      </c>
      <c r="S39" s="2" t="inlineStr">
        <is>
          <t>A5 Gentle start</t>
        </is>
      </c>
    </row>
    <row r="40">
      <c r="A40" s="2" t="inlineStr">
        <is>
          <t>Q039</t>
        </is>
      </c>
      <c r="B40" s="3" t="inlineStr">
        <is>
          <t>I experienced an increase in energy, an increase in heart rate, and anxiousness.</t>
        </is>
      </c>
      <c r="C40" s="4">
        <f>IF(LEN(TRIM(B40))=0,0,LEN(TRIM(B40))-LEN(SUBSTITUTE(TRIM(B40)," ",""))+1)</f>
        <v/>
      </c>
      <c r="D40" s="2" t="inlineStr">
        <is>
          <t>ProHealth NMN Pro (Uthever)</t>
        </is>
      </c>
      <c r="E40" s="2" t="inlineStr">
        <is>
          <t>Matthew B · 1★ · Mar 2022</t>
        </is>
      </c>
      <c r="F40" s="2" t="inlineStr">
        <is>
          <t>Verbatim</t>
        </is>
      </c>
      <c r="G40" s="2" t="inlineStr">
        <is>
          <t>Fear</t>
        </is>
      </c>
      <c r="H40" s="2" t="inlineStr">
        <is>
          <t>Protect a sensitive body</t>
        </is>
      </c>
      <c r="I40" s="2" t="inlineStr">
        <is>
          <t>OBJECTION · Over-stimulation</t>
        </is>
      </c>
      <c r="J40" s="2" t="inlineStr">
        <is>
          <t>First dose</t>
        </is>
      </c>
      <c r="K40" s="4" t="inlineStr"/>
      <c r="L40" s="4" t="inlineStr">
        <is>
          <t>Y</t>
        </is>
      </c>
      <c r="M40" s="4" t="inlineStr"/>
      <c r="N40" s="4" t="inlineStr"/>
      <c r="O40" s="4" t="inlineStr">
        <is>
          <t>Y</t>
        </is>
      </c>
      <c r="P40" s="4">
        <f>IF(C40&lt;12,"Y","")</f>
        <v/>
      </c>
      <c r="Q40" s="4">
        <f>COUNTIF(K40:P40,"Y")</f>
        <v/>
      </c>
      <c r="R40" s="5">
        <f>IF(Q40&gt;=3,"USE","CONTEXT")</f>
        <v/>
      </c>
      <c r="S40" s="2" t="inlineStr">
        <is>
          <t>A5 Gentle start</t>
        </is>
      </c>
    </row>
    <row r="41">
      <c r="A41" s="2" t="inlineStr">
        <is>
          <t>Q040</t>
        </is>
      </c>
      <c r="B41" s="3" t="inlineStr">
        <is>
          <t>I do not drink caffeinated drinks as I am sensitive to caffeine.</t>
        </is>
      </c>
      <c r="C41" s="4">
        <f>IF(LEN(TRIM(B41))=0,0,LEN(TRIM(B41))-LEN(SUBSTITUTE(TRIM(B41)," ",""))+1)</f>
        <v/>
      </c>
      <c r="D41" s="2" t="inlineStr">
        <is>
          <t>ProHealth NMN Pro (Uthever)</t>
        </is>
      </c>
      <c r="E41" s="2" t="inlineStr">
        <is>
          <t>Matthew B · 1★ · Mar 2022</t>
        </is>
      </c>
      <c r="F41" s="2" t="inlineStr">
        <is>
          <t>Verbatim</t>
        </is>
      </c>
      <c r="G41" s="2" t="inlineStr">
        <is>
          <t>Fear</t>
        </is>
      </c>
      <c r="H41" s="2" t="inlineStr">
        <is>
          <t>Protect a sensitive body</t>
        </is>
      </c>
      <c r="I41" s="2" t="inlineStr">
        <is>
          <t>BENEFIT · Segment tell</t>
        </is>
      </c>
      <c r="J41" s="2" t="inlineStr">
        <is>
          <t>Pre-purchase research</t>
        </is>
      </c>
      <c r="K41" s="4" t="inlineStr"/>
      <c r="L41" s="4" t="inlineStr">
        <is>
          <t>Y</t>
        </is>
      </c>
      <c r="M41" s="4" t="inlineStr"/>
      <c r="N41" s="4" t="inlineStr"/>
      <c r="O41" s="4" t="inlineStr">
        <is>
          <t>Y</t>
        </is>
      </c>
      <c r="P41" s="4">
        <f>IF(C41&lt;12,"Y","")</f>
        <v/>
      </c>
      <c r="Q41" s="4">
        <f>COUNTIF(K41:P41,"Y")</f>
        <v/>
      </c>
      <c r="R41" s="5">
        <f>IF(Q41&gt;=3,"USE","CONTEXT")</f>
        <v/>
      </c>
      <c r="S41" s="2" t="inlineStr">
        <is>
          <t>A5 Gentle start</t>
        </is>
      </c>
    </row>
    <row r="42">
      <c r="A42" s="2" t="inlineStr">
        <is>
          <t>Q041</t>
        </is>
      </c>
      <c r="B42" s="3" t="inlineStr">
        <is>
          <t>I suspect this is just a caffeine pill.</t>
        </is>
      </c>
      <c r="C42" s="4">
        <f>IF(LEN(TRIM(B42))=0,0,LEN(TRIM(B42))-LEN(SUBSTITUTE(TRIM(B42)," ",""))+1)</f>
        <v/>
      </c>
      <c r="D42" s="2" t="inlineStr">
        <is>
          <t>ProHealth NMN Pro (Uthever)</t>
        </is>
      </c>
      <c r="E42" s="2" t="inlineStr">
        <is>
          <t>Matthew B · 1★ · Mar 2022</t>
        </is>
      </c>
      <c r="F42" s="2" t="inlineStr">
        <is>
          <t>Verbatim</t>
        </is>
      </c>
      <c r="G42" s="2" t="inlineStr">
        <is>
          <t>Anger</t>
        </is>
      </c>
      <c r="H42" s="2" t="inlineStr">
        <is>
          <t>Not get ripped off</t>
        </is>
      </c>
      <c r="I42" s="2" t="inlineStr">
        <is>
          <t>OBJECTION · Is it real?</t>
        </is>
      </c>
      <c r="J42" s="2" t="inlineStr">
        <is>
          <t>Abandonment / refund</t>
        </is>
      </c>
      <c r="K42" s="4" t="inlineStr"/>
      <c r="L42" s="4" t="inlineStr"/>
      <c r="M42" s="4" t="inlineStr"/>
      <c r="N42" s="4" t="inlineStr"/>
      <c r="O42" s="4" t="inlineStr">
        <is>
          <t>Y</t>
        </is>
      </c>
      <c r="P42" s="4">
        <f>IF(C42&lt;12,"Y","")</f>
        <v/>
      </c>
      <c r="Q42" s="4">
        <f>COUNTIF(K42:P42,"Y")</f>
        <v/>
      </c>
      <c r="R42" s="5">
        <f>IF(Q42&gt;=3,"USE","CONTEXT")</f>
        <v/>
      </c>
      <c r="S42" s="2" t="inlineStr">
        <is>
          <t>A2 The receipt</t>
        </is>
      </c>
    </row>
    <row r="43">
      <c r="A43" s="2" t="inlineStr">
        <is>
          <t>Q042</t>
        </is>
      </c>
      <c r="B43" s="3" t="inlineStr">
        <is>
          <t>Buyer beware.</t>
        </is>
      </c>
      <c r="C43" s="4">
        <f>IF(LEN(TRIM(B43))=0,0,LEN(TRIM(B43))-LEN(SUBSTITUTE(TRIM(B43)," ",""))+1)</f>
        <v/>
      </c>
      <c r="D43" s="2" t="inlineStr">
        <is>
          <t>ProHealth NMN Pro (Uthever)</t>
        </is>
      </c>
      <c r="E43" s="2" t="inlineStr">
        <is>
          <t>Matthew B · 1★ · Mar 2022</t>
        </is>
      </c>
      <c r="F43" s="2" t="inlineStr">
        <is>
          <t>Verbatim</t>
        </is>
      </c>
      <c r="G43" s="2" t="inlineStr">
        <is>
          <t>Anger</t>
        </is>
      </c>
      <c r="H43" s="2" t="inlineStr">
        <is>
          <t>Not get ripped off</t>
        </is>
      </c>
      <c r="I43" s="2" t="inlineStr">
        <is>
          <t>OBJECTION · Is it real?</t>
        </is>
      </c>
      <c r="J43" s="2" t="inlineStr">
        <is>
          <t>Warning others</t>
        </is>
      </c>
      <c r="K43" s="4" t="inlineStr"/>
      <c r="L43" s="4" t="inlineStr"/>
      <c r="M43" s="4" t="inlineStr"/>
      <c r="N43" s="4" t="inlineStr"/>
      <c r="O43" s="4" t="inlineStr">
        <is>
          <t>Y</t>
        </is>
      </c>
      <c r="P43" s="4">
        <f>IF(C43&lt;12,"Y","")</f>
        <v/>
      </c>
      <c r="Q43" s="4">
        <f>COUNTIF(K43:P43,"Y")</f>
        <v/>
      </c>
      <c r="R43" s="5">
        <f>IF(Q43&gt;=3,"USE","CONTEXT")</f>
        <v/>
      </c>
      <c r="S43" s="2" t="inlineStr">
        <is>
          <t>A2 The receipt</t>
        </is>
      </c>
    </row>
    <row r="44">
      <c r="A44" s="2" t="inlineStr">
        <is>
          <t>Q043</t>
        </is>
      </c>
      <c r="B44" s="3" t="inlineStr">
        <is>
          <t>Will not be taking this again.</t>
        </is>
      </c>
      <c r="C44" s="4">
        <f>IF(LEN(TRIM(B44))=0,0,LEN(TRIM(B44))-LEN(SUBSTITUTE(TRIM(B44)," ",""))+1)</f>
        <v/>
      </c>
      <c r="D44" s="2" t="inlineStr">
        <is>
          <t>ProHealth NMN Pro (Uthever)</t>
        </is>
      </c>
      <c r="E44" s="2" t="inlineStr">
        <is>
          <t>Matthew B · 1★ · Mar 2022</t>
        </is>
      </c>
      <c r="F44" s="2" t="inlineStr">
        <is>
          <t>Verbatim</t>
        </is>
      </c>
      <c r="G44" s="2" t="inlineStr">
        <is>
          <t>Anger</t>
        </is>
      </c>
      <c r="H44" s="2" t="inlineStr">
        <is>
          <t>Not get ripped off</t>
        </is>
      </c>
      <c r="I44" s="2" t="inlineStr">
        <is>
          <t>OBJECTION · Abandonment</t>
        </is>
      </c>
      <c r="J44" s="2" t="inlineStr">
        <is>
          <t>Abandonment / refund</t>
        </is>
      </c>
      <c r="K44" s="4" t="inlineStr"/>
      <c r="L44" s="4" t="inlineStr"/>
      <c r="M44" s="4" t="inlineStr"/>
      <c r="N44" s="4" t="inlineStr"/>
      <c r="O44" s="4" t="inlineStr">
        <is>
          <t>Y</t>
        </is>
      </c>
      <c r="P44" s="4">
        <f>IF(C44&lt;12,"Y","")</f>
        <v/>
      </c>
      <c r="Q44" s="4">
        <f>COUNTIF(K44:P44,"Y")</f>
        <v/>
      </c>
      <c r="R44" s="5">
        <f>IF(Q44&gt;=3,"USE","CONTEXT")</f>
        <v/>
      </c>
      <c r="S44" s="2" t="inlineStr">
        <is>
          <t>A5 Gentle start</t>
        </is>
      </c>
    </row>
    <row r="45">
      <c r="A45" s="2" t="inlineStr">
        <is>
          <t>Q044</t>
        </is>
      </c>
      <c r="B45" s="3" t="inlineStr">
        <is>
          <t>I have bought 12 bottles of this and I have not felt much difference.</t>
        </is>
      </c>
      <c r="C45" s="4">
        <f>IF(LEN(TRIM(B45))=0,0,LEN(TRIM(B45))-LEN(SUBSTITUTE(TRIM(B45)," ",""))+1)</f>
        <v/>
      </c>
      <c r="D45" s="2" t="inlineStr">
        <is>
          <t>ProHealth NMN Pro (Uthever)</t>
        </is>
      </c>
      <c r="E45" s="2" t="inlineStr">
        <is>
          <t>Rick · 3★ · Sep 2021</t>
        </is>
      </c>
      <c r="F45" s="2" t="inlineStr">
        <is>
          <t>Verbatim</t>
        </is>
      </c>
      <c r="G45" s="2" t="inlineStr">
        <is>
          <t>Grief</t>
        </is>
      </c>
      <c r="H45" s="2" t="inlineStr">
        <is>
          <t>Know whether it's working</t>
        </is>
      </c>
      <c r="I45" s="2" t="inlineStr">
        <is>
          <t>OBJECTION · Felt nothing</t>
        </is>
      </c>
      <c r="J45" s="2" t="inlineStr">
        <is>
          <t>Month 2+</t>
        </is>
      </c>
      <c r="K45" s="4" t="inlineStr"/>
      <c r="L45" s="4" t="inlineStr">
        <is>
          <t>Y</t>
        </is>
      </c>
      <c r="M45" s="4" t="inlineStr"/>
      <c r="N45" s="4" t="inlineStr">
        <is>
          <t>Y</t>
        </is>
      </c>
      <c r="O45" s="4" t="inlineStr">
        <is>
          <t>Y</t>
        </is>
      </c>
      <c r="P45" s="4">
        <f>IF(C45&lt;12,"Y","")</f>
        <v/>
      </c>
      <c r="Q45" s="4">
        <f>COUNTIF(K45:P45,"Y")</f>
        <v/>
      </c>
      <c r="R45" s="6">
        <f>IF(Q45&gt;=3,"USE","CONTEXT")</f>
        <v/>
      </c>
      <c r="S45" s="2" t="inlineStr">
        <is>
          <t>A1 You won't feel it</t>
        </is>
      </c>
    </row>
    <row r="46">
      <c r="A46" s="2" t="inlineStr">
        <is>
          <t>Q045</t>
        </is>
      </c>
      <c r="B46" s="3" t="inlineStr">
        <is>
          <t>I don't know where this stuff is stored or how long it's been on the shelves.</t>
        </is>
      </c>
      <c r="C46" s="4">
        <f>IF(LEN(TRIM(B46))=0,0,LEN(TRIM(B46))-LEN(SUBSTITUTE(TRIM(B46)," ",""))+1)</f>
        <v/>
      </c>
      <c r="D46" s="2" t="inlineStr">
        <is>
          <t>ProHealth NMN Pro (Uthever)</t>
        </is>
      </c>
      <c r="E46" s="2" t="inlineStr">
        <is>
          <t>Rick · 3★ · Sep 2021</t>
        </is>
      </c>
      <c r="F46" s="2" t="inlineStr">
        <is>
          <t>Verbatim</t>
        </is>
      </c>
      <c r="G46" s="2" t="inlineStr">
        <is>
          <t>Fear</t>
        </is>
      </c>
      <c r="H46" s="2" t="inlineStr">
        <is>
          <t>Verify it's real and safe</t>
        </is>
      </c>
      <c r="I46" s="2" t="inlineStr">
        <is>
          <t>OBJECTION · Degradation</t>
        </is>
      </c>
      <c r="J46" s="2" t="inlineStr">
        <is>
          <t>Unboxing / first inspection</t>
        </is>
      </c>
      <c r="K46" s="4" t="inlineStr">
        <is>
          <t>Y</t>
        </is>
      </c>
      <c r="L46" s="4" t="inlineStr"/>
      <c r="M46" s="4" t="inlineStr"/>
      <c r="N46" s="4" t="inlineStr"/>
      <c r="O46" s="4" t="inlineStr">
        <is>
          <t>Y</t>
        </is>
      </c>
      <c r="P46" s="4">
        <f>IF(C46&lt;12,"Y","")</f>
        <v/>
      </c>
      <c r="Q46" s="4">
        <f>COUNTIF(K46:P46,"Y")</f>
        <v/>
      </c>
      <c r="R46" s="5">
        <f>IF(Q46&gt;=3,"USE","CONTEXT")</f>
        <v/>
      </c>
      <c r="S46" s="2" t="inlineStr">
        <is>
          <t>A2 The receipt</t>
        </is>
      </c>
    </row>
    <row r="47">
      <c r="A47" s="2" t="inlineStr">
        <is>
          <t>Q046</t>
        </is>
      </c>
      <c r="B47" s="3" t="inlineStr">
        <is>
          <t>My results have been lackluster.</t>
        </is>
      </c>
      <c r="C47" s="4">
        <f>IF(LEN(TRIM(B47))=0,0,LEN(TRIM(B47))-LEN(SUBSTITUTE(TRIM(B47)," ",""))+1)</f>
        <v/>
      </c>
      <c r="D47" s="2" t="inlineStr">
        <is>
          <t>ProHealth NMN Pro (Uthever)</t>
        </is>
      </c>
      <c r="E47" s="2" t="inlineStr">
        <is>
          <t>Rick · 3★ · Sep 2021</t>
        </is>
      </c>
      <c r="F47" s="2" t="inlineStr">
        <is>
          <t>Verbatim</t>
        </is>
      </c>
      <c r="G47" s="2" t="inlineStr">
        <is>
          <t>Grief</t>
        </is>
      </c>
      <c r="H47" s="2" t="inlineStr">
        <is>
          <t>Know whether it's working</t>
        </is>
      </c>
      <c r="I47" s="2" t="inlineStr">
        <is>
          <t>OBJECTION · Felt nothing</t>
        </is>
      </c>
      <c r="J47" s="2" t="inlineStr">
        <is>
          <t>Month 2+</t>
        </is>
      </c>
      <c r="K47" s="4" t="inlineStr"/>
      <c r="L47" s="4" t="inlineStr"/>
      <c r="M47" s="4" t="inlineStr"/>
      <c r="N47" s="4" t="inlineStr"/>
      <c r="O47" s="4" t="inlineStr">
        <is>
          <t>Y</t>
        </is>
      </c>
      <c r="P47" s="4">
        <f>IF(C47&lt;12,"Y","")</f>
        <v/>
      </c>
      <c r="Q47" s="4">
        <f>COUNTIF(K47:P47,"Y")</f>
        <v/>
      </c>
      <c r="R47" s="5">
        <f>IF(Q47&gt;=3,"USE","CONTEXT")</f>
        <v/>
      </c>
      <c r="S47" s="2" t="inlineStr">
        <is>
          <t>A1 You won't feel it</t>
        </is>
      </c>
    </row>
    <row r="48">
      <c r="A48" s="2" t="inlineStr">
        <is>
          <t>Q047</t>
        </is>
      </c>
      <c r="B48" s="3" t="inlineStr">
        <is>
          <t>I took Niagen brand of NR before trying NMN and I was noticing some cognitive benefit.</t>
        </is>
      </c>
      <c r="C48" s="4">
        <f>IF(LEN(TRIM(B48))=0,0,LEN(TRIM(B48))-LEN(SUBSTITUTE(TRIM(B48)," ",""))+1)</f>
        <v/>
      </c>
      <c r="D48" s="2" t="inlineStr">
        <is>
          <t>ProHealth NMN Pro (Uthever)</t>
        </is>
      </c>
      <c r="E48" s="2" t="inlineStr">
        <is>
          <t>Rick · 3★ · Sep 2021</t>
        </is>
      </c>
      <c r="F48" s="2" t="inlineStr">
        <is>
          <t>Verbatim</t>
        </is>
      </c>
      <c r="G48" s="2" t="inlineStr">
        <is>
          <t>Hope</t>
        </is>
      </c>
      <c r="H48" s="2" t="inlineStr">
        <is>
          <t>Think clearly again</t>
        </is>
      </c>
      <c r="I48" s="2" t="inlineStr">
        <is>
          <t>OBJECTION · NR worked better</t>
        </is>
      </c>
      <c r="J48" s="2" t="inlineStr">
        <is>
          <t>Comparing brands</t>
        </is>
      </c>
      <c r="K48" s="4" t="inlineStr"/>
      <c r="L48" s="4" t="inlineStr">
        <is>
          <t>Y</t>
        </is>
      </c>
      <c r="M48" s="4" t="inlineStr">
        <is>
          <t>Y</t>
        </is>
      </c>
      <c r="N48" s="4" t="inlineStr"/>
      <c r="O48" s="4" t="inlineStr"/>
      <c r="P48" s="4">
        <f>IF(C48&lt;12,"Y","")</f>
        <v/>
      </c>
      <c r="Q48" s="4">
        <f>COUNTIF(K48:P48,"Y")</f>
        <v/>
      </c>
      <c r="R48" s="5">
        <f>IF(Q48&gt;=3,"USE","CONTEXT")</f>
        <v/>
      </c>
      <c r="S48" s="2" t="inlineStr">
        <is>
          <t>A4 Dose is the product</t>
        </is>
      </c>
    </row>
    <row r="49">
      <c r="A49" s="2" t="inlineStr">
        <is>
          <t>Q048</t>
        </is>
      </c>
      <c r="B49" s="3" t="inlineStr">
        <is>
          <t>I take lots of supplements so maybe there was no deficiency that needed to be addressed.</t>
        </is>
      </c>
      <c r="C49" s="4">
        <f>IF(LEN(TRIM(B49))=0,0,LEN(TRIM(B49))-LEN(SUBSTITUTE(TRIM(B49)," ",""))+1)</f>
        <v/>
      </c>
      <c r="D49" s="2" t="inlineStr">
        <is>
          <t>ProHealth NMN Pro (Uthever)</t>
        </is>
      </c>
      <c r="E49" s="2" t="inlineStr">
        <is>
          <t>Rick · 3★ · Sep 2021</t>
        </is>
      </c>
      <c r="F49" s="2" t="inlineStr">
        <is>
          <t>Verbatim</t>
        </is>
      </c>
      <c r="G49" s="2" t="inlineStr">
        <is>
          <t>Shame</t>
        </is>
      </c>
      <c r="H49" s="2" t="inlineStr">
        <is>
          <t>Know whether it's working</t>
        </is>
      </c>
      <c r="I49" s="2" t="inlineStr">
        <is>
          <t>OBJECTION · Stack tax</t>
        </is>
      </c>
      <c r="J49" s="2" t="inlineStr">
        <is>
          <t>Month 2+</t>
        </is>
      </c>
      <c r="K49" s="4" t="inlineStr"/>
      <c r="L49" s="4" t="inlineStr"/>
      <c r="M49" s="4" t="inlineStr"/>
      <c r="N49" s="4" t="inlineStr">
        <is>
          <t>Y</t>
        </is>
      </c>
      <c r="O49" s="4" t="inlineStr">
        <is>
          <t>Y</t>
        </is>
      </c>
      <c r="P49" s="4">
        <f>IF(C49&lt;12,"Y","")</f>
        <v/>
      </c>
      <c r="Q49" s="4">
        <f>COUNTIF(K49:P49,"Y")</f>
        <v/>
      </c>
      <c r="R49" s="5">
        <f>IF(Q49&gt;=3,"USE","CONTEXT")</f>
        <v/>
      </c>
      <c r="S49" s="2" t="inlineStr">
        <is>
          <t>A6 Retire the shelf</t>
        </is>
      </c>
    </row>
    <row r="50">
      <c r="A50" s="2" t="inlineStr">
        <is>
          <t>Q049</t>
        </is>
      </c>
      <c r="B50" s="3" t="inlineStr">
        <is>
          <t>I bought some more expensive third party tested NMN and again I notice very little difference.</t>
        </is>
      </c>
      <c r="C50" s="4">
        <f>IF(LEN(TRIM(B50))=0,0,LEN(TRIM(B50))-LEN(SUBSTITUTE(TRIM(B50)," ",""))+1)</f>
        <v/>
      </c>
      <c r="D50" s="2" t="inlineStr">
        <is>
          <t>ProHealth NMN Pro (Uthever)</t>
        </is>
      </c>
      <c r="E50" s="2" t="inlineStr">
        <is>
          <t>Rick · 3★ · Sep 2021</t>
        </is>
      </c>
      <c r="F50" s="2" t="inlineStr">
        <is>
          <t>Verbatim</t>
        </is>
      </c>
      <c r="G50" s="2" t="inlineStr">
        <is>
          <t>Grief</t>
        </is>
      </c>
      <c r="H50" s="2" t="inlineStr">
        <is>
          <t>Know whether it's working</t>
        </is>
      </c>
      <c r="I50" s="2" t="inlineStr">
        <is>
          <t>OBJECTION · Felt nothing</t>
        </is>
      </c>
      <c r="J50" s="2" t="inlineStr">
        <is>
          <t>Reorder decision</t>
        </is>
      </c>
      <c r="K50" s="4" t="inlineStr"/>
      <c r="L50" s="4" t="inlineStr"/>
      <c r="M50" s="4" t="inlineStr">
        <is>
          <t>Y</t>
        </is>
      </c>
      <c r="N50" s="4" t="inlineStr">
        <is>
          <t>Y</t>
        </is>
      </c>
      <c r="O50" s="4" t="inlineStr">
        <is>
          <t>Y</t>
        </is>
      </c>
      <c r="P50" s="4">
        <f>IF(C50&lt;12,"Y","")</f>
        <v/>
      </c>
      <c r="Q50" s="4">
        <f>COUNTIF(K50:P50,"Y")</f>
        <v/>
      </c>
      <c r="R50" s="6">
        <f>IF(Q50&gt;=3,"USE","CONTEXT")</f>
        <v/>
      </c>
      <c r="S50" s="2" t="inlineStr">
        <is>
          <t>A1 You won't feel it</t>
        </is>
      </c>
    </row>
    <row r="51">
      <c r="A51" s="2" t="inlineStr">
        <is>
          <t>Q050</t>
        </is>
      </c>
      <c r="B51" s="3" t="inlineStr">
        <is>
          <t>I didn't feel much.</t>
        </is>
      </c>
      <c r="C51" s="4">
        <f>IF(LEN(TRIM(B51))=0,0,LEN(TRIM(B51))-LEN(SUBSTITUTE(TRIM(B51)," ",""))+1)</f>
        <v/>
      </c>
      <c r="D51" s="2" t="inlineStr">
        <is>
          <t>ProHealth NMN Pro (Uthever)</t>
        </is>
      </c>
      <c r="E51" s="2" t="inlineStr">
        <is>
          <t>Rick · 3★ · Sep 2021</t>
        </is>
      </c>
      <c r="F51" s="2" t="inlineStr">
        <is>
          <t>Verbatim</t>
        </is>
      </c>
      <c r="G51" s="2" t="inlineStr">
        <is>
          <t>Grief</t>
        </is>
      </c>
      <c r="H51" s="2" t="inlineStr">
        <is>
          <t>Get my energy back</t>
        </is>
      </c>
      <c r="I51" s="2" t="inlineStr">
        <is>
          <t>OBJECTION · Felt nothing</t>
        </is>
      </c>
      <c r="J51" s="2" t="inlineStr">
        <is>
          <t>Weeks 2–4</t>
        </is>
      </c>
      <c r="K51" s="4" t="inlineStr"/>
      <c r="L51" s="4" t="inlineStr">
        <is>
          <t>Y</t>
        </is>
      </c>
      <c r="M51" s="4" t="inlineStr"/>
      <c r="N51" s="4" t="inlineStr"/>
      <c r="O51" s="4" t="inlineStr">
        <is>
          <t>Y</t>
        </is>
      </c>
      <c r="P51" s="4">
        <f>IF(C51&lt;12,"Y","")</f>
        <v/>
      </c>
      <c r="Q51" s="4">
        <f>COUNTIF(K51:P51,"Y")</f>
        <v/>
      </c>
      <c r="R51" s="6">
        <f>IF(Q51&gt;=3,"USE","CONTEXT")</f>
        <v/>
      </c>
      <c r="S51" s="2" t="inlineStr">
        <is>
          <t>A1 You won't feel it</t>
        </is>
      </c>
    </row>
    <row r="52">
      <c r="A52" s="2" t="inlineStr">
        <is>
          <t>Q051</t>
        </is>
      </c>
      <c r="B52" s="3" t="inlineStr">
        <is>
          <t>After hundreds of hours research on NMN and NR, I decided to buy this product.</t>
        </is>
      </c>
      <c r="C52" s="4">
        <f>IF(LEN(TRIM(B52))=0,0,LEN(TRIM(B52))-LEN(SUBSTITUTE(TRIM(B52)," ",""))+1)</f>
        <v/>
      </c>
      <c r="D52" s="2" t="inlineStr">
        <is>
          <t>ProHealth NMN Pro (Uthever)</t>
        </is>
      </c>
      <c r="E52" s="2" t="inlineStr">
        <is>
          <t>Amazon Reviewer · 3★ · Nov 2022</t>
        </is>
      </c>
      <c r="F52" s="2" t="inlineStr">
        <is>
          <t>Verbatim</t>
        </is>
      </c>
      <c r="G52" s="2" t="inlineStr">
        <is>
          <t>Pride</t>
        </is>
      </c>
      <c r="H52" s="2" t="inlineStr">
        <is>
          <t>Be the person who did the research</t>
        </is>
      </c>
      <c r="I52" s="2" t="inlineStr">
        <is>
          <t>BENEFIT · Self-image</t>
        </is>
      </c>
      <c r="J52" s="2" t="inlineStr">
        <is>
          <t>Pre-purchase research</t>
        </is>
      </c>
      <c r="K52" s="4" t="inlineStr"/>
      <c r="L52" s="4" t="inlineStr"/>
      <c r="M52" s="4" t="inlineStr"/>
      <c r="N52" s="4" t="inlineStr"/>
      <c r="O52" s="4" t="inlineStr"/>
      <c r="P52" s="4">
        <f>IF(C52&lt;12,"Y","")</f>
        <v/>
      </c>
      <c r="Q52" s="4">
        <f>COUNTIF(K52:P52,"Y")</f>
        <v/>
      </c>
      <c r="R52" s="5">
        <f>IF(Q52&gt;=3,"USE","CONTEXT")</f>
        <v/>
      </c>
      <c r="S52" s="2" t="inlineStr">
        <is>
          <t>A4 Dose is the product</t>
        </is>
      </c>
    </row>
    <row r="53">
      <c r="A53" s="2" t="inlineStr">
        <is>
          <t>Q052</t>
        </is>
      </c>
      <c r="B53" s="3" t="inlineStr">
        <is>
          <t>I do not feel energy boost or anything like that.</t>
        </is>
      </c>
      <c r="C53" s="4">
        <f>IF(LEN(TRIM(B53))=0,0,LEN(TRIM(B53))-LEN(SUBSTITUTE(TRIM(B53)," ",""))+1)</f>
        <v/>
      </c>
      <c r="D53" s="2" t="inlineStr">
        <is>
          <t>ProHealth NMN Pro (Uthever)</t>
        </is>
      </c>
      <c r="E53" s="2" t="inlineStr">
        <is>
          <t>Amazon Reviewer · 3★ · Nov 2022</t>
        </is>
      </c>
      <c r="F53" s="2" t="inlineStr">
        <is>
          <t>Verbatim</t>
        </is>
      </c>
      <c r="G53" s="2" t="inlineStr">
        <is>
          <t>Grief</t>
        </is>
      </c>
      <c r="H53" s="2" t="inlineStr">
        <is>
          <t>Get my energy back</t>
        </is>
      </c>
      <c r="I53" s="2" t="inlineStr">
        <is>
          <t>OBJECTION · Felt nothing</t>
        </is>
      </c>
      <c r="J53" s="2" t="inlineStr">
        <is>
          <t>Weeks 2–4</t>
        </is>
      </c>
      <c r="K53" s="4" t="inlineStr"/>
      <c r="L53" s="4" t="inlineStr">
        <is>
          <t>Y</t>
        </is>
      </c>
      <c r="M53" s="4" t="inlineStr"/>
      <c r="N53" s="4" t="inlineStr"/>
      <c r="O53" s="4" t="inlineStr">
        <is>
          <t>Y</t>
        </is>
      </c>
      <c r="P53" s="4">
        <f>IF(C53&lt;12,"Y","")</f>
        <v/>
      </c>
      <c r="Q53" s="4">
        <f>COUNTIF(K53:P53,"Y")</f>
        <v/>
      </c>
      <c r="R53" s="6">
        <f>IF(Q53&gt;=3,"USE","CONTEXT")</f>
        <v/>
      </c>
      <c r="S53" s="2" t="inlineStr">
        <is>
          <t>A1 You won't feel it</t>
        </is>
      </c>
    </row>
    <row r="54">
      <c r="A54" s="2" t="inlineStr">
        <is>
          <t>Q053</t>
        </is>
      </c>
      <c r="B54" s="3" t="inlineStr">
        <is>
          <t>Calm but hard to focus and daydreaming.</t>
        </is>
      </c>
      <c r="C54" s="4">
        <f>IF(LEN(TRIM(B54))=0,0,LEN(TRIM(B54))-LEN(SUBSTITUTE(TRIM(B54)," ",""))+1)</f>
        <v/>
      </c>
      <c r="D54" s="2" t="inlineStr">
        <is>
          <t>ProHealth NMN Pro (Uthever)</t>
        </is>
      </c>
      <c r="E54" s="2" t="inlineStr">
        <is>
          <t>Amazon Reviewer · 3★ · Nov 2022</t>
        </is>
      </c>
      <c r="F54" s="2" t="inlineStr">
        <is>
          <t>Verbatim</t>
        </is>
      </c>
      <c r="G54" s="2" t="inlineStr">
        <is>
          <t>Fear</t>
        </is>
      </c>
      <c r="H54" s="2" t="inlineStr">
        <is>
          <t>Think clearly again</t>
        </is>
      </c>
      <c r="I54" s="2" t="inlineStr">
        <is>
          <t>OBJECTION · Paradox effect</t>
        </is>
      </c>
      <c r="J54" s="2" t="inlineStr">
        <is>
          <t>Week 1</t>
        </is>
      </c>
      <c r="K54" s="4" t="inlineStr"/>
      <c r="L54" s="4" t="inlineStr">
        <is>
          <t>Y</t>
        </is>
      </c>
      <c r="M54" s="4" t="inlineStr"/>
      <c r="N54" s="4" t="inlineStr"/>
      <c r="O54" s="4" t="inlineStr">
        <is>
          <t>Y</t>
        </is>
      </c>
      <c r="P54" s="4">
        <f>IF(C54&lt;12,"Y","")</f>
        <v/>
      </c>
      <c r="Q54" s="4">
        <f>COUNTIF(K54:P54,"Y")</f>
        <v/>
      </c>
      <c r="R54" s="6">
        <f>IF(Q54&gt;=3,"USE","CONTEXT")</f>
        <v/>
      </c>
      <c r="S54" s="2" t="inlineStr">
        <is>
          <t>A5 Gentle start</t>
        </is>
      </c>
    </row>
    <row r="55">
      <c r="A55" s="2" t="inlineStr">
        <is>
          <t>Q054</t>
        </is>
      </c>
      <c r="B55" s="3" t="inlineStr">
        <is>
          <t>I have many vivid dreams with light headache when I wake up.</t>
        </is>
      </c>
      <c r="C55" s="4">
        <f>IF(LEN(TRIM(B55))=0,0,LEN(TRIM(B55))-LEN(SUBSTITUTE(TRIM(B55)," ",""))+1)</f>
        <v/>
      </c>
      <c r="D55" s="2" t="inlineStr">
        <is>
          <t>ProHealth NMN Pro (Uthever)</t>
        </is>
      </c>
      <c r="E55" s="2" t="inlineStr">
        <is>
          <t>Amazon Reviewer · 3★ · Nov 2022</t>
        </is>
      </c>
      <c r="F55" s="2" t="inlineStr">
        <is>
          <t>Verbatim</t>
        </is>
      </c>
      <c r="G55" s="2" t="inlineStr">
        <is>
          <t>Fear</t>
        </is>
      </c>
      <c r="H55" s="2" t="inlineStr">
        <is>
          <t>Sleep through the night</t>
        </is>
      </c>
      <c r="I55" s="2" t="inlineStr">
        <is>
          <t>OBJECTION · Side effect</t>
        </is>
      </c>
      <c r="J55" s="2" t="inlineStr">
        <is>
          <t>Week 1</t>
        </is>
      </c>
      <c r="K55" s="4" t="inlineStr">
        <is>
          <t>Y</t>
        </is>
      </c>
      <c r="L55" s="4" t="inlineStr">
        <is>
          <t>Y</t>
        </is>
      </c>
      <c r="M55" s="4" t="inlineStr"/>
      <c r="N55" s="4" t="inlineStr"/>
      <c r="O55" s="4" t="inlineStr">
        <is>
          <t>Y</t>
        </is>
      </c>
      <c r="P55" s="4">
        <f>IF(C55&lt;12,"Y","")</f>
        <v/>
      </c>
      <c r="Q55" s="4">
        <f>COUNTIF(K55:P55,"Y")</f>
        <v/>
      </c>
      <c r="R55" s="6">
        <f>IF(Q55&gt;=3,"USE","CONTEXT")</f>
        <v/>
      </c>
      <c r="S55" s="2" t="inlineStr">
        <is>
          <t>A5 Gentle start</t>
        </is>
      </c>
    </row>
    <row r="56">
      <c r="A56" s="2" t="inlineStr">
        <is>
          <t>Q055</t>
        </is>
      </c>
      <c r="B56" s="3" t="inlineStr">
        <is>
          <t>Not sure this product contains real NMN or something else in it.</t>
        </is>
      </c>
      <c r="C56" s="4">
        <f>IF(LEN(TRIM(B56))=0,0,LEN(TRIM(B56))-LEN(SUBSTITUTE(TRIM(B56)," ",""))+1)</f>
        <v/>
      </c>
      <c r="D56" s="2" t="inlineStr">
        <is>
          <t>ProHealth NMN Pro (Uthever)</t>
        </is>
      </c>
      <c r="E56" s="2" t="inlineStr">
        <is>
          <t>Amazon Reviewer · 3★ · Nov 2022</t>
        </is>
      </c>
      <c r="F56" s="2" t="inlineStr">
        <is>
          <t>Verbatim</t>
        </is>
      </c>
      <c r="G56" s="2" t="inlineStr">
        <is>
          <t>Fear</t>
        </is>
      </c>
      <c r="H56" s="2" t="inlineStr">
        <is>
          <t>Not get ripped off</t>
        </is>
      </c>
      <c r="I56" s="2" t="inlineStr">
        <is>
          <t>OBJECTION · Is it real?</t>
        </is>
      </c>
      <c r="J56" s="2" t="inlineStr">
        <is>
          <t>Weeks 2–4</t>
        </is>
      </c>
      <c r="K56" s="4" t="inlineStr"/>
      <c r="L56" s="4" t="inlineStr"/>
      <c r="M56" s="4" t="inlineStr"/>
      <c r="N56" s="4" t="inlineStr"/>
      <c r="O56" s="4" t="inlineStr">
        <is>
          <t>Y</t>
        </is>
      </c>
      <c r="P56" s="4">
        <f>IF(C56&lt;12,"Y","")</f>
        <v/>
      </c>
      <c r="Q56" s="4">
        <f>COUNTIF(K56:P56,"Y")</f>
        <v/>
      </c>
      <c r="R56" s="5">
        <f>IF(Q56&gt;=3,"USE","CONTEXT")</f>
        <v/>
      </c>
      <c r="S56" s="2" t="inlineStr">
        <is>
          <t>A2 The receipt</t>
        </is>
      </c>
    </row>
    <row r="57">
      <c r="A57" s="2" t="inlineStr">
        <is>
          <t>Q056</t>
        </is>
      </c>
      <c r="B57" s="3" t="inlineStr">
        <is>
          <t>Be careful.</t>
        </is>
      </c>
      <c r="C57" s="4">
        <f>IF(LEN(TRIM(B57))=0,0,LEN(TRIM(B57))-LEN(SUBSTITUTE(TRIM(B57)," ",""))+1)</f>
        <v/>
      </c>
      <c r="D57" s="2" t="inlineStr">
        <is>
          <t>ProHealth NMN Pro (Uthever)</t>
        </is>
      </c>
      <c r="E57" s="2" t="inlineStr">
        <is>
          <t>Amazon Reviewer · 3★ · Nov 2022</t>
        </is>
      </c>
      <c r="F57" s="2" t="inlineStr">
        <is>
          <t>Verbatim</t>
        </is>
      </c>
      <c r="G57" s="2" t="inlineStr">
        <is>
          <t>Fear</t>
        </is>
      </c>
      <c r="H57" s="2" t="inlineStr">
        <is>
          <t>Not get ripped off</t>
        </is>
      </c>
      <c r="I57" s="2" t="inlineStr">
        <is>
          <t>OBJECTION · Is it real?</t>
        </is>
      </c>
      <c r="J57" s="2" t="inlineStr">
        <is>
          <t>Warning others</t>
        </is>
      </c>
      <c r="K57" s="4" t="inlineStr"/>
      <c r="L57" s="4" t="inlineStr"/>
      <c r="M57" s="4" t="inlineStr"/>
      <c r="N57" s="4" t="inlineStr"/>
      <c r="O57" s="4" t="inlineStr">
        <is>
          <t>Y</t>
        </is>
      </c>
      <c r="P57" s="4">
        <f>IF(C57&lt;12,"Y","")</f>
        <v/>
      </c>
      <c r="Q57" s="4">
        <f>COUNTIF(K57:P57,"Y")</f>
        <v/>
      </c>
      <c r="R57" s="5">
        <f>IF(Q57&gt;=3,"USE","CONTEXT")</f>
        <v/>
      </c>
      <c r="S57" s="2" t="inlineStr">
        <is>
          <t>A2 The receipt</t>
        </is>
      </c>
    </row>
    <row r="58">
      <c r="A58" s="2" t="inlineStr">
        <is>
          <t>Q057</t>
        </is>
      </c>
      <c r="B58" s="3" t="inlineStr">
        <is>
          <t>I've tried it for less than a month and I haven't felt anything special yet.</t>
        </is>
      </c>
      <c r="C58" s="4">
        <f>IF(LEN(TRIM(B58))=0,0,LEN(TRIM(B58))-LEN(SUBSTITUTE(TRIM(B58)," ",""))+1)</f>
        <v/>
      </c>
      <c r="D58" s="2" t="inlineStr">
        <is>
          <t>ProHealth NMN Pro (Uthever)</t>
        </is>
      </c>
      <c r="E58" s="2" t="inlineStr">
        <is>
          <t>CHAN MENG CHIA · 4★ · Jul 2022</t>
        </is>
      </c>
      <c r="F58" s="2" t="inlineStr">
        <is>
          <t>Verbatim</t>
        </is>
      </c>
      <c r="G58" s="2" t="inlineStr">
        <is>
          <t>Hope</t>
        </is>
      </c>
      <c r="H58" s="2" t="inlineStr">
        <is>
          <t>Know whether it's working</t>
        </is>
      </c>
      <c r="I58" s="2" t="inlineStr">
        <is>
          <t>OBJECTION · Felt nothing</t>
        </is>
      </c>
      <c r="J58" s="2" t="inlineStr">
        <is>
          <t>Weeks 2–4</t>
        </is>
      </c>
      <c r="K58" s="4" t="inlineStr">
        <is>
          <t>Y</t>
        </is>
      </c>
      <c r="L58" s="4" t="inlineStr">
        <is>
          <t>Y</t>
        </is>
      </c>
      <c r="M58" s="4" t="inlineStr"/>
      <c r="N58" s="4" t="inlineStr"/>
      <c r="O58" s="4" t="inlineStr">
        <is>
          <t>Y</t>
        </is>
      </c>
      <c r="P58" s="4">
        <f>IF(C58&lt;12,"Y","")</f>
        <v/>
      </c>
      <c r="Q58" s="4">
        <f>COUNTIF(K58:P58,"Y")</f>
        <v/>
      </c>
      <c r="R58" s="6">
        <f>IF(Q58&gt;=3,"USE","CONTEXT")</f>
        <v/>
      </c>
      <c r="S58" s="2" t="inlineStr">
        <is>
          <t>A1 You won't feel it</t>
        </is>
      </c>
    </row>
    <row r="59">
      <c r="A59" s="2" t="inlineStr">
        <is>
          <t>Q058</t>
        </is>
      </c>
      <c r="B59" s="3" t="inlineStr">
        <is>
          <t>I have used similar products before, I felt obviously the change in my body.</t>
        </is>
      </c>
      <c r="C59" s="4">
        <f>IF(LEN(TRIM(B59))=0,0,LEN(TRIM(B59))-LEN(SUBSTITUTE(TRIM(B59)," ",""))+1)</f>
        <v/>
      </c>
      <c r="D59" s="2" t="inlineStr">
        <is>
          <t>ProHealth NMN Pro (Uthever)</t>
        </is>
      </c>
      <c r="E59" s="2" t="inlineStr">
        <is>
          <t>CHAN MENG CHIA · 4★ · Jul 2022</t>
        </is>
      </c>
      <c r="F59" s="2" t="inlineStr">
        <is>
          <t>Verbatim</t>
        </is>
      </c>
      <c r="G59" s="2" t="inlineStr">
        <is>
          <t>Grief</t>
        </is>
      </c>
      <c r="H59" s="2" t="inlineStr">
        <is>
          <t>Get my energy back</t>
        </is>
      </c>
      <c r="I59" s="2" t="inlineStr">
        <is>
          <t>OBJECTION · Competitor worked</t>
        </is>
      </c>
      <c r="J59" s="2" t="inlineStr">
        <is>
          <t>Comparing brands</t>
        </is>
      </c>
      <c r="K59" s="4" t="inlineStr"/>
      <c r="L59" s="4" t="inlineStr">
        <is>
          <t>Y</t>
        </is>
      </c>
      <c r="M59" s="4" t="inlineStr">
        <is>
          <t>Y</t>
        </is>
      </c>
      <c r="N59" s="4" t="inlineStr"/>
      <c r="O59" s="4" t="inlineStr">
        <is>
          <t>Y</t>
        </is>
      </c>
      <c r="P59" s="4">
        <f>IF(C59&lt;12,"Y","")</f>
        <v/>
      </c>
      <c r="Q59" s="4">
        <f>COUNTIF(K59:P59,"Y")</f>
        <v/>
      </c>
      <c r="R59" s="6">
        <f>IF(Q59&gt;=3,"USE","CONTEXT")</f>
        <v/>
      </c>
      <c r="S59" s="2" t="inlineStr">
        <is>
          <t>A1 You won't feel it</t>
        </is>
      </c>
    </row>
    <row r="60">
      <c r="A60" s="2" t="inlineStr">
        <is>
          <t>Q059</t>
        </is>
      </c>
      <c r="B60" s="3" t="inlineStr">
        <is>
          <t>In each bottle, I found several capsules that are broken.</t>
        </is>
      </c>
      <c r="C60" s="4">
        <f>IF(LEN(TRIM(B60))=0,0,LEN(TRIM(B60))-LEN(SUBSTITUTE(TRIM(B60)," ",""))+1)</f>
        <v/>
      </c>
      <c r="D60" s="2" t="inlineStr">
        <is>
          <t>ProHealth NMN Pro (Uthever)</t>
        </is>
      </c>
      <c r="E60" s="2" t="inlineStr">
        <is>
          <t>Ms12587 · 1★ · Oct 2021 · Singapore</t>
        </is>
      </c>
      <c r="F60" s="2" t="inlineStr">
        <is>
          <t>Verbatim</t>
        </is>
      </c>
      <c r="G60" s="2" t="inlineStr">
        <is>
          <t>Anger</t>
        </is>
      </c>
      <c r="H60" s="2" t="inlineStr">
        <is>
          <t>Verify it's real and safe</t>
        </is>
      </c>
      <c r="I60" s="2" t="inlineStr">
        <is>
          <t>OBJECTION · Physical quality</t>
        </is>
      </c>
      <c r="J60" s="2" t="inlineStr">
        <is>
          <t>Unboxing / first inspection</t>
        </is>
      </c>
      <c r="K60" s="4" t="inlineStr"/>
      <c r="L60" s="4" t="inlineStr">
        <is>
          <t>Y</t>
        </is>
      </c>
      <c r="M60" s="4" t="inlineStr"/>
      <c r="N60" s="4" t="inlineStr"/>
      <c r="O60" s="4" t="inlineStr">
        <is>
          <t>Y</t>
        </is>
      </c>
      <c r="P60" s="4">
        <f>IF(C60&lt;12,"Y","")</f>
        <v/>
      </c>
      <c r="Q60" s="4">
        <f>COUNTIF(K60:P60,"Y")</f>
        <v/>
      </c>
      <c r="R60" s="6">
        <f>IF(Q60&gt;=3,"USE","CONTEXT")</f>
        <v/>
      </c>
      <c r="S60" s="2" t="inlineStr">
        <is>
          <t>A2 The receipt</t>
        </is>
      </c>
    </row>
    <row r="61">
      <c r="A61" s="2" t="inlineStr">
        <is>
          <t>Q060</t>
        </is>
      </c>
      <c r="B61" s="3" t="inlineStr">
        <is>
          <t>The broken capsules released the powder and all the other capsules tasted salty.</t>
        </is>
      </c>
      <c r="C61" s="4">
        <f>IF(LEN(TRIM(B61))=0,0,LEN(TRIM(B61))-LEN(SUBSTITUTE(TRIM(B61)," ",""))+1)</f>
        <v/>
      </c>
      <c r="D61" s="2" t="inlineStr">
        <is>
          <t>ProHealth NMN Pro (Uthever)</t>
        </is>
      </c>
      <c r="E61" s="2" t="inlineStr">
        <is>
          <t>Ms12587 · 1★ · Oct 2021 · Singapore</t>
        </is>
      </c>
      <c r="F61" s="2" t="inlineStr">
        <is>
          <t>Verbatim</t>
        </is>
      </c>
      <c r="G61" s="2" t="inlineStr">
        <is>
          <t>Anger</t>
        </is>
      </c>
      <c r="H61" s="2" t="inlineStr">
        <is>
          <t>Verify it's real and safe</t>
        </is>
      </c>
      <c r="I61" s="2" t="inlineStr">
        <is>
          <t>OBJECTION · Physical quality</t>
        </is>
      </c>
      <c r="J61" s="2" t="inlineStr">
        <is>
          <t>First dose</t>
        </is>
      </c>
      <c r="K61" s="4" t="inlineStr"/>
      <c r="L61" s="4" t="inlineStr">
        <is>
          <t>Y</t>
        </is>
      </c>
      <c r="M61" s="4" t="inlineStr"/>
      <c r="N61" s="4" t="inlineStr"/>
      <c r="O61" s="4" t="inlineStr">
        <is>
          <t>Y</t>
        </is>
      </c>
      <c r="P61" s="4">
        <f>IF(C61&lt;12,"Y","")</f>
        <v/>
      </c>
      <c r="Q61" s="4">
        <f>COUNTIF(K61:P61,"Y")</f>
        <v/>
      </c>
      <c r="R61" s="5">
        <f>IF(Q61&gt;=3,"USE","CONTEXT")</f>
        <v/>
      </c>
      <c r="S61" s="2" t="inlineStr">
        <is>
          <t>A2 The receipt</t>
        </is>
      </c>
    </row>
    <row r="62">
      <c r="A62" s="2" t="inlineStr">
        <is>
          <t>Q061</t>
        </is>
      </c>
      <c r="B62" s="3" t="inlineStr">
        <is>
          <t>Some capsules are intact but empty or only half full.</t>
        </is>
      </c>
      <c r="C62" s="4">
        <f>IF(LEN(TRIM(B62))=0,0,LEN(TRIM(B62))-LEN(SUBSTITUTE(TRIM(B62)," ",""))+1)</f>
        <v/>
      </c>
      <c r="D62" s="2" t="inlineStr">
        <is>
          <t>ProHealth NMN Pro (Uthever)</t>
        </is>
      </c>
      <c r="E62" s="2" t="inlineStr">
        <is>
          <t>Ms12587 · 1★ · Oct 2021 · Singapore</t>
        </is>
      </c>
      <c r="F62" s="2" t="inlineStr">
        <is>
          <t>Verbatim</t>
        </is>
      </c>
      <c r="G62" s="2" t="inlineStr">
        <is>
          <t>Anger</t>
        </is>
      </c>
      <c r="H62" s="2" t="inlineStr">
        <is>
          <t>Not get ripped off</t>
        </is>
      </c>
      <c r="I62" s="2" t="inlineStr">
        <is>
          <t>OBJECTION · Short-filled</t>
        </is>
      </c>
      <c r="J62" s="2" t="inlineStr">
        <is>
          <t>Unboxing / first inspection</t>
        </is>
      </c>
      <c r="K62" s="4" t="inlineStr"/>
      <c r="L62" s="4" t="inlineStr">
        <is>
          <t>Y</t>
        </is>
      </c>
      <c r="M62" s="4" t="inlineStr"/>
      <c r="N62" s="4" t="inlineStr"/>
      <c r="O62" s="4" t="inlineStr">
        <is>
          <t>Y</t>
        </is>
      </c>
      <c r="P62" s="4">
        <f>IF(C62&lt;12,"Y","")</f>
        <v/>
      </c>
      <c r="Q62" s="4">
        <f>COUNTIF(K62:P62,"Y")</f>
        <v/>
      </c>
      <c r="R62" s="6">
        <f>IF(Q62&gt;=3,"USE","CONTEXT")</f>
        <v/>
      </c>
      <c r="S62" s="2" t="inlineStr">
        <is>
          <t>A2 The receipt</t>
        </is>
      </c>
    </row>
    <row r="63">
      <c r="A63" s="2" t="inlineStr">
        <is>
          <t>Q062</t>
        </is>
      </c>
      <c r="B63" s="3" t="inlineStr">
        <is>
          <t>This has made me seriously wonder the overall quality of the product.</t>
        </is>
      </c>
      <c r="C63" s="4">
        <f>IF(LEN(TRIM(B63))=0,0,LEN(TRIM(B63))-LEN(SUBSTITUTE(TRIM(B63)," ",""))+1)</f>
        <v/>
      </c>
      <c r="D63" s="2" t="inlineStr">
        <is>
          <t>ProHealth NMN Pro (Uthever)</t>
        </is>
      </c>
      <c r="E63" s="2" t="inlineStr">
        <is>
          <t>Ms12587 · 1★ · Oct 2021 · Singapore</t>
        </is>
      </c>
      <c r="F63" s="2" t="inlineStr">
        <is>
          <t>Verbatim</t>
        </is>
      </c>
      <c r="G63" s="2" t="inlineStr">
        <is>
          <t>Fear</t>
        </is>
      </c>
      <c r="H63" s="2" t="inlineStr">
        <is>
          <t>Verify it's real and safe</t>
        </is>
      </c>
      <c r="I63" s="2" t="inlineStr">
        <is>
          <t>OBJECTION · Trust collapse</t>
        </is>
      </c>
      <c r="J63" s="2" t="inlineStr">
        <is>
          <t>Unboxing / first inspection</t>
        </is>
      </c>
      <c r="K63" s="4" t="inlineStr"/>
      <c r="L63" s="4" t="inlineStr"/>
      <c r="M63" s="4" t="inlineStr"/>
      <c r="N63" s="4" t="inlineStr"/>
      <c r="O63" s="4" t="inlineStr">
        <is>
          <t>Y</t>
        </is>
      </c>
      <c r="P63" s="4">
        <f>IF(C63&lt;12,"Y","")</f>
        <v/>
      </c>
      <c r="Q63" s="4">
        <f>COUNTIF(K63:P63,"Y")</f>
        <v/>
      </c>
      <c r="R63" s="5">
        <f>IF(Q63&gt;=3,"USE","CONTEXT")</f>
        <v/>
      </c>
      <c r="S63" s="2" t="inlineStr">
        <is>
          <t>A2 The receipt</t>
        </is>
      </c>
    </row>
    <row r="64">
      <c r="A64" s="2" t="inlineStr">
        <is>
          <t>Q063</t>
        </is>
      </c>
      <c r="B64" s="3" t="inlineStr">
        <is>
          <t>They claim high-standard QC. Based on what I see, this is not what they have claimed.</t>
        </is>
      </c>
      <c r="C64" s="4">
        <f>IF(LEN(TRIM(B64))=0,0,LEN(TRIM(B64))-LEN(SUBSTITUTE(TRIM(B64)," ",""))+1)</f>
        <v/>
      </c>
      <c r="D64" s="2" t="inlineStr">
        <is>
          <t>ProHealth NMN Pro (Uthever)</t>
        </is>
      </c>
      <c r="E64" s="2" t="inlineStr">
        <is>
          <t>Ms12587 · 1★ · Oct 2021 · Singapore</t>
        </is>
      </c>
      <c r="F64" s="2" t="inlineStr">
        <is>
          <t>Verbatim</t>
        </is>
      </c>
      <c r="G64" s="2" t="inlineStr">
        <is>
          <t>Anger</t>
        </is>
      </c>
      <c r="H64" s="2" t="inlineStr">
        <is>
          <t>Not get ripped off</t>
        </is>
      </c>
      <c r="I64" s="2" t="inlineStr">
        <is>
          <t>OBJECTION · Claim vs reality</t>
        </is>
      </c>
      <c r="J64" s="2" t="inlineStr">
        <is>
          <t>Warning others</t>
        </is>
      </c>
      <c r="K64" s="4" t="inlineStr"/>
      <c r="L64" s="4" t="inlineStr"/>
      <c r="M64" s="4" t="inlineStr"/>
      <c r="N64" s="4" t="inlineStr"/>
      <c r="O64" s="4" t="inlineStr">
        <is>
          <t>Y</t>
        </is>
      </c>
      <c r="P64" s="4">
        <f>IF(C64&lt;12,"Y","")</f>
        <v/>
      </c>
      <c r="Q64" s="4">
        <f>COUNTIF(K64:P64,"Y")</f>
        <v/>
      </c>
      <c r="R64" s="5">
        <f>IF(Q64&gt;=3,"USE","CONTEXT")</f>
        <v/>
      </c>
      <c r="S64" s="2" t="inlineStr">
        <is>
          <t>A2 The receipt</t>
        </is>
      </c>
    </row>
    <row r="65">
      <c r="A65" s="2" t="inlineStr">
        <is>
          <t>Q064</t>
        </is>
      </c>
      <c r="B65" s="3" t="inlineStr">
        <is>
          <t>The taste is so awful, smells like chemicals.</t>
        </is>
      </c>
      <c r="C65" s="4">
        <f>IF(LEN(TRIM(B65))=0,0,LEN(TRIM(B65))-LEN(SUBSTITUTE(TRIM(B65)," ",""))+1)</f>
        <v/>
      </c>
      <c r="D65" s="2" t="inlineStr">
        <is>
          <t>ProHealth NMN Pro (Uthever)</t>
        </is>
      </c>
      <c r="E65" s="2" t="inlineStr">
        <is>
          <t>Tall Young · 1★ · Jul 2022</t>
        </is>
      </c>
      <c r="F65" s="2" t="inlineStr">
        <is>
          <t>Verbatim</t>
        </is>
      </c>
      <c r="G65" s="2" t="inlineStr">
        <is>
          <t>Anger</t>
        </is>
      </c>
      <c r="H65" s="2" t="inlineStr">
        <is>
          <t>Protect a sensitive body</t>
        </is>
      </c>
      <c r="I65" s="2" t="inlineStr">
        <is>
          <t>OBJECTION · Smell / taste</t>
        </is>
      </c>
      <c r="J65" s="2" t="inlineStr">
        <is>
          <t>First dose</t>
        </is>
      </c>
      <c r="K65" s="4" t="inlineStr"/>
      <c r="L65" s="4" t="inlineStr">
        <is>
          <t>Y</t>
        </is>
      </c>
      <c r="M65" s="4" t="inlineStr"/>
      <c r="N65" s="4" t="inlineStr"/>
      <c r="O65" s="4" t="inlineStr">
        <is>
          <t>Y</t>
        </is>
      </c>
      <c r="P65" s="4">
        <f>IF(C65&lt;12,"Y","")</f>
        <v/>
      </c>
      <c r="Q65" s="4">
        <f>COUNTIF(K65:P65,"Y")</f>
        <v/>
      </c>
      <c r="R65" s="6">
        <f>IF(Q65&gt;=3,"USE","CONTEXT")</f>
        <v/>
      </c>
      <c r="S65" s="2" t="inlineStr">
        <is>
          <t>A5 Gentle start</t>
        </is>
      </c>
    </row>
    <row r="66">
      <c r="A66" s="2" t="inlineStr">
        <is>
          <t>Q065</t>
        </is>
      </c>
      <c r="B66" s="3" t="inlineStr">
        <is>
          <t>Gave me an allergic reaction.</t>
        </is>
      </c>
      <c r="C66" s="4">
        <f>IF(LEN(TRIM(B66))=0,0,LEN(TRIM(B66))-LEN(SUBSTITUTE(TRIM(B66)," ",""))+1)</f>
        <v/>
      </c>
      <c r="D66" s="2" t="inlineStr">
        <is>
          <t>ProHealth NMN Pro (Uthever)</t>
        </is>
      </c>
      <c r="E66" s="2" t="inlineStr">
        <is>
          <t>Tall Young · 1★ · Jul 2022</t>
        </is>
      </c>
      <c r="F66" s="2" t="inlineStr">
        <is>
          <t>Verbatim</t>
        </is>
      </c>
      <c r="G66" s="2" t="inlineStr">
        <is>
          <t>Fear</t>
        </is>
      </c>
      <c r="H66" s="2" t="inlineStr">
        <is>
          <t>Protect a sensitive body</t>
        </is>
      </c>
      <c r="I66" s="2" t="inlineStr">
        <is>
          <t>OBJECTION · Adverse reaction</t>
        </is>
      </c>
      <c r="J66" s="2" t="inlineStr">
        <is>
          <t>First dose</t>
        </is>
      </c>
      <c r="K66" s="4" t="inlineStr"/>
      <c r="L66" s="4" t="inlineStr">
        <is>
          <t>Y</t>
        </is>
      </c>
      <c r="M66" s="4" t="inlineStr"/>
      <c r="N66" s="4" t="inlineStr"/>
      <c r="O66" s="4" t="inlineStr">
        <is>
          <t>Y</t>
        </is>
      </c>
      <c r="P66" s="4">
        <f>IF(C66&lt;12,"Y","")</f>
        <v/>
      </c>
      <c r="Q66" s="4">
        <f>COUNTIF(K66:P66,"Y")</f>
        <v/>
      </c>
      <c r="R66" s="6">
        <f>IF(Q66&gt;=3,"USE","CONTEXT")</f>
        <v/>
      </c>
      <c r="S66" s="2" t="inlineStr">
        <is>
          <t>A5 Gentle start</t>
        </is>
      </c>
    </row>
    <row r="67">
      <c r="A67" s="2" t="inlineStr">
        <is>
          <t>Q066</t>
        </is>
      </c>
      <c r="B67" s="3" t="inlineStr">
        <is>
          <t>Cannot be returned.</t>
        </is>
      </c>
      <c r="C67" s="4">
        <f>IF(LEN(TRIM(B67))=0,0,LEN(TRIM(B67))-LEN(SUBSTITUTE(TRIM(B67)," ",""))+1)</f>
        <v/>
      </c>
      <c r="D67" s="2" t="inlineStr">
        <is>
          <t>ProHealth NMN Pro (Uthever)</t>
        </is>
      </c>
      <c r="E67" s="2" t="inlineStr">
        <is>
          <t>Tall Young · 1★ · Jul 2022</t>
        </is>
      </c>
      <c r="F67" s="2" t="inlineStr">
        <is>
          <t>Verbatim</t>
        </is>
      </c>
      <c r="G67" s="2" t="inlineStr">
        <is>
          <t>Anger</t>
        </is>
      </c>
      <c r="H67" s="2" t="inlineStr">
        <is>
          <t>Not get ripped off</t>
        </is>
      </c>
      <c r="I67" s="2" t="inlineStr">
        <is>
          <t>OBJECTION · No refund</t>
        </is>
      </c>
      <c r="J67" s="2" t="inlineStr">
        <is>
          <t>Abandonment / refund</t>
        </is>
      </c>
      <c r="K67" s="4" t="inlineStr"/>
      <c r="L67" s="4" t="inlineStr"/>
      <c r="M67" s="4" t="inlineStr"/>
      <c r="N67" s="4" t="inlineStr"/>
      <c r="O67" s="4" t="inlineStr">
        <is>
          <t>Y</t>
        </is>
      </c>
      <c r="P67" s="4">
        <f>IF(C67&lt;12,"Y","")</f>
        <v/>
      </c>
      <c r="Q67" s="4">
        <f>COUNTIF(K67:P67,"Y")</f>
        <v/>
      </c>
      <c r="R67" s="5">
        <f>IF(Q67&gt;=3,"USE","CONTEXT")</f>
        <v/>
      </c>
      <c r="S67" s="2" t="inlineStr">
        <is>
          <t>A3 Do the math</t>
        </is>
      </c>
    </row>
    <row r="68">
      <c r="A68" s="2" t="inlineStr">
        <is>
          <t>Q067</t>
        </is>
      </c>
      <c r="B68" s="3" t="inlineStr">
        <is>
          <t>Do not purchase this product.</t>
        </is>
      </c>
      <c r="C68" s="4">
        <f>IF(LEN(TRIM(B68))=0,0,LEN(TRIM(B68))-LEN(SUBSTITUTE(TRIM(B68)," ",""))+1)</f>
        <v/>
      </c>
      <c r="D68" s="2" t="inlineStr">
        <is>
          <t>ProHealth NMN Pro (Uthever)</t>
        </is>
      </c>
      <c r="E68" s="2" t="inlineStr">
        <is>
          <t>Tall Young · 1★ · Jul 2022</t>
        </is>
      </c>
      <c r="F68" s="2" t="inlineStr">
        <is>
          <t>Verbatim</t>
        </is>
      </c>
      <c r="G68" s="2" t="inlineStr">
        <is>
          <t>Anger</t>
        </is>
      </c>
      <c r="H68" s="2" t="inlineStr">
        <is>
          <t>Not get ripped off</t>
        </is>
      </c>
      <c r="I68" s="2" t="inlineStr">
        <is>
          <t>OBJECTION · Trust collapse</t>
        </is>
      </c>
      <c r="J68" s="2" t="inlineStr">
        <is>
          <t>Warning others</t>
        </is>
      </c>
      <c r="K68" s="4" t="inlineStr"/>
      <c r="L68" s="4" t="inlineStr"/>
      <c r="M68" s="4" t="inlineStr"/>
      <c r="N68" s="4" t="inlineStr"/>
      <c r="O68" s="4" t="inlineStr">
        <is>
          <t>Y</t>
        </is>
      </c>
      <c r="P68" s="4">
        <f>IF(C68&lt;12,"Y","")</f>
        <v/>
      </c>
      <c r="Q68" s="4">
        <f>COUNTIF(K68:P68,"Y")</f>
        <v/>
      </c>
      <c r="R68" s="5">
        <f>IF(Q68&gt;=3,"USE","CONTEXT")</f>
        <v/>
      </c>
      <c r="S68" s="2" t="inlineStr">
        <is>
          <t>A2 The receipt</t>
        </is>
      </c>
    </row>
    <row r="69">
      <c r="A69" s="2" t="inlineStr">
        <is>
          <t>Q068</t>
        </is>
      </c>
      <c r="B69" s="3" t="inlineStr">
        <is>
          <t>I've become more interested in healthy aging and longevity as I get older.</t>
        </is>
      </c>
      <c r="C69" s="4">
        <f>IF(LEN(TRIM(B69))=0,0,LEN(TRIM(B69))-LEN(SUBSTITUTE(TRIM(B69)," ",""))+1)</f>
        <v/>
      </c>
      <c r="D69" s="2" t="inlineStr">
        <is>
          <t>ProHealth NMN Pro (Uthever)</t>
        </is>
      </c>
      <c r="E69" s="2" t="inlineStr">
        <is>
          <t>Vine reviewer · 4★ · Jun 2026</t>
        </is>
      </c>
      <c r="F69" s="2" t="inlineStr">
        <is>
          <t>Verbatim</t>
        </is>
      </c>
      <c r="G69" s="2" t="inlineStr">
        <is>
          <t>Fear</t>
        </is>
      </c>
      <c r="H69" s="2" t="inlineStr">
        <is>
          <t>Stay functional as I age</t>
        </is>
      </c>
      <c r="I69" s="2" t="inlineStr">
        <is>
          <t>BENEFIT · Identity fit</t>
        </is>
      </c>
      <c r="J69" s="2" t="inlineStr">
        <is>
          <t>Pre-purchase research</t>
        </is>
      </c>
      <c r="K69" s="4" t="inlineStr"/>
      <c r="L69" s="4" t="inlineStr"/>
      <c r="M69" s="4" t="inlineStr">
        <is>
          <t>Y</t>
        </is>
      </c>
      <c r="N69" s="4" t="inlineStr"/>
      <c r="O69" s="4" t="inlineStr">
        <is>
          <t>Y</t>
        </is>
      </c>
      <c r="P69" s="4">
        <f>IF(C69&lt;12,"Y","")</f>
        <v/>
      </c>
      <c r="Q69" s="4">
        <f>COUNTIF(K69:P69,"Y")</f>
        <v/>
      </c>
      <c r="R69" s="5">
        <f>IF(Q69&gt;=3,"USE","CONTEXT")</f>
        <v/>
      </c>
      <c r="S69" s="2" t="inlineStr">
        <is>
          <t>A6 Retire the shelf</t>
        </is>
      </c>
    </row>
    <row r="70">
      <c r="A70" s="2" t="inlineStr">
        <is>
          <t>Q069</t>
        </is>
      </c>
      <c r="B70" s="3" t="inlineStr">
        <is>
          <t>My energy levels have been a little more consistent and I seem to have better stamina.</t>
        </is>
      </c>
      <c r="C70" s="4">
        <f>IF(LEN(TRIM(B70))=0,0,LEN(TRIM(B70))-LEN(SUBSTITUTE(TRIM(B70)," ",""))+1)</f>
        <v/>
      </c>
      <c r="D70" s="2" t="inlineStr">
        <is>
          <t>ProHealth NMN Pro (Uthever)</t>
        </is>
      </c>
      <c r="E70" s="2" t="inlineStr">
        <is>
          <t>Vine reviewer · 4★ · Jun 2026</t>
        </is>
      </c>
      <c r="F70" s="2" t="inlineStr">
        <is>
          <t>Verbatim</t>
        </is>
      </c>
      <c r="G70" s="2" t="inlineStr">
        <is>
          <t>Relief</t>
        </is>
      </c>
      <c r="H70" s="2" t="inlineStr">
        <is>
          <t>Get my energy back</t>
        </is>
      </c>
      <c r="I70" s="2" t="inlineStr">
        <is>
          <t>BENEFIT · Subtle energy</t>
        </is>
      </c>
      <c r="J70" s="2" t="inlineStr">
        <is>
          <t>Weeks 2–4</t>
        </is>
      </c>
      <c r="K70" s="4" t="inlineStr"/>
      <c r="L70" s="4" t="inlineStr">
        <is>
          <t>Y</t>
        </is>
      </c>
      <c r="M70" s="4" t="inlineStr">
        <is>
          <t>Y</t>
        </is>
      </c>
      <c r="N70" s="4" t="inlineStr"/>
      <c r="O70" s="4" t="inlineStr">
        <is>
          <t>Y</t>
        </is>
      </c>
      <c r="P70" s="4">
        <f>IF(C70&lt;12,"Y","")</f>
        <v/>
      </c>
      <c r="Q70" s="4">
        <f>COUNTIF(K70:P70,"Y")</f>
        <v/>
      </c>
      <c r="R70" s="6">
        <f>IF(Q70&gt;=3,"USE","CONTEXT")</f>
        <v/>
      </c>
      <c r="S70" s="2" t="inlineStr">
        <is>
          <t>A1 You won't feel it</t>
        </is>
      </c>
    </row>
    <row r="71">
      <c r="A71" s="2" t="inlineStr">
        <is>
          <t>Q070</t>
        </is>
      </c>
      <c r="B71" s="3" t="inlineStr">
        <is>
          <t>The bottle contains as little as a 15-day supply.</t>
        </is>
      </c>
      <c r="C71" s="4">
        <f>IF(LEN(TRIM(B71))=0,0,LEN(TRIM(B71))-LEN(SUBSTITUTE(TRIM(B71)," ",""))+1)</f>
        <v/>
      </c>
      <c r="D71" s="2" t="inlineStr">
        <is>
          <t>ProHealth NMN Pro (Uthever)</t>
        </is>
      </c>
      <c r="E71" s="2" t="inlineStr">
        <is>
          <t>Vine reviewer · 4★ · Jun 2026</t>
        </is>
      </c>
      <c r="F71" s="2" t="inlineStr">
        <is>
          <t>Verbatim</t>
        </is>
      </c>
      <c r="G71" s="2" t="inlineStr">
        <is>
          <t>Anger</t>
        </is>
      </c>
      <c r="H71" s="2" t="inlineStr">
        <is>
          <t>Justify the ongoing spend</t>
        </is>
      </c>
      <c r="I71" s="2" t="inlineStr">
        <is>
          <t>OBJECTION · True supply length</t>
        </is>
      </c>
      <c r="J71" s="2" t="inlineStr">
        <is>
          <t>Doing the price math</t>
        </is>
      </c>
      <c r="K71" s="4" t="inlineStr"/>
      <c r="L71" s="4" t="inlineStr"/>
      <c r="M71" s="4" t="inlineStr"/>
      <c r="N71" s="4" t="inlineStr"/>
      <c r="O71" s="4" t="inlineStr">
        <is>
          <t>Y</t>
        </is>
      </c>
      <c r="P71" s="4">
        <f>IF(C71&lt;12,"Y","")</f>
        <v/>
      </c>
      <c r="Q71" s="4">
        <f>COUNTIF(K71:P71,"Y")</f>
        <v/>
      </c>
      <c r="R71" s="5">
        <f>IF(Q71&gt;=3,"USE","CONTEXT")</f>
        <v/>
      </c>
      <c r="S71" s="2" t="inlineStr">
        <is>
          <t>A3 Do the math</t>
        </is>
      </c>
    </row>
    <row r="72">
      <c r="A72" s="2" t="inlineStr">
        <is>
          <t>Q071</t>
        </is>
      </c>
      <c r="B72" s="3" t="inlineStr">
        <is>
          <t>The bottle felt and looked practically empty when I first opened it.</t>
        </is>
      </c>
      <c r="C72" s="4">
        <f>IF(LEN(TRIM(B72))=0,0,LEN(TRIM(B72))-LEN(SUBSTITUTE(TRIM(B72)," ",""))+1)</f>
        <v/>
      </c>
      <c r="D72" s="2" t="inlineStr">
        <is>
          <t>ProHealth NMN Pro (Uthever)</t>
        </is>
      </c>
      <c r="E72" s="2" t="inlineStr">
        <is>
          <t>Vine reviewer · 4★ · Jun 2026</t>
        </is>
      </c>
      <c r="F72" s="2" t="inlineStr">
        <is>
          <t>Verbatim</t>
        </is>
      </c>
      <c r="G72" s="2" t="inlineStr">
        <is>
          <t>Anger</t>
        </is>
      </c>
      <c r="H72" s="2" t="inlineStr">
        <is>
          <t>Not get ripped off</t>
        </is>
      </c>
      <c r="I72" s="2" t="inlineStr">
        <is>
          <t>OBJECTION · Fill level</t>
        </is>
      </c>
      <c r="J72" s="2" t="inlineStr">
        <is>
          <t>Unboxing / first inspection</t>
        </is>
      </c>
      <c r="K72" s="4" t="inlineStr"/>
      <c r="L72" s="4" t="inlineStr">
        <is>
          <t>Y</t>
        </is>
      </c>
      <c r="M72" s="4" t="inlineStr"/>
      <c r="N72" s="4" t="inlineStr"/>
      <c r="O72" s="4" t="inlineStr">
        <is>
          <t>Y</t>
        </is>
      </c>
      <c r="P72" s="4">
        <f>IF(C72&lt;12,"Y","")</f>
        <v/>
      </c>
      <c r="Q72" s="4">
        <f>COUNTIF(K72:P72,"Y")</f>
        <v/>
      </c>
      <c r="R72" s="5">
        <f>IF(Q72&gt;=3,"USE","CONTEXT")</f>
        <v/>
      </c>
      <c r="S72" s="2" t="inlineStr">
        <is>
          <t>A3 Do the math</t>
        </is>
      </c>
    </row>
    <row r="73">
      <c r="A73" s="2" t="inlineStr">
        <is>
          <t>Q072</t>
        </is>
      </c>
      <c r="B73" s="3" t="inlineStr">
        <is>
          <t>There were 30 capsules. I counted them to be sure.</t>
        </is>
      </c>
      <c r="C73" s="4">
        <f>IF(LEN(TRIM(B73))=0,0,LEN(TRIM(B73))-LEN(SUBSTITUTE(TRIM(B73)," ",""))+1)</f>
        <v/>
      </c>
      <c r="D73" s="2" t="inlineStr">
        <is>
          <t>ProHealth NMN Pro (Uthever)</t>
        </is>
      </c>
      <c r="E73" s="2" t="inlineStr">
        <is>
          <t>Vine reviewer · 4★ · Jun 2026</t>
        </is>
      </c>
      <c r="F73" s="2" t="inlineStr">
        <is>
          <t>Verbatim</t>
        </is>
      </c>
      <c r="G73" s="2" t="inlineStr">
        <is>
          <t>Fear</t>
        </is>
      </c>
      <c r="H73" s="2" t="inlineStr">
        <is>
          <t>Not get ripped off</t>
        </is>
      </c>
      <c r="I73" s="2" t="inlineStr">
        <is>
          <t>OBJECTION · Fill level</t>
        </is>
      </c>
      <c r="J73" s="2" t="inlineStr">
        <is>
          <t>Unboxing / first inspection</t>
        </is>
      </c>
      <c r="K73" s="4" t="inlineStr"/>
      <c r="L73" s="4" t="inlineStr"/>
      <c r="M73" s="4" t="inlineStr"/>
      <c r="N73" s="4" t="inlineStr">
        <is>
          <t>Y</t>
        </is>
      </c>
      <c r="O73" s="4" t="inlineStr">
        <is>
          <t>Y</t>
        </is>
      </c>
      <c r="P73" s="4">
        <f>IF(C73&lt;12,"Y","")</f>
        <v/>
      </c>
      <c r="Q73" s="4">
        <f>COUNTIF(K73:P73,"Y")</f>
        <v/>
      </c>
      <c r="R73" s="6">
        <f>IF(Q73&gt;=3,"USE","CONTEXT")</f>
        <v/>
      </c>
      <c r="S73" s="2" t="inlineStr">
        <is>
          <t>A3 Do the math</t>
        </is>
      </c>
    </row>
    <row r="74">
      <c r="A74" s="2" t="inlineStr">
        <is>
          <t>Q073</t>
        </is>
      </c>
      <c r="B74" s="3" t="inlineStr">
        <is>
          <t>This product can get expensive if you plan to take it long term.</t>
        </is>
      </c>
      <c r="C74" s="4">
        <f>IF(LEN(TRIM(B74))=0,0,LEN(TRIM(B74))-LEN(SUBSTITUTE(TRIM(B74)," ",""))+1)</f>
        <v/>
      </c>
      <c r="D74" s="2" t="inlineStr">
        <is>
          <t>ProHealth NMN Pro (Uthever)</t>
        </is>
      </c>
      <c r="E74" s="2" t="inlineStr">
        <is>
          <t>Vine reviewer · 4★ · Jun 2026</t>
        </is>
      </c>
      <c r="F74" s="2" t="inlineStr">
        <is>
          <t>Verbatim</t>
        </is>
      </c>
      <c r="G74" s="2" t="inlineStr">
        <is>
          <t>Fear</t>
        </is>
      </c>
      <c r="H74" s="2" t="inlineStr">
        <is>
          <t>Justify the ongoing spend</t>
        </is>
      </c>
      <c r="I74" s="2" t="inlineStr">
        <is>
          <t>OBJECTION · Cost per day</t>
        </is>
      </c>
      <c r="J74" s="2" t="inlineStr">
        <is>
          <t>Reorder decision</t>
        </is>
      </c>
      <c r="K74" s="4" t="inlineStr"/>
      <c r="L74" s="4" t="inlineStr"/>
      <c r="M74" s="4" t="inlineStr"/>
      <c r="N74" s="4" t="inlineStr"/>
      <c r="O74" s="4" t="inlineStr">
        <is>
          <t>Y</t>
        </is>
      </c>
      <c r="P74" s="4">
        <f>IF(C74&lt;12,"Y","")</f>
        <v/>
      </c>
      <c r="Q74" s="4">
        <f>COUNTIF(K74:P74,"Y")</f>
        <v/>
      </c>
      <c r="R74" s="5">
        <f>IF(Q74&gt;=3,"USE","CONTEXT")</f>
        <v/>
      </c>
      <c r="S74" s="2" t="inlineStr">
        <is>
          <t>A3 Do the math</t>
        </is>
      </c>
    </row>
    <row r="75">
      <c r="A75" s="2" t="inlineStr">
        <is>
          <t>Q074</t>
        </is>
      </c>
      <c r="B75" s="3" t="inlineStr">
        <is>
          <t>I haven't experienced any side effects, stomach upset, or other issues.</t>
        </is>
      </c>
      <c r="C75" s="4">
        <f>IF(LEN(TRIM(B75))=0,0,LEN(TRIM(B75))-LEN(SUBSTITUTE(TRIM(B75)," ",""))+1)</f>
        <v/>
      </c>
      <c r="D75" s="2" t="inlineStr">
        <is>
          <t>ProHealth NMN Pro (Uthever)</t>
        </is>
      </c>
      <c r="E75" s="2" t="inlineStr">
        <is>
          <t>Vine reviewer · 4★ · Jun 2026</t>
        </is>
      </c>
      <c r="F75" s="2" t="inlineStr">
        <is>
          <t>Verbatim</t>
        </is>
      </c>
      <c r="G75" s="2" t="inlineStr">
        <is>
          <t>Relief</t>
        </is>
      </c>
      <c r="H75" s="2" t="inlineStr">
        <is>
          <t>Protect a sensitive body</t>
        </is>
      </c>
      <c r="I75" s="2" t="inlineStr">
        <is>
          <t>BENEFIT · Tolerability</t>
        </is>
      </c>
      <c r="J75" s="2" t="inlineStr">
        <is>
          <t>Weeks 2–4</t>
        </is>
      </c>
      <c r="K75" s="4" t="inlineStr"/>
      <c r="L75" s="4" t="inlineStr">
        <is>
          <t>Y</t>
        </is>
      </c>
      <c r="M75" s="4" t="inlineStr"/>
      <c r="N75" s="4" t="inlineStr"/>
      <c r="O75" s="4" t="inlineStr">
        <is>
          <t>Y</t>
        </is>
      </c>
      <c r="P75" s="4">
        <f>IF(C75&lt;12,"Y","")</f>
        <v/>
      </c>
      <c r="Q75" s="4">
        <f>COUNTIF(K75:P75,"Y")</f>
        <v/>
      </c>
      <c r="R75" s="6">
        <f>IF(Q75&gt;=3,"USE","CONTEXT")</f>
        <v/>
      </c>
      <c r="S75" s="2" t="inlineStr">
        <is>
          <t>A5 Gentle start</t>
        </is>
      </c>
    </row>
    <row r="76">
      <c r="A76" s="2" t="inlineStr">
        <is>
          <t>Q075</t>
        </is>
      </c>
      <c r="B76" s="3" t="inlineStr">
        <is>
          <t>Aging gracefully, which I am hoping to do.</t>
        </is>
      </c>
      <c r="C76" s="4">
        <f>IF(LEN(TRIM(B76))=0,0,LEN(TRIM(B76))-LEN(SUBSTITUTE(TRIM(B76)," ",""))+1)</f>
        <v/>
      </c>
      <c r="D76" s="2" t="inlineStr">
        <is>
          <t>ProHealth NMN Pro (Uthever)</t>
        </is>
      </c>
      <c r="E76" s="2" t="inlineStr">
        <is>
          <t>Vine reviewer · 4★ · Jun 2026</t>
        </is>
      </c>
      <c r="F76" s="2" t="inlineStr">
        <is>
          <t>Verbatim</t>
        </is>
      </c>
      <c r="G76" s="2" t="inlineStr">
        <is>
          <t>Hope</t>
        </is>
      </c>
      <c r="H76" s="2" t="inlineStr">
        <is>
          <t>Slow visible aging</t>
        </is>
      </c>
      <c r="I76" s="2" t="inlineStr">
        <is>
          <t>BENEFIT · Identity fit</t>
        </is>
      </c>
      <c r="J76" s="2" t="inlineStr">
        <is>
          <t>Pre-purchase research</t>
        </is>
      </c>
      <c r="K76" s="4" t="inlineStr"/>
      <c r="L76" s="4" t="inlineStr"/>
      <c r="M76" s="4" t="inlineStr"/>
      <c r="N76" s="4" t="inlineStr">
        <is>
          <t>Y</t>
        </is>
      </c>
      <c r="O76" s="4" t="inlineStr">
        <is>
          <t>Y</t>
        </is>
      </c>
      <c r="P76" s="4">
        <f>IF(C76&lt;12,"Y","")</f>
        <v/>
      </c>
      <c r="Q76" s="4">
        <f>COUNTIF(K76:P76,"Y")</f>
        <v/>
      </c>
      <c r="R76" s="6">
        <f>IF(Q76&gt;=3,"USE","CONTEXT")</f>
        <v/>
      </c>
      <c r="S76" s="2" t="inlineStr">
        <is>
          <t>A6 Retire the shelf</t>
        </is>
      </c>
    </row>
    <row r="77">
      <c r="A77" s="2" t="inlineStr">
        <is>
          <t>Q076</t>
        </is>
      </c>
      <c r="B77" s="3" t="inlineStr">
        <is>
          <t>Be patient.</t>
        </is>
      </c>
      <c r="C77" s="4">
        <f>IF(LEN(TRIM(B77))=0,0,LEN(TRIM(B77))-LEN(SUBSTITUTE(TRIM(B77)," ",""))+1)</f>
        <v/>
      </c>
      <c r="D77" s="2" t="inlineStr">
        <is>
          <t>ProHealth NMN Pro (Uthever)</t>
        </is>
      </c>
      <c r="E77" s="2" t="inlineStr">
        <is>
          <t>Kyle · 4★ · Jun 2026 · Vine</t>
        </is>
      </c>
      <c r="F77" s="2" t="inlineStr">
        <is>
          <t>Verbatim</t>
        </is>
      </c>
      <c r="G77" s="2" t="inlineStr">
        <is>
          <t>Hope</t>
        </is>
      </c>
      <c r="H77" s="2" t="inlineStr">
        <is>
          <t>Know whether it's working</t>
        </is>
      </c>
      <c r="I77" s="2" t="inlineStr">
        <is>
          <t>BENEFIT · Realistic timeline</t>
        </is>
      </c>
      <c r="J77" s="2" t="inlineStr">
        <is>
          <t>Week 1</t>
        </is>
      </c>
      <c r="K77" s="4" t="inlineStr"/>
      <c r="L77" s="4" t="inlineStr"/>
      <c r="M77" s="4" t="inlineStr"/>
      <c r="N77" s="4" t="inlineStr"/>
      <c r="O77" s="4" t="inlineStr">
        <is>
          <t>Y</t>
        </is>
      </c>
      <c r="P77" s="4">
        <f>IF(C77&lt;12,"Y","")</f>
        <v/>
      </c>
      <c r="Q77" s="4">
        <f>COUNTIF(K77:P77,"Y")</f>
        <v/>
      </c>
      <c r="R77" s="5">
        <f>IF(Q77&gt;=3,"USE","CONTEXT")</f>
        <v/>
      </c>
      <c r="S77" s="2" t="inlineStr">
        <is>
          <t>A1 You won't feel it</t>
        </is>
      </c>
    </row>
    <row r="78">
      <c r="A78" s="2" t="inlineStr">
        <is>
          <t>Q077</t>
        </is>
      </c>
      <c r="B78" s="3" t="inlineStr">
        <is>
          <t>It takes a little longer to take effect since your body needs to digest them first.</t>
        </is>
      </c>
      <c r="C78" s="4">
        <f>IF(LEN(TRIM(B78))=0,0,LEN(TRIM(B78))-LEN(SUBSTITUTE(TRIM(B78)," ",""))+1)</f>
        <v/>
      </c>
      <c r="D78" s="2" t="inlineStr">
        <is>
          <t>ProHealth NMN Pro (Uthever)</t>
        </is>
      </c>
      <c r="E78" s="2" t="inlineStr">
        <is>
          <t>Kyle · 4★ · Jun 2026 · Vine</t>
        </is>
      </c>
      <c r="F78" s="2" t="inlineStr">
        <is>
          <t>Verbatim</t>
        </is>
      </c>
      <c r="G78" s="2" t="inlineStr">
        <is>
          <t>Hope</t>
        </is>
      </c>
      <c r="H78" s="2" t="inlineStr">
        <is>
          <t>Know whether it's working</t>
        </is>
      </c>
      <c r="I78" s="2" t="inlineStr">
        <is>
          <t>OBJECTION · Timeline unclear</t>
        </is>
      </c>
      <c r="J78" s="2" t="inlineStr">
        <is>
          <t>Week 1</t>
        </is>
      </c>
      <c r="K78" s="4" t="inlineStr"/>
      <c r="L78" s="4" t="inlineStr">
        <is>
          <t>Y</t>
        </is>
      </c>
      <c r="M78" s="4" t="inlineStr"/>
      <c r="N78" s="4" t="inlineStr"/>
      <c r="O78" s="4" t="inlineStr">
        <is>
          <t>Y</t>
        </is>
      </c>
      <c r="P78" s="4">
        <f>IF(C78&lt;12,"Y","")</f>
        <v/>
      </c>
      <c r="Q78" s="4">
        <f>COUNTIF(K78:P78,"Y")</f>
        <v/>
      </c>
      <c r="R78" s="5">
        <f>IF(Q78&gt;=3,"USE","CONTEXT")</f>
        <v/>
      </c>
      <c r="S78" s="2" t="inlineStr">
        <is>
          <t>A1 You won't feel it</t>
        </is>
      </c>
    </row>
    <row r="79">
      <c r="A79" s="2" t="inlineStr">
        <is>
          <t>Q078</t>
        </is>
      </c>
      <c r="B79" s="3" t="inlineStr">
        <is>
          <t>The capsules aren't too large nor do they have any unpleasant taste or scent.</t>
        </is>
      </c>
      <c r="C79" s="4">
        <f>IF(LEN(TRIM(B79))=0,0,LEN(TRIM(B79))-LEN(SUBSTITUTE(TRIM(B79)," ",""))+1)</f>
        <v/>
      </c>
      <c r="D79" s="2" t="inlineStr">
        <is>
          <t>ProHealth NMN Pro (Uthever)</t>
        </is>
      </c>
      <c r="E79" s="2" t="inlineStr">
        <is>
          <t>Kyle · 4★ · Jun 2026 · Vine</t>
        </is>
      </c>
      <c r="F79" s="2" t="inlineStr">
        <is>
          <t>Verbatim</t>
        </is>
      </c>
      <c r="G79" s="2" t="inlineStr">
        <is>
          <t>Relief</t>
        </is>
      </c>
      <c r="H79" s="2" t="inlineStr">
        <is>
          <t>Protect a sensitive body</t>
        </is>
      </c>
      <c r="I79" s="2" t="inlineStr">
        <is>
          <t>BENEFIT · Sensory ease</t>
        </is>
      </c>
      <c r="J79" s="2" t="inlineStr">
        <is>
          <t>First dose</t>
        </is>
      </c>
      <c r="K79" s="4" t="inlineStr"/>
      <c r="L79" s="4" t="inlineStr">
        <is>
          <t>Y</t>
        </is>
      </c>
      <c r="M79" s="4" t="inlineStr"/>
      <c r="N79" s="4" t="inlineStr"/>
      <c r="O79" s="4" t="inlineStr">
        <is>
          <t>Y</t>
        </is>
      </c>
      <c r="P79" s="4">
        <f>IF(C79&lt;12,"Y","")</f>
        <v/>
      </c>
      <c r="Q79" s="4">
        <f>COUNTIF(K79:P79,"Y")</f>
        <v/>
      </c>
      <c r="R79" s="5">
        <f>IF(Q79&gt;=3,"USE","CONTEXT")</f>
        <v/>
      </c>
      <c r="S79" s="2" t="inlineStr">
        <is>
          <t>A5 Gentle start</t>
        </is>
      </c>
    </row>
    <row r="80">
      <c r="A80" s="2" t="inlineStr">
        <is>
          <t>Q079</t>
        </is>
      </c>
      <c r="B80" s="3" t="inlineStr">
        <is>
          <t>A really nice boost of energy, and it's sustained, so no crash later in the day.</t>
        </is>
      </c>
      <c r="C80" s="4">
        <f>IF(LEN(TRIM(B80))=0,0,LEN(TRIM(B80))-LEN(SUBSTITUTE(TRIM(B80)," ",""))+1)</f>
        <v/>
      </c>
      <c r="D80" s="2" t="inlineStr">
        <is>
          <t>ProHealth NMN Pro (Uthever)</t>
        </is>
      </c>
      <c r="E80" s="2" t="inlineStr">
        <is>
          <t>Kyle · 4★ · Jun 2026 · Vine</t>
        </is>
      </c>
      <c r="F80" s="2" t="inlineStr">
        <is>
          <t>Verbatim</t>
        </is>
      </c>
      <c r="G80" s="2" t="inlineStr">
        <is>
          <t>Relief</t>
        </is>
      </c>
      <c r="H80" s="2" t="inlineStr">
        <is>
          <t>Get my energy back</t>
        </is>
      </c>
      <c r="I80" s="2" t="inlineStr">
        <is>
          <t>BENEFIT · Clean energy</t>
        </is>
      </c>
      <c r="J80" s="2" t="inlineStr">
        <is>
          <t>Weeks 2–4</t>
        </is>
      </c>
      <c r="K80" s="4" t="inlineStr">
        <is>
          <t>Y</t>
        </is>
      </c>
      <c r="L80" s="4" t="inlineStr">
        <is>
          <t>Y</t>
        </is>
      </c>
      <c r="M80" s="4" t="inlineStr"/>
      <c r="N80" s="4" t="inlineStr"/>
      <c r="O80" s="4" t="inlineStr">
        <is>
          <t>Y</t>
        </is>
      </c>
      <c r="P80" s="4">
        <f>IF(C80&lt;12,"Y","")</f>
        <v/>
      </c>
      <c r="Q80" s="4">
        <f>COUNTIF(K80:P80,"Y")</f>
        <v/>
      </c>
      <c r="R80" s="6">
        <f>IF(Q80&gt;=3,"USE","CONTEXT")</f>
        <v/>
      </c>
      <c r="S80" s="2" t="inlineStr">
        <is>
          <t>A1 You won't feel it</t>
        </is>
      </c>
    </row>
    <row r="81">
      <c r="A81" s="2" t="inlineStr">
        <is>
          <t>Q080</t>
        </is>
      </c>
      <c r="B81" s="3" t="inlineStr">
        <is>
          <t>I read where people kept saying they did not get a spoon but mine was in the bag.</t>
        </is>
      </c>
      <c r="C81" s="4">
        <f>IF(LEN(TRIM(B81))=0,0,LEN(TRIM(B81))-LEN(SUBSTITUTE(TRIM(B81)," ",""))+1)</f>
        <v/>
      </c>
      <c r="D81" s="2" t="inlineStr">
        <is>
          <t>ProHealth NMN Powder</t>
        </is>
      </c>
      <c r="E81" s="2" t="inlineStr">
        <is>
          <t>Jackie Waldrop · 4★ · Jan 2023</t>
        </is>
      </c>
      <c r="F81" s="2" t="inlineStr">
        <is>
          <t>Verbatim</t>
        </is>
      </c>
      <c r="G81" s="2" t="inlineStr">
        <is>
          <t>Relief</t>
        </is>
      </c>
      <c r="H81" s="2" t="inlineStr">
        <is>
          <t>Not get ripped off</t>
        </is>
      </c>
      <c r="I81" s="2" t="inlineStr">
        <is>
          <t>BENEFIT · Fear resolved</t>
        </is>
      </c>
      <c r="J81" s="2" t="inlineStr">
        <is>
          <t>Unboxing / first inspection</t>
        </is>
      </c>
      <c r="K81" s="4" t="inlineStr"/>
      <c r="L81" s="4" t="inlineStr"/>
      <c r="M81" s="4" t="inlineStr"/>
      <c r="N81" s="4" t="inlineStr"/>
      <c r="O81" s="4" t="inlineStr">
        <is>
          <t>Y</t>
        </is>
      </c>
      <c r="P81" s="4">
        <f>IF(C81&lt;12,"Y","")</f>
        <v/>
      </c>
      <c r="Q81" s="4">
        <f>COUNTIF(K81:P81,"Y")</f>
        <v/>
      </c>
      <c r="R81" s="5">
        <f>IF(Q81&gt;=3,"USE","CONTEXT")</f>
        <v/>
      </c>
      <c r="S81" s="2" t="inlineStr">
        <is>
          <t>A2 The receipt</t>
        </is>
      </c>
    </row>
    <row r="82">
      <c r="A82" s="2" t="inlineStr">
        <is>
          <t>Q081</t>
        </is>
      </c>
      <c r="B82" s="3" t="inlineStr">
        <is>
          <t>The taste is kind of twangy. Not bad.</t>
        </is>
      </c>
      <c r="C82" s="4">
        <f>IF(LEN(TRIM(B82))=0,0,LEN(TRIM(B82))-LEN(SUBSTITUTE(TRIM(B82)," ",""))+1)</f>
        <v/>
      </c>
      <c r="D82" s="2" t="inlineStr">
        <is>
          <t>ProHealth NMN Powder</t>
        </is>
      </c>
      <c r="E82" s="2" t="inlineStr">
        <is>
          <t>Jackie Waldrop · 4★ · Jan 2023</t>
        </is>
      </c>
      <c r="F82" s="2" t="inlineStr">
        <is>
          <t>Verbatim</t>
        </is>
      </c>
      <c r="G82" s="2" t="inlineStr">
        <is>
          <t>Relief</t>
        </is>
      </c>
      <c r="H82" s="2" t="inlineStr">
        <is>
          <t>Protect a sensitive body</t>
        </is>
      </c>
      <c r="I82" s="2" t="inlineStr">
        <is>
          <t>BENEFIT · Taste acceptable</t>
        </is>
      </c>
      <c r="J82" s="2" t="inlineStr">
        <is>
          <t>First dose</t>
        </is>
      </c>
      <c r="K82" s="4" t="inlineStr"/>
      <c r="L82" s="4" t="inlineStr">
        <is>
          <t>Y</t>
        </is>
      </c>
      <c r="M82" s="4" t="inlineStr"/>
      <c r="N82" s="4" t="inlineStr"/>
      <c r="O82" s="4" t="inlineStr">
        <is>
          <t>Y</t>
        </is>
      </c>
      <c r="P82" s="4">
        <f>IF(C82&lt;12,"Y","")</f>
        <v/>
      </c>
      <c r="Q82" s="4">
        <f>COUNTIF(K82:P82,"Y")</f>
        <v/>
      </c>
      <c r="R82" s="6">
        <f>IF(Q82&gt;=3,"USE","CONTEXT")</f>
        <v/>
      </c>
      <c r="S82" s="2" t="inlineStr">
        <is>
          <t>A5 Gentle start</t>
        </is>
      </c>
    </row>
    <row r="83">
      <c r="A83" s="2" t="inlineStr">
        <is>
          <t>Q082</t>
        </is>
      </c>
      <c r="B83" s="3" t="inlineStr">
        <is>
          <t>It disappears in the water with no cloud and is clear, easy to drink.</t>
        </is>
      </c>
      <c r="C83" s="4">
        <f>IF(LEN(TRIM(B83))=0,0,LEN(TRIM(B83))-LEN(SUBSTITUTE(TRIM(B83)," ",""))+1)</f>
        <v/>
      </c>
      <c r="D83" s="2" t="inlineStr">
        <is>
          <t>ProHealth NMN Powder</t>
        </is>
      </c>
      <c r="E83" s="2" t="inlineStr">
        <is>
          <t>Jackie Waldrop · 4★ · Jan 2023</t>
        </is>
      </c>
      <c r="F83" s="2" t="inlineStr">
        <is>
          <t>Verbatim</t>
        </is>
      </c>
      <c r="G83" s="2" t="inlineStr">
        <is>
          <t>Relief</t>
        </is>
      </c>
      <c r="H83" s="2" t="inlineStr">
        <is>
          <t>Protect a sensitive body</t>
        </is>
      </c>
      <c r="I83" s="2" t="inlineStr">
        <is>
          <t>BENEFIT · Dissolves clean</t>
        </is>
      </c>
      <c r="J83" s="2" t="inlineStr">
        <is>
          <t>First dose</t>
        </is>
      </c>
      <c r="K83" s="4" t="inlineStr"/>
      <c r="L83" s="4" t="inlineStr">
        <is>
          <t>Y</t>
        </is>
      </c>
      <c r="M83" s="4" t="inlineStr"/>
      <c r="N83" s="4" t="inlineStr"/>
      <c r="O83" s="4" t="inlineStr">
        <is>
          <t>Y</t>
        </is>
      </c>
      <c r="P83" s="4">
        <f>IF(C83&lt;12,"Y","")</f>
        <v/>
      </c>
      <c r="Q83" s="4">
        <f>COUNTIF(K83:P83,"Y")</f>
        <v/>
      </c>
      <c r="R83" s="5">
        <f>IF(Q83&gt;=3,"USE","CONTEXT")</f>
        <v/>
      </c>
      <c r="S83" s="2" t="inlineStr">
        <is>
          <t>A5 Gentle start</t>
        </is>
      </c>
    </row>
    <row r="84">
      <c r="A84" s="2" t="inlineStr">
        <is>
          <t>Q083</t>
        </is>
      </c>
      <c r="B84" s="3" t="inlineStr">
        <is>
          <t>My husband thought I gave him just a glass of water.</t>
        </is>
      </c>
      <c r="C84" s="4">
        <f>IF(LEN(TRIM(B84))=0,0,LEN(TRIM(B84))-LEN(SUBSTITUTE(TRIM(B84)," ",""))+1)</f>
        <v/>
      </c>
      <c r="D84" s="2" t="inlineStr">
        <is>
          <t>ProHealth NMN Powder</t>
        </is>
      </c>
      <c r="E84" s="2" t="inlineStr">
        <is>
          <t>Jackie Waldrop · 4★ · Jan 2023</t>
        </is>
      </c>
      <c r="F84" s="2" t="inlineStr">
        <is>
          <t>Verbatim</t>
        </is>
      </c>
      <c r="G84" s="2" t="inlineStr">
        <is>
          <t>Relief</t>
        </is>
      </c>
      <c r="H84" s="2" t="inlineStr">
        <is>
          <t>Care for my spouse</t>
        </is>
      </c>
      <c r="I84" s="2" t="inlineStr">
        <is>
          <t>BENEFIT · Dissolves clean</t>
        </is>
      </c>
      <c r="J84" s="2" t="inlineStr">
        <is>
          <t>First dose</t>
        </is>
      </c>
      <c r="K84" s="4" t="inlineStr"/>
      <c r="L84" s="4" t="inlineStr">
        <is>
          <t>Y</t>
        </is>
      </c>
      <c r="M84" s="4" t="inlineStr"/>
      <c r="N84" s="4" t="inlineStr"/>
      <c r="O84" s="4" t="inlineStr">
        <is>
          <t>Y</t>
        </is>
      </c>
      <c r="P84" s="4">
        <f>IF(C84&lt;12,"Y","")</f>
        <v/>
      </c>
      <c r="Q84" s="4">
        <f>COUNTIF(K84:P84,"Y")</f>
        <v/>
      </c>
      <c r="R84" s="6">
        <f>IF(Q84&gt;=3,"USE","CONTEXT")</f>
        <v/>
      </c>
      <c r="S84" s="2" t="inlineStr">
        <is>
          <t>A5 Gentle start</t>
        </is>
      </c>
    </row>
    <row r="85">
      <c r="A85" s="7" t="inlineStr">
        <is>
          <t>Q084</t>
        </is>
      </c>
      <c r="B85" s="8" t="inlineStr">
        <is>
          <t>He has COPD and I have IBS. Wanted to try it for those two things.</t>
        </is>
      </c>
      <c r="C85" s="9">
        <f>IF(LEN(TRIM(B85))=0,0,LEN(TRIM(B85))-LEN(SUBSTITUTE(TRIM(B85)," ",""))+1)</f>
        <v/>
      </c>
      <c r="D85" s="7" t="inlineStr">
        <is>
          <t>ProHealth NMN Powder</t>
        </is>
      </c>
      <c r="E85" s="7" t="inlineStr">
        <is>
          <t>Jackie Waldrop · 4★ · Jan 2023</t>
        </is>
      </c>
      <c r="F85" s="7" t="inlineStr">
        <is>
          <t>Verbatim</t>
        </is>
      </c>
      <c r="G85" s="7" t="inlineStr">
        <is>
          <t>Hope</t>
        </is>
      </c>
      <c r="H85" s="7" t="inlineStr">
        <is>
          <t>Care for my spouse</t>
        </is>
      </c>
      <c r="I85" s="7" t="inlineStr">
        <is>
          <t>OBJECTION · Disease hope [DO NOT USE]</t>
        </is>
      </c>
      <c r="J85" s="7" t="inlineStr">
        <is>
          <t>Pre-purchase research</t>
        </is>
      </c>
      <c r="K85" s="9" t="inlineStr"/>
      <c r="L85" s="9" t="inlineStr">
        <is>
          <t>Y</t>
        </is>
      </c>
      <c r="M85" s="9" t="inlineStr"/>
      <c r="N85" s="9" t="inlineStr"/>
      <c r="O85" s="9" t="inlineStr">
        <is>
          <t>Y</t>
        </is>
      </c>
      <c r="P85" s="9">
        <f>IF(C85&lt;12,"Y","")</f>
        <v/>
      </c>
      <c r="Q85" s="9">
        <f>COUNTIF(K85:P85,"Y")</f>
        <v/>
      </c>
      <c r="R85" s="10">
        <f>IF(Q85&gt;=3,"USE","CONTEXT")</f>
        <v/>
      </c>
      <c r="S85" s="7" t="inlineStr">
        <is>
          <t>§07 Guardrail — do not use</t>
        </is>
      </c>
    </row>
    <row r="86">
      <c r="A86" s="2" t="inlineStr">
        <is>
          <t>Q085</t>
        </is>
      </c>
      <c r="B86" s="3" t="inlineStr">
        <is>
          <t>I had a bad reaction the first day and had cramps in my stomach.</t>
        </is>
      </c>
      <c r="C86" s="4">
        <f>IF(LEN(TRIM(B86))=0,0,LEN(TRIM(B86))-LEN(SUBSTITUTE(TRIM(B86)," ",""))+1)</f>
        <v/>
      </c>
      <c r="D86" s="2" t="inlineStr">
        <is>
          <t>ProHealth NMN Powder</t>
        </is>
      </c>
      <c r="E86" s="2" t="inlineStr">
        <is>
          <t>Jackie Waldrop · 4★ · Jan 2023</t>
        </is>
      </c>
      <c r="F86" s="2" t="inlineStr">
        <is>
          <t>Verbatim</t>
        </is>
      </c>
      <c r="G86" s="2" t="inlineStr">
        <is>
          <t>Fear</t>
        </is>
      </c>
      <c r="H86" s="2" t="inlineStr">
        <is>
          <t>Protect a sensitive body</t>
        </is>
      </c>
      <c r="I86" s="2" t="inlineStr">
        <is>
          <t>OBJECTION · Gut reaction</t>
        </is>
      </c>
      <c r="J86" s="2" t="inlineStr">
        <is>
          <t>First dose</t>
        </is>
      </c>
      <c r="K86" s="4" t="inlineStr">
        <is>
          <t>Y</t>
        </is>
      </c>
      <c r="L86" s="4" t="inlineStr">
        <is>
          <t>Y</t>
        </is>
      </c>
      <c r="M86" s="4" t="inlineStr"/>
      <c r="N86" s="4" t="inlineStr"/>
      <c r="O86" s="4" t="inlineStr">
        <is>
          <t>Y</t>
        </is>
      </c>
      <c r="P86" s="4">
        <f>IF(C86&lt;12,"Y","")</f>
        <v/>
      </c>
      <c r="Q86" s="4">
        <f>COUNTIF(K86:P86,"Y")</f>
        <v/>
      </c>
      <c r="R86" s="6">
        <f>IF(Q86&gt;=3,"USE","CONTEXT")</f>
        <v/>
      </c>
      <c r="S86" s="2" t="inlineStr">
        <is>
          <t>A5 Gentle start</t>
        </is>
      </c>
    </row>
    <row r="87">
      <c r="A87" s="2" t="inlineStr">
        <is>
          <t>Q086</t>
        </is>
      </c>
      <c r="B87" s="3" t="inlineStr">
        <is>
          <t>I was afraid to try it again.</t>
        </is>
      </c>
      <c r="C87" s="4">
        <f>IF(LEN(TRIM(B87))=0,0,LEN(TRIM(B87))-LEN(SUBSTITUTE(TRIM(B87)," ",""))+1)</f>
        <v/>
      </c>
      <c r="D87" s="2" t="inlineStr">
        <is>
          <t>ProHealth NMN Powder</t>
        </is>
      </c>
      <c r="E87" s="2" t="inlineStr">
        <is>
          <t>Jackie Waldrop · 4★ · Jan 2023</t>
        </is>
      </c>
      <c r="F87" s="2" t="inlineStr">
        <is>
          <t>Verbatim</t>
        </is>
      </c>
      <c r="G87" s="2" t="inlineStr">
        <is>
          <t>Fear</t>
        </is>
      </c>
      <c r="H87" s="2" t="inlineStr">
        <is>
          <t>Protect a sensitive body</t>
        </is>
      </c>
      <c r="I87" s="2" t="inlineStr">
        <is>
          <t>OBJECTION · Gut reaction</t>
        </is>
      </c>
      <c r="J87" s="2" t="inlineStr">
        <is>
          <t>Week 1</t>
        </is>
      </c>
      <c r="K87" s="4" t="inlineStr"/>
      <c r="L87" s="4" t="inlineStr">
        <is>
          <t>Y</t>
        </is>
      </c>
      <c r="M87" s="4" t="inlineStr"/>
      <c r="N87" s="4" t="inlineStr">
        <is>
          <t>Y</t>
        </is>
      </c>
      <c r="O87" s="4" t="inlineStr">
        <is>
          <t>Y</t>
        </is>
      </c>
      <c r="P87" s="4">
        <f>IF(C87&lt;12,"Y","")</f>
        <v/>
      </c>
      <c r="Q87" s="4">
        <f>COUNTIF(K87:P87,"Y")</f>
        <v/>
      </c>
      <c r="R87" s="6">
        <f>IF(Q87&gt;=3,"USE","CONTEXT")</f>
        <v/>
      </c>
      <c r="S87" s="2" t="inlineStr">
        <is>
          <t>A5 Gentle start</t>
        </is>
      </c>
    </row>
    <row r="88">
      <c r="A88" s="2" t="inlineStr">
        <is>
          <t>Q087</t>
        </is>
      </c>
      <c r="B88" s="3" t="inlineStr">
        <is>
          <t>By the third day he said I think it is helping me, so I started back taking it.</t>
        </is>
      </c>
      <c r="C88" s="4">
        <f>IF(LEN(TRIM(B88))=0,0,LEN(TRIM(B88))-LEN(SUBSTITUTE(TRIM(B88)," ",""))+1)</f>
        <v/>
      </c>
      <c r="D88" s="2" t="inlineStr">
        <is>
          <t>ProHealth NMN Powder</t>
        </is>
      </c>
      <c r="E88" s="2" t="inlineStr">
        <is>
          <t>Jackie Waldrop · 4★ · Jan 2023</t>
        </is>
      </c>
      <c r="F88" s="2" t="inlineStr">
        <is>
          <t>Verbatim</t>
        </is>
      </c>
      <c r="G88" s="2" t="inlineStr">
        <is>
          <t>Hope</t>
        </is>
      </c>
      <c r="H88" s="2" t="inlineStr">
        <is>
          <t>Care for my spouse</t>
        </is>
      </c>
      <c r="I88" s="2" t="inlineStr">
        <is>
          <t>BENEFIT · Push through week 1</t>
        </is>
      </c>
      <c r="J88" s="2" t="inlineStr">
        <is>
          <t>Week 1</t>
        </is>
      </c>
      <c r="K88" s="4" t="inlineStr">
        <is>
          <t>Y</t>
        </is>
      </c>
      <c r="L88" s="4" t="inlineStr"/>
      <c r="M88" s="4" t="inlineStr"/>
      <c r="N88" s="4" t="inlineStr"/>
      <c r="O88" s="4" t="inlineStr">
        <is>
          <t>Y</t>
        </is>
      </c>
      <c r="P88" s="4">
        <f>IF(C88&lt;12,"Y","")</f>
        <v/>
      </c>
      <c r="Q88" s="4">
        <f>COUNTIF(K88:P88,"Y")</f>
        <v/>
      </c>
      <c r="R88" s="5">
        <f>IF(Q88&gt;=3,"USE","CONTEXT")</f>
        <v/>
      </c>
      <c r="S88" s="2" t="inlineStr">
        <is>
          <t>A5 Gentle start</t>
        </is>
      </c>
    </row>
    <row r="89">
      <c r="A89" s="2" t="inlineStr">
        <is>
          <t>Q088</t>
        </is>
      </c>
      <c r="B89" s="3" t="inlineStr">
        <is>
          <t>Keeping a log of our vitals.</t>
        </is>
      </c>
      <c r="C89" s="4">
        <f>IF(LEN(TRIM(B89))=0,0,LEN(TRIM(B89))-LEN(SUBSTITUTE(TRIM(B89)," ",""))+1)</f>
        <v/>
      </c>
      <c r="D89" s="2" t="inlineStr">
        <is>
          <t>ProHealth NMN Powder</t>
        </is>
      </c>
      <c r="E89" s="2" t="inlineStr">
        <is>
          <t>Jackie Waldrop · 4★ · Jan 2023</t>
        </is>
      </c>
      <c r="F89" s="2" t="inlineStr">
        <is>
          <t>Verbatim</t>
        </is>
      </c>
      <c r="G89" s="2" t="inlineStr">
        <is>
          <t>Hope</t>
        </is>
      </c>
      <c r="H89" s="2" t="inlineStr">
        <is>
          <t>Know whether it's working</t>
        </is>
      </c>
      <c r="I89" s="2" t="inlineStr">
        <is>
          <t>BENEFIT · Wants a scoreboard</t>
        </is>
      </c>
      <c r="J89" s="2" t="inlineStr">
        <is>
          <t>Week 1</t>
        </is>
      </c>
      <c r="K89" s="4" t="inlineStr"/>
      <c r="L89" s="4" t="inlineStr"/>
      <c r="M89" s="4" t="inlineStr"/>
      <c r="N89" s="4" t="inlineStr"/>
      <c r="O89" s="4" t="inlineStr">
        <is>
          <t>Y</t>
        </is>
      </c>
      <c r="P89" s="4">
        <f>IF(C89&lt;12,"Y","")</f>
        <v/>
      </c>
      <c r="Q89" s="4">
        <f>COUNTIF(K89:P89,"Y")</f>
        <v/>
      </c>
      <c r="R89" s="5">
        <f>IF(Q89&gt;=3,"USE","CONTEXT")</f>
        <v/>
      </c>
      <c r="S89" s="2" t="inlineStr">
        <is>
          <t>A1 You won't feel it</t>
        </is>
      </c>
    </row>
    <row r="90">
      <c r="A90" s="7" t="inlineStr">
        <is>
          <t>Q089</t>
        </is>
      </c>
      <c r="B90" s="8" t="inlineStr">
        <is>
          <t>Hoping that soon he won't have to take them any more and just the NMN.</t>
        </is>
      </c>
      <c r="C90" s="9">
        <f>IF(LEN(TRIM(B90))=0,0,LEN(TRIM(B90))-LEN(SUBSTITUTE(TRIM(B90)," ",""))+1)</f>
        <v/>
      </c>
      <c r="D90" s="7" t="inlineStr">
        <is>
          <t>ProHealth NMN Powder</t>
        </is>
      </c>
      <c r="E90" s="7" t="inlineStr">
        <is>
          <t>Jackie Waldrop · 4★ · Jan 2023</t>
        </is>
      </c>
      <c r="F90" s="7" t="inlineStr">
        <is>
          <t>Verbatim</t>
        </is>
      </c>
      <c r="G90" s="7" t="inlineStr">
        <is>
          <t>Hope</t>
        </is>
      </c>
      <c r="H90" s="7" t="inlineStr">
        <is>
          <t>Care for my spouse</t>
        </is>
      </c>
      <c r="I90" s="7" t="inlineStr">
        <is>
          <t>OBJECTION · Drug replacement [DO NOT USE]</t>
        </is>
      </c>
      <c r="J90" s="7" t="inlineStr">
        <is>
          <t>Month 2+</t>
        </is>
      </c>
      <c r="K90" s="9" t="inlineStr"/>
      <c r="L90" s="9" t="inlineStr"/>
      <c r="M90" s="9" t="inlineStr"/>
      <c r="N90" s="9" t="inlineStr"/>
      <c r="O90" s="9" t="inlineStr">
        <is>
          <t>Y</t>
        </is>
      </c>
      <c r="P90" s="9">
        <f>IF(C90&lt;12,"Y","")</f>
        <v/>
      </c>
      <c r="Q90" s="9">
        <f>COUNTIF(K90:P90,"Y")</f>
        <v/>
      </c>
      <c r="R90" s="10">
        <f>IF(Q90&gt;=3,"USE","CONTEXT")</f>
        <v/>
      </c>
      <c r="S90" s="7" t="inlineStr">
        <is>
          <t>§07 Guardrail — do not use</t>
        </is>
      </c>
    </row>
    <row r="91">
      <c r="A91" s="2" t="inlineStr">
        <is>
          <t>Q090</t>
        </is>
      </c>
      <c r="B91" s="3" t="inlineStr">
        <is>
          <t>NAD+ as a molecule is too large to be effectively absorbed through the digestive system.</t>
        </is>
      </c>
      <c r="C91" s="4">
        <f>IF(LEN(TRIM(B91))=0,0,LEN(TRIM(B91))-LEN(SUBSTITUTE(TRIM(B91)," ",""))+1)</f>
        <v/>
      </c>
      <c r="D91" s="2" t="inlineStr">
        <is>
          <t>Nutricost NAD+ 1,000mg</t>
        </is>
      </c>
      <c r="E91" s="2" t="inlineStr">
        <is>
          <t>Listing summary</t>
        </is>
      </c>
      <c r="F91" s="2" t="inlineStr">
        <is>
          <t>Paraphrase — not quotable</t>
        </is>
      </c>
      <c r="G91" s="2" t="inlineStr">
        <is>
          <t>Fear</t>
        </is>
      </c>
      <c r="H91" s="2" t="inlineStr">
        <is>
          <t>Verify it's real and safe</t>
        </is>
      </c>
      <c r="I91" s="2" t="inlineStr">
        <is>
          <t>OBJECTION · Bioavailability</t>
        </is>
      </c>
      <c r="J91" s="2" t="inlineStr">
        <is>
          <t>Pre-purchase research</t>
        </is>
      </c>
      <c r="K91" s="4" t="inlineStr"/>
      <c r="L91" s="4" t="inlineStr"/>
      <c r="M91" s="4" t="inlineStr"/>
      <c r="N91" s="4" t="inlineStr"/>
      <c r="O91" s="4" t="inlineStr"/>
      <c r="P91" s="4">
        <f>IF(C91&lt;12,"Y","")</f>
        <v/>
      </c>
      <c r="Q91" s="4">
        <f>COUNTIF(K91:P91,"Y")</f>
        <v/>
      </c>
      <c r="R91" s="5">
        <f>IF(Q91&gt;=3,"USE","CONTEXT")</f>
        <v/>
      </c>
      <c r="S91" s="2" t="inlineStr">
        <is>
          <t>A4 Dose is the product</t>
        </is>
      </c>
    </row>
    <row r="92">
      <c r="A92" s="2" t="inlineStr">
        <is>
          <t>Q091</t>
        </is>
      </c>
      <c r="B92" s="3" t="inlineStr">
        <is>
          <t>Precursors like NMN or NR may be more effective for raising NAD+ levels.</t>
        </is>
      </c>
      <c r="C92" s="4">
        <f>IF(LEN(TRIM(B92))=0,0,LEN(TRIM(B92))-LEN(SUBSTITUTE(TRIM(B92)," ",""))+1)</f>
        <v/>
      </c>
      <c r="D92" s="2" t="inlineStr">
        <is>
          <t>Nutricost NAD+ 1,000mg</t>
        </is>
      </c>
      <c r="E92" s="2" t="inlineStr">
        <is>
          <t>Listing summary</t>
        </is>
      </c>
      <c r="F92" s="2" t="inlineStr">
        <is>
          <t>Paraphrase — not quotable</t>
        </is>
      </c>
      <c r="G92" s="2" t="inlineStr">
        <is>
          <t>Hope</t>
        </is>
      </c>
      <c r="H92" s="2" t="inlineStr">
        <is>
          <t>Be the person who did the research</t>
        </is>
      </c>
      <c r="I92" s="2" t="inlineStr">
        <is>
          <t>BENEFIT · NMN over NAD+</t>
        </is>
      </c>
      <c r="J92" s="2" t="inlineStr">
        <is>
          <t>Comparing brands</t>
        </is>
      </c>
      <c r="K92" s="4" t="inlineStr"/>
      <c r="L92" s="4" t="inlineStr"/>
      <c r="M92" s="4" t="inlineStr"/>
      <c r="N92" s="4" t="inlineStr"/>
      <c r="O92" s="4" t="inlineStr"/>
      <c r="P92" s="4">
        <f>IF(C92&lt;12,"Y","")</f>
        <v/>
      </c>
      <c r="Q92" s="4">
        <f>COUNTIF(K92:P92,"Y")</f>
        <v/>
      </c>
      <c r="R92" s="5">
        <f>IF(Q92&gt;=3,"USE","CONTEXT")</f>
        <v/>
      </c>
      <c r="S92" s="2" t="inlineStr">
        <is>
          <t>A4 Dose is the product</t>
        </is>
      </c>
    </row>
    <row r="93">
      <c r="A93" s="2" t="inlineStr">
        <is>
          <t>Q092</t>
        </is>
      </c>
      <c r="B93" s="3" t="inlineStr">
        <is>
          <t>Too strong.</t>
        </is>
      </c>
      <c r="C93" s="4">
        <f>IF(LEN(TRIM(B93))=0,0,LEN(TRIM(B93))-LEN(SUBSTITUTE(TRIM(B93)," ",""))+1)</f>
        <v/>
      </c>
      <c r="D93" s="2" t="inlineStr">
        <is>
          <t>Nutricost NAD+ 1,000mg</t>
        </is>
      </c>
      <c r="E93" s="2" t="inlineStr">
        <is>
          <t>Listing summary</t>
        </is>
      </c>
      <c r="F93" s="2" t="inlineStr">
        <is>
          <t>Quoted fragment</t>
        </is>
      </c>
      <c r="G93" s="2" t="inlineStr">
        <is>
          <t>Fear</t>
        </is>
      </c>
      <c r="H93" s="2" t="inlineStr">
        <is>
          <t>Protect a sensitive body</t>
        </is>
      </c>
      <c r="I93" s="2" t="inlineStr">
        <is>
          <t>OBJECTION · Over-stimulation</t>
        </is>
      </c>
      <c r="J93" s="2" t="inlineStr">
        <is>
          <t>First dose</t>
        </is>
      </c>
      <c r="K93" s="4" t="inlineStr"/>
      <c r="L93" s="4" t="inlineStr">
        <is>
          <t>Y</t>
        </is>
      </c>
      <c r="M93" s="4" t="inlineStr"/>
      <c r="N93" s="4" t="inlineStr"/>
      <c r="O93" s="4" t="inlineStr">
        <is>
          <t>Y</t>
        </is>
      </c>
      <c r="P93" s="4">
        <f>IF(C93&lt;12,"Y","")</f>
        <v/>
      </c>
      <c r="Q93" s="4">
        <f>COUNTIF(K93:P93,"Y")</f>
        <v/>
      </c>
      <c r="R93" s="6">
        <f>IF(Q93&gt;=3,"USE","CONTEXT")</f>
        <v/>
      </c>
      <c r="S93" s="2" t="inlineStr">
        <is>
          <t>A5 Gentle start</t>
        </is>
      </c>
    </row>
    <row r="94">
      <c r="A94" s="2" t="inlineStr">
        <is>
          <t>Q093</t>
        </is>
      </c>
      <c r="B94" s="3" t="inlineStr">
        <is>
          <t>Start with just 1 capsule to assess tolerance.</t>
        </is>
      </c>
      <c r="C94" s="4">
        <f>IF(LEN(TRIM(B94))=0,0,LEN(TRIM(B94))-LEN(SUBSTITUTE(TRIM(B94)," ",""))+1)</f>
        <v/>
      </c>
      <c r="D94" s="2" t="inlineStr">
        <is>
          <t>Nutricost NAD+ 1,000mg</t>
        </is>
      </c>
      <c r="E94" s="2" t="inlineStr">
        <is>
          <t>Listing summary</t>
        </is>
      </c>
      <c r="F94" s="2" t="inlineStr">
        <is>
          <t>Paraphrase — not quotable</t>
        </is>
      </c>
      <c r="G94" s="2" t="inlineStr">
        <is>
          <t>Fear</t>
        </is>
      </c>
      <c r="H94" s="2" t="inlineStr">
        <is>
          <t>Protect a sensitive body</t>
        </is>
      </c>
      <c r="I94" s="2" t="inlineStr">
        <is>
          <t>BENEFIT · Self-invented protocol</t>
        </is>
      </c>
      <c r="J94" s="2" t="inlineStr">
        <is>
          <t>First dose</t>
        </is>
      </c>
      <c r="K94" s="4" t="inlineStr"/>
      <c r="L94" s="4" t="inlineStr"/>
      <c r="M94" s="4" t="inlineStr"/>
      <c r="N94" s="4" t="inlineStr"/>
      <c r="O94" s="4" t="inlineStr">
        <is>
          <t>Y</t>
        </is>
      </c>
      <c r="P94" s="4">
        <f>IF(C94&lt;12,"Y","")</f>
        <v/>
      </c>
      <c r="Q94" s="4">
        <f>COUNTIF(K94:P94,"Y")</f>
        <v/>
      </c>
      <c r="R94" s="5">
        <f>IF(Q94&gt;=3,"USE","CONTEXT")</f>
        <v/>
      </c>
      <c r="S94" s="2" t="inlineStr">
        <is>
          <t>A5 Gentle start</t>
        </is>
      </c>
    </row>
    <row r="95">
      <c r="A95" s="2" t="inlineStr">
        <is>
          <t>Q094</t>
        </is>
      </c>
      <c r="B95" s="3" t="inlineStr">
        <is>
          <t>Does 1,000mg per serving exceed safe daily intake guidelines?</t>
        </is>
      </c>
      <c r="C95" s="4">
        <f>IF(LEN(TRIM(B95))=0,0,LEN(TRIM(B95))-LEN(SUBSTITUTE(TRIM(B95)," ",""))+1)</f>
        <v/>
      </c>
      <c r="D95" s="2" t="inlineStr">
        <is>
          <t>Nutricost NAD+ 1,000mg</t>
        </is>
      </c>
      <c r="E95" s="2" t="inlineStr">
        <is>
          <t>Listing summary</t>
        </is>
      </c>
      <c r="F95" s="2" t="inlineStr">
        <is>
          <t>Paraphrase — not quotable</t>
        </is>
      </c>
      <c r="G95" s="2" t="inlineStr">
        <is>
          <t>Fear</t>
        </is>
      </c>
      <c r="H95" s="2" t="inlineStr">
        <is>
          <t>Verify it's real and safe</t>
        </is>
      </c>
      <c r="I95" s="2" t="inlineStr">
        <is>
          <t>OBJECTION · Dose too high</t>
        </is>
      </c>
      <c r="J95" s="2" t="inlineStr">
        <is>
          <t>Reading the label</t>
        </is>
      </c>
      <c r="K95" s="4" t="inlineStr"/>
      <c r="L95" s="4" t="inlineStr"/>
      <c r="M95" s="4" t="inlineStr"/>
      <c r="N95" s="4" t="inlineStr"/>
      <c r="O95" s="4" t="inlineStr">
        <is>
          <t>Y</t>
        </is>
      </c>
      <c r="P95" s="4">
        <f>IF(C95&lt;12,"Y","")</f>
        <v/>
      </c>
      <c r="Q95" s="4">
        <f>COUNTIF(K95:P95,"Y")</f>
        <v/>
      </c>
      <c r="R95" s="5">
        <f>IF(Q95&gt;=3,"USE","CONTEXT")</f>
        <v/>
      </c>
      <c r="S95" s="2" t="inlineStr">
        <is>
          <t>A4 Dose is the product</t>
        </is>
      </c>
    </row>
    <row r="96">
      <c r="A96" s="2" t="inlineStr">
        <is>
          <t>Q095</t>
        </is>
      </c>
      <c r="B96" s="3" t="inlineStr">
        <is>
          <t>Should dosing be adjusted based on body weight?</t>
        </is>
      </c>
      <c r="C96" s="4">
        <f>IF(LEN(TRIM(B96))=0,0,LEN(TRIM(B96))-LEN(SUBSTITUTE(TRIM(B96)," ",""))+1)</f>
        <v/>
      </c>
      <c r="D96" s="2" t="inlineStr">
        <is>
          <t>Nutricost NAD+ 1,000mg</t>
        </is>
      </c>
      <c r="E96" s="2" t="inlineStr">
        <is>
          <t>Listing summary</t>
        </is>
      </c>
      <c r="F96" s="2" t="inlineStr">
        <is>
          <t>Paraphrase — not quotable</t>
        </is>
      </c>
      <c r="G96" s="2" t="inlineStr">
        <is>
          <t>Fear</t>
        </is>
      </c>
      <c r="H96" s="2" t="inlineStr">
        <is>
          <t>Verify it's real and safe</t>
        </is>
      </c>
      <c r="I96" s="2" t="inlineStr">
        <is>
          <t>OBJECTION · Dose guidance</t>
        </is>
      </c>
      <c r="J96" s="2" t="inlineStr">
        <is>
          <t>Reading the label</t>
        </is>
      </c>
      <c r="K96" s="4" t="inlineStr"/>
      <c r="L96" s="4" t="inlineStr"/>
      <c r="M96" s="4" t="inlineStr"/>
      <c r="N96" s="4" t="inlineStr"/>
      <c r="O96" s="4" t="inlineStr">
        <is>
          <t>Y</t>
        </is>
      </c>
      <c r="P96" s="4">
        <f>IF(C96&lt;12,"Y","")</f>
        <v/>
      </c>
      <c r="Q96" s="4">
        <f>COUNTIF(K96:P96,"Y")</f>
        <v/>
      </c>
      <c r="R96" s="5">
        <f>IF(Q96&gt;=3,"USE","CONTEXT")</f>
        <v/>
      </c>
      <c r="S96" s="2" t="inlineStr">
        <is>
          <t>A4 Dose is the product</t>
        </is>
      </c>
    </row>
    <row r="97">
      <c r="A97" s="2" t="inlineStr">
        <is>
          <t>Q096</t>
        </is>
      </c>
      <c r="B97" s="3" t="inlineStr">
        <is>
          <t>Stomach aches, cramping, and in some cases vomiting.</t>
        </is>
      </c>
      <c r="C97" s="4">
        <f>IF(LEN(TRIM(B97))=0,0,LEN(TRIM(B97))-LEN(SUBSTITUTE(TRIM(B97)," ",""))+1)</f>
        <v/>
      </c>
      <c r="D97" s="2" t="inlineStr">
        <is>
          <t>Nutricost NAD+ 1,000mg</t>
        </is>
      </c>
      <c r="E97" s="2" t="inlineStr">
        <is>
          <t>Listing summary</t>
        </is>
      </c>
      <c r="F97" s="2" t="inlineStr">
        <is>
          <t>Paraphrase — not quotable</t>
        </is>
      </c>
      <c r="G97" s="2" t="inlineStr">
        <is>
          <t>Fear</t>
        </is>
      </c>
      <c r="H97" s="2" t="inlineStr">
        <is>
          <t>Protect a sensitive body</t>
        </is>
      </c>
      <c r="I97" s="2" t="inlineStr">
        <is>
          <t>OBJECTION · Gut reaction</t>
        </is>
      </c>
      <c r="J97" s="2" t="inlineStr">
        <is>
          <t>Week 1</t>
        </is>
      </c>
      <c r="K97" s="4" t="inlineStr"/>
      <c r="L97" s="4" t="inlineStr">
        <is>
          <t>Y</t>
        </is>
      </c>
      <c r="M97" s="4" t="inlineStr"/>
      <c r="N97" s="4" t="inlineStr"/>
      <c r="O97" s="4" t="inlineStr">
        <is>
          <t>Y</t>
        </is>
      </c>
      <c r="P97" s="4">
        <f>IF(C97&lt;12,"Y","")</f>
        <v/>
      </c>
      <c r="Q97" s="4">
        <f>COUNTIF(K97:P97,"Y")</f>
        <v/>
      </c>
      <c r="R97" s="6">
        <f>IF(Q97&gt;=3,"USE","CONTEXT")</f>
        <v/>
      </c>
      <c r="S97" s="2" t="inlineStr">
        <is>
          <t>A5 Gentle start</t>
        </is>
      </c>
    </row>
    <row r="98">
      <c r="A98" s="2" t="inlineStr">
        <is>
          <t>Q097</t>
        </is>
      </c>
      <c r="B98" s="3" t="inlineStr">
        <is>
          <t>Rancid.</t>
        </is>
      </c>
      <c r="C98" s="4">
        <f>IF(LEN(TRIM(B98))=0,0,LEN(TRIM(B98))-LEN(SUBSTITUTE(TRIM(B98)," ",""))+1)</f>
        <v/>
      </c>
      <c r="D98" s="2" t="inlineStr">
        <is>
          <t>Nutricost NMN 500mg</t>
        </is>
      </c>
      <c r="E98" s="2" t="inlineStr">
        <is>
          <t>Listing summary</t>
        </is>
      </c>
      <c r="F98" s="2" t="inlineStr">
        <is>
          <t>Quoted fragment</t>
        </is>
      </c>
      <c r="G98" s="2" t="inlineStr">
        <is>
          <t>Anger</t>
        </is>
      </c>
      <c r="H98" s="2" t="inlineStr">
        <is>
          <t>Protect a sensitive body</t>
        </is>
      </c>
      <c r="I98" s="2" t="inlineStr">
        <is>
          <t>OBJECTION · Smell</t>
        </is>
      </c>
      <c r="J98" s="2" t="inlineStr">
        <is>
          <t>Unboxing / first inspection</t>
        </is>
      </c>
      <c r="K98" s="4" t="inlineStr"/>
      <c r="L98" s="4" t="inlineStr">
        <is>
          <t>Y</t>
        </is>
      </c>
      <c r="M98" s="4" t="inlineStr"/>
      <c r="N98" s="4" t="inlineStr"/>
      <c r="O98" s="4" t="inlineStr">
        <is>
          <t>Y</t>
        </is>
      </c>
      <c r="P98" s="4">
        <f>IF(C98&lt;12,"Y","")</f>
        <v/>
      </c>
      <c r="Q98" s="4">
        <f>COUNTIF(K98:P98,"Y")</f>
        <v/>
      </c>
      <c r="R98" s="6">
        <f>IF(Q98&gt;=3,"USE","CONTEXT")</f>
        <v/>
      </c>
      <c r="S98" s="2" t="inlineStr">
        <is>
          <t>A5 Gentle start</t>
        </is>
      </c>
    </row>
    <row r="99">
      <c r="A99" s="2" t="inlineStr">
        <is>
          <t>Q098</t>
        </is>
      </c>
      <c r="B99" s="3" t="inlineStr">
        <is>
          <t>Smells like interior paint.</t>
        </is>
      </c>
      <c r="C99" s="4">
        <f>IF(LEN(TRIM(B99))=0,0,LEN(TRIM(B99))-LEN(SUBSTITUTE(TRIM(B99)," ",""))+1)</f>
        <v/>
      </c>
      <c r="D99" s="2" t="inlineStr">
        <is>
          <t>Nutricost NMN 500mg</t>
        </is>
      </c>
      <c r="E99" s="2" t="inlineStr">
        <is>
          <t>Listing summary</t>
        </is>
      </c>
      <c r="F99" s="2" t="inlineStr">
        <is>
          <t>Quoted fragment</t>
        </is>
      </c>
      <c r="G99" s="2" t="inlineStr">
        <is>
          <t>Anger</t>
        </is>
      </c>
      <c r="H99" s="2" t="inlineStr">
        <is>
          <t>Protect a sensitive body</t>
        </is>
      </c>
      <c r="I99" s="2" t="inlineStr">
        <is>
          <t>OBJECTION · Smell</t>
        </is>
      </c>
      <c r="J99" s="2" t="inlineStr">
        <is>
          <t>Unboxing / first inspection</t>
        </is>
      </c>
      <c r="K99" s="4" t="inlineStr"/>
      <c r="L99" s="4" t="inlineStr">
        <is>
          <t>Y</t>
        </is>
      </c>
      <c r="M99" s="4" t="inlineStr"/>
      <c r="N99" s="4" t="inlineStr"/>
      <c r="O99" s="4" t="inlineStr">
        <is>
          <t>Y</t>
        </is>
      </c>
      <c r="P99" s="4">
        <f>IF(C99&lt;12,"Y","")</f>
        <v/>
      </c>
      <c r="Q99" s="4">
        <f>COUNTIF(K99:P99,"Y")</f>
        <v/>
      </c>
      <c r="R99" s="6">
        <f>IF(Q99&gt;=3,"USE","CONTEXT")</f>
        <v/>
      </c>
      <c r="S99" s="2" t="inlineStr">
        <is>
          <t>A5 Gentle start</t>
        </is>
      </c>
    </row>
    <row r="100">
      <c r="A100" s="2" t="inlineStr">
        <is>
          <t>Q099</t>
        </is>
      </c>
      <c r="B100" s="3" t="inlineStr">
        <is>
          <t>Did not feel any changes.</t>
        </is>
      </c>
      <c r="C100" s="4">
        <f>IF(LEN(TRIM(B100))=0,0,LEN(TRIM(B100))-LEN(SUBSTITUTE(TRIM(B100)," ",""))+1)</f>
        <v/>
      </c>
      <c r="D100" s="2" t="inlineStr">
        <is>
          <t>Nutricost NMN 500mg</t>
        </is>
      </c>
      <c r="E100" s="2" t="inlineStr">
        <is>
          <t>Listing summary</t>
        </is>
      </c>
      <c r="F100" s="2" t="inlineStr">
        <is>
          <t>Quoted fragment</t>
        </is>
      </c>
      <c r="G100" s="2" t="inlineStr">
        <is>
          <t>Grief</t>
        </is>
      </c>
      <c r="H100" s="2" t="inlineStr">
        <is>
          <t>Know whether it's working</t>
        </is>
      </c>
      <c r="I100" s="2" t="inlineStr">
        <is>
          <t>OBJECTION · Felt nothing</t>
        </is>
      </c>
      <c r="J100" s="2" t="inlineStr">
        <is>
          <t>Weeks 2–4</t>
        </is>
      </c>
      <c r="K100" s="4" t="inlineStr"/>
      <c r="L100" s="4" t="inlineStr">
        <is>
          <t>Y</t>
        </is>
      </c>
      <c r="M100" s="4" t="inlineStr"/>
      <c r="N100" s="4" t="inlineStr"/>
      <c r="O100" s="4" t="inlineStr">
        <is>
          <t>Y</t>
        </is>
      </c>
      <c r="P100" s="4">
        <f>IF(C100&lt;12,"Y","")</f>
        <v/>
      </c>
      <c r="Q100" s="4">
        <f>COUNTIF(K100:P100,"Y")</f>
        <v/>
      </c>
      <c r="R100" s="6">
        <f>IF(Q100&gt;=3,"USE","CONTEXT")</f>
        <v/>
      </c>
      <c r="S100" s="2" t="inlineStr">
        <is>
          <t>A1 You won't feel it</t>
        </is>
      </c>
    </row>
    <row r="101">
      <c r="A101" s="2" t="inlineStr">
        <is>
          <t>Q100</t>
        </is>
      </c>
      <c r="B101" s="3" t="inlineStr">
        <is>
          <t>Not sure if it's working.</t>
        </is>
      </c>
      <c r="C101" s="4">
        <f>IF(LEN(TRIM(B101))=0,0,LEN(TRIM(B101))-LEN(SUBSTITUTE(TRIM(B101)," ",""))+1)</f>
        <v/>
      </c>
      <c r="D101" s="2" t="inlineStr">
        <is>
          <t>Nutricost NMN 500mg</t>
        </is>
      </c>
      <c r="E101" s="2" t="inlineStr">
        <is>
          <t>Listing summary</t>
        </is>
      </c>
      <c r="F101" s="2" t="inlineStr">
        <is>
          <t>Quoted fragment</t>
        </is>
      </c>
      <c r="G101" s="2" t="inlineStr">
        <is>
          <t>Hope</t>
        </is>
      </c>
      <c r="H101" s="2" t="inlineStr">
        <is>
          <t>Know whether it's working</t>
        </is>
      </c>
      <c r="I101" s="2" t="inlineStr">
        <is>
          <t>OBJECTION · No feedback loop</t>
        </is>
      </c>
      <c r="J101" s="2" t="inlineStr">
        <is>
          <t>Weeks 2–4</t>
        </is>
      </c>
      <c r="K101" s="4" t="inlineStr"/>
      <c r="L101" s="4" t="inlineStr"/>
      <c r="M101" s="4" t="inlineStr"/>
      <c r="N101" s="4" t="inlineStr">
        <is>
          <t>Y</t>
        </is>
      </c>
      <c r="O101" s="4" t="inlineStr">
        <is>
          <t>Y</t>
        </is>
      </c>
      <c r="P101" s="4">
        <f>IF(C101&lt;12,"Y","")</f>
        <v/>
      </c>
      <c r="Q101" s="4">
        <f>COUNTIF(K101:P101,"Y")</f>
        <v/>
      </c>
      <c r="R101" s="6">
        <f>IF(Q101&gt;=3,"USE","CONTEXT")</f>
        <v/>
      </c>
      <c r="S101" s="2" t="inlineStr">
        <is>
          <t>A1 You won't feel it</t>
        </is>
      </c>
    </row>
    <row r="102">
      <c r="A102" s="2" t="inlineStr">
        <is>
          <t>Q101</t>
        </is>
      </c>
      <c r="B102" s="3" t="inlineStr">
        <is>
          <t>Not for me.</t>
        </is>
      </c>
      <c r="C102" s="4">
        <f>IF(LEN(TRIM(B102))=0,0,LEN(TRIM(B102))-LEN(SUBSTITUTE(TRIM(B102)," ",""))+1)</f>
        <v/>
      </c>
      <c r="D102" s="2" t="inlineStr">
        <is>
          <t>Nutricost NMN 500mg</t>
        </is>
      </c>
      <c r="E102" s="2" t="inlineStr">
        <is>
          <t>Listing summary</t>
        </is>
      </c>
      <c r="F102" s="2" t="inlineStr">
        <is>
          <t>Quoted fragment</t>
        </is>
      </c>
      <c r="G102" s="2" t="inlineStr">
        <is>
          <t>Shame</t>
        </is>
      </c>
      <c r="H102" s="2" t="inlineStr">
        <is>
          <t>Protect a sensitive body</t>
        </is>
      </c>
      <c r="I102" s="2" t="inlineStr">
        <is>
          <t>OBJECTION · Poor fit</t>
        </is>
      </c>
      <c r="J102" s="2" t="inlineStr">
        <is>
          <t>Abandonment / refund</t>
        </is>
      </c>
      <c r="K102" s="4" t="inlineStr"/>
      <c r="L102" s="4" t="inlineStr"/>
      <c r="M102" s="4" t="inlineStr"/>
      <c r="N102" s="4" t="inlineStr">
        <is>
          <t>Y</t>
        </is>
      </c>
      <c r="O102" s="4" t="inlineStr">
        <is>
          <t>Y</t>
        </is>
      </c>
      <c r="P102" s="4">
        <f>IF(C102&lt;12,"Y","")</f>
        <v/>
      </c>
      <c r="Q102" s="4">
        <f>COUNTIF(K102:P102,"Y")</f>
        <v/>
      </c>
      <c r="R102" s="6">
        <f>IF(Q102&gt;=3,"USE","CONTEXT")</f>
        <v/>
      </c>
      <c r="S102" s="2" t="inlineStr">
        <is>
          <t>A5 Gentle start</t>
        </is>
      </c>
    </row>
    <row r="103">
      <c r="A103" s="2" t="inlineStr">
        <is>
          <t>Q102</t>
        </is>
      </c>
      <c r="B103" s="3" t="inlineStr">
        <is>
          <t>Felt more worn out and less alert after a week of use.</t>
        </is>
      </c>
      <c r="C103" s="4">
        <f>IF(LEN(TRIM(B103))=0,0,LEN(TRIM(B103))-LEN(SUBSTITUTE(TRIM(B103)," ",""))+1)</f>
        <v/>
      </c>
      <c r="D103" s="2" t="inlineStr">
        <is>
          <t>Nutricost NMN 500mg</t>
        </is>
      </c>
      <c r="E103" s="2" t="inlineStr">
        <is>
          <t>Listing summary</t>
        </is>
      </c>
      <c r="F103" s="2" t="inlineStr">
        <is>
          <t>Paraphrase — not quotable</t>
        </is>
      </c>
      <c r="G103" s="2" t="inlineStr">
        <is>
          <t>Grief</t>
        </is>
      </c>
      <c r="H103" s="2" t="inlineStr">
        <is>
          <t>Get my energy back</t>
        </is>
      </c>
      <c r="I103" s="2" t="inlineStr">
        <is>
          <t>OBJECTION · Paradox effect</t>
        </is>
      </c>
      <c r="J103" s="2" t="inlineStr">
        <is>
          <t>Week 1</t>
        </is>
      </c>
      <c r="K103" s="4" t="inlineStr">
        <is>
          <t>Y</t>
        </is>
      </c>
      <c r="L103" s="4" t="inlineStr">
        <is>
          <t>Y</t>
        </is>
      </c>
      <c r="M103" s="4" t="inlineStr">
        <is>
          <t>Y</t>
        </is>
      </c>
      <c r="N103" s="4" t="inlineStr"/>
      <c r="O103" s="4" t="inlineStr">
        <is>
          <t>Y</t>
        </is>
      </c>
      <c r="P103" s="4">
        <f>IF(C103&lt;12,"Y","")</f>
        <v/>
      </c>
      <c r="Q103" s="4">
        <f>COUNTIF(K103:P103,"Y")</f>
        <v/>
      </c>
      <c r="R103" s="6">
        <f>IF(Q103&gt;=3,"USE","CONTEXT")</f>
        <v/>
      </c>
      <c r="S103" s="2" t="inlineStr">
        <is>
          <t>A5 Gentle start</t>
        </is>
      </c>
    </row>
    <row r="104">
      <c r="A104" s="2" t="inlineStr">
        <is>
          <t>Q103</t>
        </is>
      </c>
      <c r="B104" s="3" t="inlineStr">
        <is>
          <t>Crackhead energy.</t>
        </is>
      </c>
      <c r="C104" s="4">
        <f>IF(LEN(TRIM(B104))=0,0,LEN(TRIM(B104))-LEN(SUBSTITUTE(TRIM(B104)," ",""))+1)</f>
        <v/>
      </c>
      <c r="D104" s="2" t="inlineStr">
        <is>
          <t>Double Wood NAD+ 500mg</t>
        </is>
      </c>
      <c r="E104" s="2" t="inlineStr">
        <is>
          <t>Listing summary</t>
        </is>
      </c>
      <c r="F104" s="2" t="inlineStr">
        <is>
          <t>Quoted fragment</t>
        </is>
      </c>
      <c r="G104" s="2" t="inlineStr">
        <is>
          <t>Fear</t>
        </is>
      </c>
      <c r="H104" s="2" t="inlineStr">
        <is>
          <t>Protect a sensitive body</t>
        </is>
      </c>
      <c r="I104" s="2" t="inlineStr">
        <is>
          <t>OBJECTION · Over-stimulation</t>
        </is>
      </c>
      <c r="J104" s="2" t="inlineStr">
        <is>
          <t>First dose</t>
        </is>
      </c>
      <c r="K104" s="4" t="inlineStr"/>
      <c r="L104" s="4" t="inlineStr">
        <is>
          <t>Y</t>
        </is>
      </c>
      <c r="M104" s="4" t="inlineStr"/>
      <c r="N104" s="4" t="inlineStr">
        <is>
          <t>Y</t>
        </is>
      </c>
      <c r="O104" s="4" t="inlineStr">
        <is>
          <t>Y</t>
        </is>
      </c>
      <c r="P104" s="4">
        <f>IF(C104&lt;12,"Y","")</f>
        <v/>
      </c>
      <c r="Q104" s="4">
        <f>COUNTIF(K104:P104,"Y")</f>
        <v/>
      </c>
      <c r="R104" s="6">
        <f>IF(Q104&gt;=3,"USE","CONTEXT")</f>
        <v/>
      </c>
      <c r="S104" s="2" t="inlineStr">
        <is>
          <t>A5 Gentle start</t>
        </is>
      </c>
    </row>
    <row r="105">
      <c r="A105" s="2" t="inlineStr">
        <is>
          <t>Q104</t>
        </is>
      </c>
      <c r="B105" s="3" t="inlineStr">
        <is>
          <t>Not sure if we were supposed to feel anything.</t>
        </is>
      </c>
      <c r="C105" s="4">
        <f>IF(LEN(TRIM(B105))=0,0,LEN(TRIM(B105))-LEN(SUBSTITUTE(TRIM(B105)," ",""))+1)</f>
        <v/>
      </c>
      <c r="D105" s="2" t="inlineStr">
        <is>
          <t>Double Wood NAD+ 500mg</t>
        </is>
      </c>
      <c r="E105" s="2" t="inlineStr">
        <is>
          <t>Listing summary</t>
        </is>
      </c>
      <c r="F105" s="2" t="inlineStr">
        <is>
          <t>Quoted fragment</t>
        </is>
      </c>
      <c r="G105" s="2" t="inlineStr">
        <is>
          <t>Shame</t>
        </is>
      </c>
      <c r="H105" s="2" t="inlineStr">
        <is>
          <t>Know whether it's working</t>
        </is>
      </c>
      <c r="I105" s="2" t="inlineStr">
        <is>
          <t>OBJECTION · No feedback loop</t>
        </is>
      </c>
      <c r="J105" s="2" t="inlineStr">
        <is>
          <t>Weeks 2–4</t>
        </is>
      </c>
      <c r="K105" s="4" t="inlineStr"/>
      <c r="L105" s="4" t="inlineStr">
        <is>
          <t>Y</t>
        </is>
      </c>
      <c r="M105" s="4" t="inlineStr"/>
      <c r="N105" s="4" t="inlineStr">
        <is>
          <t>Y</t>
        </is>
      </c>
      <c r="O105" s="4" t="inlineStr">
        <is>
          <t>Y</t>
        </is>
      </c>
      <c r="P105" s="4">
        <f>IF(C105&lt;12,"Y","")</f>
        <v/>
      </c>
      <c r="Q105" s="4">
        <f>COUNTIF(K105:P105,"Y")</f>
        <v/>
      </c>
      <c r="R105" s="6">
        <f>IF(Q105&gt;=3,"USE","CONTEXT")</f>
        <v/>
      </c>
      <c r="S105" s="2" t="inlineStr">
        <is>
          <t>A1 You won't feel it</t>
        </is>
      </c>
    </row>
    <row r="106">
      <c r="A106" s="2" t="inlineStr">
        <is>
          <t>Q105</t>
        </is>
      </c>
      <c r="B106" s="3" t="inlineStr">
        <is>
          <t>Misleading, waste of money.</t>
        </is>
      </c>
      <c r="C106" s="4">
        <f>IF(LEN(TRIM(B106))=0,0,LEN(TRIM(B106))-LEN(SUBSTITUTE(TRIM(B106)," ",""))+1)</f>
        <v/>
      </c>
      <c r="D106" s="2" t="inlineStr">
        <is>
          <t>Double Wood NAD+ 500mg</t>
        </is>
      </c>
      <c r="E106" s="2" t="inlineStr">
        <is>
          <t>Listing summary</t>
        </is>
      </c>
      <c r="F106" s="2" t="inlineStr">
        <is>
          <t>Quoted fragment</t>
        </is>
      </c>
      <c r="G106" s="2" t="inlineStr">
        <is>
          <t>Anger</t>
        </is>
      </c>
      <c r="H106" s="2" t="inlineStr">
        <is>
          <t>Not get ripped off</t>
        </is>
      </c>
      <c r="I106" s="2" t="inlineStr">
        <is>
          <t>OBJECTION · Marketing overreach</t>
        </is>
      </c>
      <c r="J106" s="2" t="inlineStr">
        <is>
          <t>Abandonment / refund</t>
        </is>
      </c>
      <c r="K106" s="4" t="inlineStr"/>
      <c r="L106" s="4" t="inlineStr"/>
      <c r="M106" s="4" t="inlineStr"/>
      <c r="N106" s="4" t="inlineStr"/>
      <c r="O106" s="4" t="inlineStr">
        <is>
          <t>Y</t>
        </is>
      </c>
      <c r="P106" s="4">
        <f>IF(C106&lt;12,"Y","")</f>
        <v/>
      </c>
      <c r="Q106" s="4">
        <f>COUNTIF(K106:P106,"Y")</f>
        <v/>
      </c>
      <c r="R106" s="5">
        <f>IF(Q106&gt;=3,"USE","CONTEXT")</f>
        <v/>
      </c>
      <c r="S106" s="2" t="inlineStr">
        <is>
          <t>A7 Honest science</t>
        </is>
      </c>
    </row>
    <row r="107">
      <c r="A107" s="2" t="inlineStr">
        <is>
          <t>Q106</t>
        </is>
      </c>
      <c r="B107" s="3" t="inlineStr">
        <is>
          <t>Tired, lethargic and drained. The opposite of the expected energy boost.</t>
        </is>
      </c>
      <c r="C107" s="4">
        <f>IF(LEN(TRIM(B107))=0,0,LEN(TRIM(B107))-LEN(SUBSTITUTE(TRIM(B107)," ",""))+1)</f>
        <v/>
      </c>
      <c r="D107" s="2" t="inlineStr">
        <is>
          <t>Double Wood NAD+ 500mg</t>
        </is>
      </c>
      <c r="E107" s="2" t="inlineStr">
        <is>
          <t>Listing summary</t>
        </is>
      </c>
      <c r="F107" s="2" t="inlineStr">
        <is>
          <t>Paraphrase — not quotable</t>
        </is>
      </c>
      <c r="G107" s="2" t="inlineStr">
        <is>
          <t>Grief</t>
        </is>
      </c>
      <c r="H107" s="2" t="inlineStr">
        <is>
          <t>Get my energy back</t>
        </is>
      </c>
      <c r="I107" s="2" t="inlineStr">
        <is>
          <t>OBJECTION · Paradox effect</t>
        </is>
      </c>
      <c r="J107" s="2" t="inlineStr">
        <is>
          <t>Week 1</t>
        </is>
      </c>
      <c r="K107" s="4" t="inlineStr"/>
      <c r="L107" s="4" t="inlineStr">
        <is>
          <t>Y</t>
        </is>
      </c>
      <c r="M107" s="4" t="inlineStr">
        <is>
          <t>Y</t>
        </is>
      </c>
      <c r="N107" s="4" t="inlineStr"/>
      <c r="O107" s="4" t="inlineStr">
        <is>
          <t>Y</t>
        </is>
      </c>
      <c r="P107" s="4">
        <f>IF(C107&lt;12,"Y","")</f>
        <v/>
      </c>
      <c r="Q107" s="4">
        <f>COUNTIF(K107:P107,"Y")</f>
        <v/>
      </c>
      <c r="R107" s="6">
        <f>IF(Q107&gt;=3,"USE","CONTEXT")</f>
        <v/>
      </c>
      <c r="S107" s="2" t="inlineStr">
        <is>
          <t>A5 Gentle start</t>
        </is>
      </c>
    </row>
    <row r="108">
      <c r="A108" s="2" t="inlineStr">
        <is>
          <t>Q107</t>
        </is>
      </c>
      <c r="B108" s="3" t="inlineStr">
        <is>
          <t>Irritability, anxiety and jitteriness initially.</t>
        </is>
      </c>
      <c r="C108" s="4">
        <f>IF(LEN(TRIM(B108))=0,0,LEN(TRIM(B108))-LEN(SUBSTITUTE(TRIM(B108)," ",""))+1)</f>
        <v/>
      </c>
      <c r="D108" s="2" t="inlineStr">
        <is>
          <t>Double Wood NAD+ 500mg</t>
        </is>
      </c>
      <c r="E108" s="2" t="inlineStr">
        <is>
          <t>Listing summary</t>
        </is>
      </c>
      <c r="F108" s="2" t="inlineStr">
        <is>
          <t>Paraphrase — not quotable</t>
        </is>
      </c>
      <c r="G108" s="2" t="inlineStr">
        <is>
          <t>Fear</t>
        </is>
      </c>
      <c r="H108" s="2" t="inlineStr">
        <is>
          <t>Protect a sensitive body</t>
        </is>
      </c>
      <c r="I108" s="2" t="inlineStr">
        <is>
          <t>OBJECTION · Over-stimulation</t>
        </is>
      </c>
      <c r="J108" s="2" t="inlineStr">
        <is>
          <t>Week 1</t>
        </is>
      </c>
      <c r="K108" s="4" t="inlineStr"/>
      <c r="L108" s="4" t="inlineStr">
        <is>
          <t>Y</t>
        </is>
      </c>
      <c r="M108" s="4" t="inlineStr"/>
      <c r="N108" s="4" t="inlineStr"/>
      <c r="O108" s="4" t="inlineStr">
        <is>
          <t>Y</t>
        </is>
      </c>
      <c r="P108" s="4">
        <f>IF(C108&lt;12,"Y","")</f>
        <v/>
      </c>
      <c r="Q108" s="4">
        <f>COUNTIF(K108:P108,"Y")</f>
        <v/>
      </c>
      <c r="R108" s="6">
        <f>IF(Q108&gt;=3,"USE","CONTEXT")</f>
        <v/>
      </c>
      <c r="S108" s="2" t="inlineStr">
        <is>
          <t>A5 Gentle start</t>
        </is>
      </c>
    </row>
    <row r="109">
      <c r="A109" s="2" t="inlineStr">
        <is>
          <t>Q108</t>
        </is>
      </c>
      <c r="B109" s="3" t="inlineStr">
        <is>
          <t>Breast tenderness as an unexpected side effect.</t>
        </is>
      </c>
      <c r="C109" s="4">
        <f>IF(LEN(TRIM(B109))=0,0,LEN(TRIM(B109))-LEN(SUBSTITUTE(TRIM(B109)," ",""))+1)</f>
        <v/>
      </c>
      <c r="D109" s="2" t="inlineStr">
        <is>
          <t>Double Wood NAD+ 500mg</t>
        </is>
      </c>
      <c r="E109" s="2" t="inlineStr">
        <is>
          <t>Listing summary</t>
        </is>
      </c>
      <c r="F109" s="2" t="inlineStr">
        <is>
          <t>Paraphrase — not quotable</t>
        </is>
      </c>
      <c r="G109" s="2" t="inlineStr">
        <is>
          <t>Fear</t>
        </is>
      </c>
      <c r="H109" s="2" t="inlineStr">
        <is>
          <t>Protect a sensitive body</t>
        </is>
      </c>
      <c r="I109" s="2" t="inlineStr">
        <is>
          <t>OBJECTION · Unexpected effect</t>
        </is>
      </c>
      <c r="J109" s="2" t="inlineStr">
        <is>
          <t>Weeks 2–4</t>
        </is>
      </c>
      <c r="K109" s="4" t="inlineStr"/>
      <c r="L109" s="4" t="inlineStr">
        <is>
          <t>Y</t>
        </is>
      </c>
      <c r="M109" s="4" t="inlineStr"/>
      <c r="N109" s="4" t="inlineStr">
        <is>
          <t>Y</t>
        </is>
      </c>
      <c r="O109" s="4" t="inlineStr">
        <is>
          <t>Y</t>
        </is>
      </c>
      <c r="P109" s="4">
        <f>IF(C109&lt;12,"Y","")</f>
        <v/>
      </c>
      <c r="Q109" s="4">
        <f>COUNTIF(K109:P109,"Y")</f>
        <v/>
      </c>
      <c r="R109" s="6">
        <f>IF(Q109&gt;=3,"USE","CONTEXT")</f>
        <v/>
      </c>
      <c r="S109" s="2" t="inlineStr">
        <is>
          <t>A5 Gentle start</t>
        </is>
      </c>
    </row>
    <row r="110">
      <c r="A110" s="2" t="inlineStr">
        <is>
          <t>Q109</t>
        </is>
      </c>
      <c r="B110" s="3" t="inlineStr">
        <is>
          <t>Even after 4 to 5 months of use, no changes in energy, mood or well-being.</t>
        </is>
      </c>
      <c r="C110" s="4">
        <f>IF(LEN(TRIM(B110))=0,0,LEN(TRIM(B110))-LEN(SUBSTITUTE(TRIM(B110)," ",""))+1)</f>
        <v/>
      </c>
      <c r="D110" s="2" t="inlineStr">
        <is>
          <t>Double Wood NAD+ 500mg</t>
        </is>
      </c>
      <c r="E110" s="2" t="inlineStr">
        <is>
          <t>Listing summary</t>
        </is>
      </c>
      <c r="F110" s="2" t="inlineStr">
        <is>
          <t>Paraphrase — not quotable</t>
        </is>
      </c>
      <c r="G110" s="2" t="inlineStr">
        <is>
          <t>Grief</t>
        </is>
      </c>
      <c r="H110" s="2" t="inlineStr">
        <is>
          <t>Know whether it's working</t>
        </is>
      </c>
      <c r="I110" s="2" t="inlineStr">
        <is>
          <t>OBJECTION · Felt nothing</t>
        </is>
      </c>
      <c r="J110" s="2" t="inlineStr">
        <is>
          <t>Month 2+</t>
        </is>
      </c>
      <c r="K110" s="4" t="inlineStr">
        <is>
          <t>Y</t>
        </is>
      </c>
      <c r="L110" s="4" t="inlineStr">
        <is>
          <t>Y</t>
        </is>
      </c>
      <c r="M110" s="4" t="inlineStr"/>
      <c r="N110" s="4" t="inlineStr"/>
      <c r="O110" s="4" t="inlineStr">
        <is>
          <t>Y</t>
        </is>
      </c>
      <c r="P110" s="4">
        <f>IF(C110&lt;12,"Y","")</f>
        <v/>
      </c>
      <c r="Q110" s="4">
        <f>COUNTIF(K110:P110,"Y")</f>
        <v/>
      </c>
      <c r="R110" s="6">
        <f>IF(Q110&gt;=3,"USE","CONTEXT")</f>
        <v/>
      </c>
      <c r="S110" s="2" t="inlineStr">
        <is>
          <t>A1 You won't feel it</t>
        </is>
      </c>
    </row>
    <row r="111">
      <c r="A111" s="2" t="inlineStr">
        <is>
          <t>Q110</t>
        </is>
      </c>
      <c r="B111" s="3" t="inlineStr">
        <is>
          <t>Is oral NAD+ even effectively absorbed by the body?</t>
        </is>
      </c>
      <c r="C111" s="4">
        <f>IF(LEN(TRIM(B111))=0,0,LEN(TRIM(B111))-LEN(SUBSTITUTE(TRIM(B111)," ",""))+1)</f>
        <v/>
      </c>
      <c r="D111" s="2" t="inlineStr">
        <is>
          <t>Double Wood NAD+ 500mg</t>
        </is>
      </c>
      <c r="E111" s="2" t="inlineStr">
        <is>
          <t>Listing summary</t>
        </is>
      </c>
      <c r="F111" s="2" t="inlineStr">
        <is>
          <t>Paraphrase — not quotable</t>
        </is>
      </c>
      <c r="G111" s="2" t="inlineStr">
        <is>
          <t>Fear</t>
        </is>
      </c>
      <c r="H111" s="2" t="inlineStr">
        <is>
          <t>Verify it's real and safe</t>
        </is>
      </c>
      <c r="I111" s="2" t="inlineStr">
        <is>
          <t>OBJECTION · Bioavailability</t>
        </is>
      </c>
      <c r="J111" s="2" t="inlineStr">
        <is>
          <t>Pre-purchase research</t>
        </is>
      </c>
      <c r="K111" s="4" t="inlineStr"/>
      <c r="L111" s="4" t="inlineStr"/>
      <c r="M111" s="4" t="inlineStr"/>
      <c r="N111" s="4" t="inlineStr"/>
      <c r="O111" s="4" t="inlineStr">
        <is>
          <t>Y</t>
        </is>
      </c>
      <c r="P111" s="4">
        <f>IF(C111&lt;12,"Y","")</f>
        <v/>
      </c>
      <c r="Q111" s="4">
        <f>COUNTIF(K111:P111,"Y")</f>
        <v/>
      </c>
      <c r="R111" s="5">
        <f>IF(Q111&gt;=3,"USE","CONTEXT")</f>
        <v/>
      </c>
      <c r="S111" s="2" t="inlineStr">
        <is>
          <t>A4 Dose is the product</t>
        </is>
      </c>
    </row>
    <row r="112">
      <c r="A112" s="2" t="inlineStr">
        <is>
          <t>Q111</t>
        </is>
      </c>
      <c r="B112" s="3" t="inlineStr">
        <is>
          <t>Very acidic.</t>
        </is>
      </c>
      <c r="C112" s="4">
        <f>IF(LEN(TRIM(B112))=0,0,LEN(TRIM(B112))-LEN(SUBSTITUTE(TRIM(B112)," ",""))+1)</f>
        <v/>
      </c>
      <c r="D112" s="2" t="inlineStr">
        <is>
          <t>4Well NAD Plus 1400mg</t>
        </is>
      </c>
      <c r="E112" s="2" t="inlineStr">
        <is>
          <t>Listing summary</t>
        </is>
      </c>
      <c r="F112" s="2" t="inlineStr">
        <is>
          <t>Quoted fragment</t>
        </is>
      </c>
      <c r="G112" s="2" t="inlineStr">
        <is>
          <t>Fear</t>
        </is>
      </c>
      <c r="H112" s="2" t="inlineStr">
        <is>
          <t>Protect a sensitive body</t>
        </is>
      </c>
      <c r="I112" s="2" t="inlineStr">
        <is>
          <t>OBJECTION · Gut reaction</t>
        </is>
      </c>
      <c r="J112" s="2" t="inlineStr">
        <is>
          <t>First dose</t>
        </is>
      </c>
      <c r="K112" s="4" t="inlineStr"/>
      <c r="L112" s="4" t="inlineStr">
        <is>
          <t>Y</t>
        </is>
      </c>
      <c r="M112" s="4" t="inlineStr"/>
      <c r="N112" s="4" t="inlineStr"/>
      <c r="O112" s="4" t="inlineStr">
        <is>
          <t>Y</t>
        </is>
      </c>
      <c r="P112" s="4">
        <f>IF(C112&lt;12,"Y","")</f>
        <v/>
      </c>
      <c r="Q112" s="4">
        <f>COUNTIF(K112:P112,"Y")</f>
        <v/>
      </c>
      <c r="R112" s="6">
        <f>IF(Q112&gt;=3,"USE","CONTEXT")</f>
        <v/>
      </c>
      <c r="S112" s="2" t="inlineStr">
        <is>
          <t>A5 Gentle start</t>
        </is>
      </c>
    </row>
    <row r="113">
      <c r="A113" s="2" t="inlineStr">
        <is>
          <t>Q112</t>
        </is>
      </c>
      <c r="B113" s="3" t="inlineStr">
        <is>
          <t>This supplement did nothing.</t>
        </is>
      </c>
      <c r="C113" s="4">
        <f>IF(LEN(TRIM(B113))=0,0,LEN(TRIM(B113))-LEN(SUBSTITUTE(TRIM(B113)," ",""))+1)</f>
        <v/>
      </c>
      <c r="D113" s="2" t="inlineStr">
        <is>
          <t>4Well NAD Plus 1400mg</t>
        </is>
      </c>
      <c r="E113" s="2" t="inlineStr">
        <is>
          <t>Listing summary</t>
        </is>
      </c>
      <c r="F113" s="2" t="inlineStr">
        <is>
          <t>Quoted fragment</t>
        </is>
      </c>
      <c r="G113" s="2" t="inlineStr">
        <is>
          <t>Anger</t>
        </is>
      </c>
      <c r="H113" s="2" t="inlineStr">
        <is>
          <t>Know whether it's working</t>
        </is>
      </c>
      <c r="I113" s="2" t="inlineStr">
        <is>
          <t>OBJECTION · Felt nothing</t>
        </is>
      </c>
      <c r="J113" s="2" t="inlineStr">
        <is>
          <t>Month 2+</t>
        </is>
      </c>
      <c r="K113" s="4" t="inlineStr"/>
      <c r="L113" s="4" t="inlineStr"/>
      <c r="M113" s="4" t="inlineStr"/>
      <c r="N113" s="4" t="inlineStr"/>
      <c r="O113" s="4" t="inlineStr">
        <is>
          <t>Y</t>
        </is>
      </c>
      <c r="P113" s="4">
        <f>IF(C113&lt;12,"Y","")</f>
        <v/>
      </c>
      <c r="Q113" s="4">
        <f>COUNTIF(K113:P113,"Y")</f>
        <v/>
      </c>
      <c r="R113" s="5">
        <f>IF(Q113&gt;=3,"USE","CONTEXT")</f>
        <v/>
      </c>
      <c r="S113" s="2" t="inlineStr">
        <is>
          <t>A1 You won't feel it</t>
        </is>
      </c>
    </row>
    <row r="114">
      <c r="A114" s="2" t="inlineStr">
        <is>
          <t>Q113</t>
        </is>
      </c>
      <c r="B114" s="3" t="inlineStr">
        <is>
          <t>Utterly useless.</t>
        </is>
      </c>
      <c r="C114" s="4">
        <f>IF(LEN(TRIM(B114))=0,0,LEN(TRIM(B114))-LEN(SUBSTITUTE(TRIM(B114)," ",""))+1)</f>
        <v/>
      </c>
      <c r="D114" s="2" t="inlineStr">
        <is>
          <t>4Well NAD Plus 1400mg</t>
        </is>
      </c>
      <c r="E114" s="2" t="inlineStr">
        <is>
          <t>Listing summary</t>
        </is>
      </c>
      <c r="F114" s="2" t="inlineStr">
        <is>
          <t>Quoted fragment</t>
        </is>
      </c>
      <c r="G114" s="2" t="inlineStr">
        <is>
          <t>Anger</t>
        </is>
      </c>
      <c r="H114" s="2" t="inlineStr">
        <is>
          <t>Not get ripped off</t>
        </is>
      </c>
      <c r="I114" s="2" t="inlineStr">
        <is>
          <t>OBJECTION · Bioavailability</t>
        </is>
      </c>
      <c r="J114" s="2" t="inlineStr">
        <is>
          <t>Abandonment / refund</t>
        </is>
      </c>
      <c r="K114" s="4" t="inlineStr"/>
      <c r="L114" s="4" t="inlineStr"/>
      <c r="M114" s="4" t="inlineStr"/>
      <c r="N114" s="4" t="inlineStr"/>
      <c r="O114" s="4" t="inlineStr">
        <is>
          <t>Y</t>
        </is>
      </c>
      <c r="P114" s="4">
        <f>IF(C114&lt;12,"Y","")</f>
        <v/>
      </c>
      <c r="Q114" s="4">
        <f>COUNTIF(K114:P114,"Y")</f>
        <v/>
      </c>
      <c r="R114" s="5">
        <f>IF(Q114&gt;=3,"USE","CONTEXT")</f>
        <v/>
      </c>
      <c r="S114" s="2" t="inlineStr">
        <is>
          <t>A4 Dose is the product</t>
        </is>
      </c>
    </row>
    <row r="115">
      <c r="A115" s="2" t="inlineStr">
        <is>
          <t>Q114</t>
        </is>
      </c>
      <c r="B115" s="3" t="inlineStr">
        <is>
          <t>It does not survive digestive acids.</t>
        </is>
      </c>
      <c r="C115" s="4">
        <f>IF(LEN(TRIM(B115))=0,0,LEN(TRIM(B115))-LEN(SUBSTITUTE(TRIM(B115)," ",""))+1)</f>
        <v/>
      </c>
      <c r="D115" s="2" t="inlineStr">
        <is>
          <t>4Well NAD Plus 1400mg</t>
        </is>
      </c>
      <c r="E115" s="2" t="inlineStr">
        <is>
          <t>Listing summary</t>
        </is>
      </c>
      <c r="F115" s="2" t="inlineStr">
        <is>
          <t>Paraphrase — not quotable</t>
        </is>
      </c>
      <c r="G115" s="2" t="inlineStr">
        <is>
          <t>Fear</t>
        </is>
      </c>
      <c r="H115" s="2" t="inlineStr">
        <is>
          <t>Verify it's real and safe</t>
        </is>
      </c>
      <c r="I115" s="2" t="inlineStr">
        <is>
          <t>OBJECTION · Bioavailability</t>
        </is>
      </c>
      <c r="J115" s="2" t="inlineStr">
        <is>
          <t>Pre-purchase research</t>
        </is>
      </c>
      <c r="K115" s="4" t="inlineStr"/>
      <c r="L115" s="4" t="inlineStr">
        <is>
          <t>Y</t>
        </is>
      </c>
      <c r="M115" s="4" t="inlineStr"/>
      <c r="N115" s="4" t="inlineStr"/>
      <c r="O115" s="4" t="inlineStr">
        <is>
          <t>Y</t>
        </is>
      </c>
      <c r="P115" s="4">
        <f>IF(C115&lt;12,"Y","")</f>
        <v/>
      </c>
      <c r="Q115" s="4">
        <f>COUNTIF(K115:P115,"Y")</f>
        <v/>
      </c>
      <c r="R115" s="6">
        <f>IF(Q115&gt;=3,"USE","CONTEXT")</f>
        <v/>
      </c>
      <c r="S115" s="2" t="inlineStr">
        <is>
          <t>A4 Dose is the product</t>
        </is>
      </c>
    </row>
    <row r="116">
      <c r="A116" s="2" t="inlineStr">
        <is>
          <t>Q115</t>
        </is>
      </c>
      <c r="B116" s="3" t="inlineStr">
        <is>
          <t>Zero results even after taking two full jars over several months.</t>
        </is>
      </c>
      <c r="C116" s="4">
        <f>IF(LEN(TRIM(B116))=0,0,LEN(TRIM(B116))-LEN(SUBSTITUTE(TRIM(B116)," ",""))+1)</f>
        <v/>
      </c>
      <c r="D116" s="2" t="inlineStr">
        <is>
          <t>4Well NAD Plus 1400mg</t>
        </is>
      </c>
      <c r="E116" s="2" t="inlineStr">
        <is>
          <t>Listing summary</t>
        </is>
      </c>
      <c r="F116" s="2" t="inlineStr">
        <is>
          <t>Paraphrase — not quotable</t>
        </is>
      </c>
      <c r="G116" s="2" t="inlineStr">
        <is>
          <t>Grief</t>
        </is>
      </c>
      <c r="H116" s="2" t="inlineStr">
        <is>
          <t>Know whether it's working</t>
        </is>
      </c>
      <c r="I116" s="2" t="inlineStr">
        <is>
          <t>OBJECTION · Felt nothing</t>
        </is>
      </c>
      <c r="J116" s="2" t="inlineStr">
        <is>
          <t>Month 2+</t>
        </is>
      </c>
      <c r="K116" s="4" t="inlineStr"/>
      <c r="L116" s="4" t="inlineStr"/>
      <c r="M116" s="4" t="inlineStr"/>
      <c r="N116" s="4" t="inlineStr"/>
      <c r="O116" s="4" t="inlineStr">
        <is>
          <t>Y</t>
        </is>
      </c>
      <c r="P116" s="4">
        <f>IF(C116&lt;12,"Y","")</f>
        <v/>
      </c>
      <c r="Q116" s="4">
        <f>COUNTIF(K116:P116,"Y")</f>
        <v/>
      </c>
      <c r="R116" s="5">
        <f>IF(Q116&gt;=3,"USE","CONTEXT")</f>
        <v/>
      </c>
      <c r="S116" s="2" t="inlineStr">
        <is>
          <t>A1 You won't feel it</t>
        </is>
      </c>
    </row>
    <row r="117">
      <c r="A117" s="2" t="inlineStr">
        <is>
          <t>Q116</t>
        </is>
      </c>
      <c r="B117" s="3" t="inlineStr">
        <is>
          <t>Nausea, vomiting, diarrhea and excessive gas.</t>
        </is>
      </c>
      <c r="C117" s="4">
        <f>IF(LEN(TRIM(B117))=0,0,LEN(TRIM(B117))-LEN(SUBSTITUTE(TRIM(B117)," ",""))+1)</f>
        <v/>
      </c>
      <c r="D117" s="2" t="inlineStr">
        <is>
          <t>4Well NAD Plus 1400mg</t>
        </is>
      </c>
      <c r="E117" s="2" t="inlineStr">
        <is>
          <t>Listing summary</t>
        </is>
      </c>
      <c r="F117" s="2" t="inlineStr">
        <is>
          <t>Paraphrase — not quotable</t>
        </is>
      </c>
      <c r="G117" s="2" t="inlineStr">
        <is>
          <t>Fear</t>
        </is>
      </c>
      <c r="H117" s="2" t="inlineStr">
        <is>
          <t>Protect a sensitive body</t>
        </is>
      </c>
      <c r="I117" s="2" t="inlineStr">
        <is>
          <t>OBJECTION · Gut reaction</t>
        </is>
      </c>
      <c r="J117" s="2" t="inlineStr">
        <is>
          <t>Week 1</t>
        </is>
      </c>
      <c r="K117" s="4" t="inlineStr"/>
      <c r="L117" s="4" t="inlineStr">
        <is>
          <t>Y</t>
        </is>
      </c>
      <c r="M117" s="4" t="inlineStr"/>
      <c r="N117" s="4" t="inlineStr"/>
      <c r="O117" s="4" t="inlineStr">
        <is>
          <t>Y</t>
        </is>
      </c>
      <c r="P117" s="4">
        <f>IF(C117&lt;12,"Y","")</f>
        <v/>
      </c>
      <c r="Q117" s="4">
        <f>COUNTIF(K117:P117,"Y")</f>
        <v/>
      </c>
      <c r="R117" s="6">
        <f>IF(Q117&gt;=3,"USE","CONTEXT")</f>
        <v/>
      </c>
      <c r="S117" s="2" t="inlineStr">
        <is>
          <t>A5 Gentle start</t>
        </is>
      </c>
    </row>
    <row r="118">
      <c r="A118" s="2" t="inlineStr">
        <is>
          <t>Q117</t>
        </is>
      </c>
      <c r="B118" s="3" t="inlineStr">
        <is>
          <t>The seller did not allow returns.</t>
        </is>
      </c>
      <c r="C118" s="4">
        <f>IF(LEN(TRIM(B118))=0,0,LEN(TRIM(B118))-LEN(SUBSTITUTE(TRIM(B118)," ",""))+1)</f>
        <v/>
      </c>
      <c r="D118" s="2" t="inlineStr">
        <is>
          <t>4Well NAD Plus 1400mg</t>
        </is>
      </c>
      <c r="E118" s="2" t="inlineStr">
        <is>
          <t>Listing summary</t>
        </is>
      </c>
      <c r="F118" s="2" t="inlineStr">
        <is>
          <t>Paraphrase — not quotable</t>
        </is>
      </c>
      <c r="G118" s="2" t="inlineStr">
        <is>
          <t>Anger</t>
        </is>
      </c>
      <c r="H118" s="2" t="inlineStr">
        <is>
          <t>Not get ripped off</t>
        </is>
      </c>
      <c r="I118" s="2" t="inlineStr">
        <is>
          <t>OBJECTION · No refund</t>
        </is>
      </c>
      <c r="J118" s="2" t="inlineStr">
        <is>
          <t>Abandonment / refund</t>
        </is>
      </c>
      <c r="K118" s="4" t="inlineStr"/>
      <c r="L118" s="4" t="inlineStr"/>
      <c r="M118" s="4" t="inlineStr"/>
      <c r="N118" s="4" t="inlineStr"/>
      <c r="O118" s="4" t="inlineStr">
        <is>
          <t>Y</t>
        </is>
      </c>
      <c r="P118" s="4">
        <f>IF(C118&lt;12,"Y","")</f>
        <v/>
      </c>
      <c r="Q118" s="4">
        <f>COUNTIF(K118:P118,"Y")</f>
        <v/>
      </c>
      <c r="R118" s="5">
        <f>IF(Q118&gt;=3,"USE","CONTEXT")</f>
        <v/>
      </c>
      <c r="S118" s="2" t="inlineStr">
        <is>
          <t>A3 Do the math</t>
        </is>
      </c>
    </row>
    <row r="119">
      <c r="A119" s="2" t="inlineStr">
        <is>
          <t>Q118</t>
        </is>
      </c>
      <c r="B119" s="3" t="inlineStr">
        <is>
          <t>Did not see any results.</t>
        </is>
      </c>
      <c r="C119" s="4">
        <f>IF(LEN(TRIM(B119))=0,0,LEN(TRIM(B119))-LEN(SUBSTITUTE(TRIM(B119)," ",""))+1)</f>
        <v/>
      </c>
      <c r="D119" s="2" t="inlineStr">
        <is>
          <t>ForestLeaf NAD+ 500mg</t>
        </is>
      </c>
      <c r="E119" s="2" t="inlineStr">
        <is>
          <t>Listing summary</t>
        </is>
      </c>
      <c r="F119" s="2" t="inlineStr">
        <is>
          <t>Quoted fragment</t>
        </is>
      </c>
      <c r="G119" s="2" t="inlineStr">
        <is>
          <t>Grief</t>
        </is>
      </c>
      <c r="H119" s="2" t="inlineStr">
        <is>
          <t>Know whether it's working</t>
        </is>
      </c>
      <c r="I119" s="2" t="inlineStr">
        <is>
          <t>OBJECTION · Felt nothing</t>
        </is>
      </c>
      <c r="J119" s="2" t="inlineStr">
        <is>
          <t>Weeks 2–4</t>
        </is>
      </c>
      <c r="K119" s="4" t="inlineStr"/>
      <c r="L119" s="4" t="inlineStr"/>
      <c r="M119" s="4" t="inlineStr"/>
      <c r="N119" s="4" t="inlineStr"/>
      <c r="O119" s="4" t="inlineStr">
        <is>
          <t>Y</t>
        </is>
      </c>
      <c r="P119" s="4">
        <f>IF(C119&lt;12,"Y","")</f>
        <v/>
      </c>
      <c r="Q119" s="4">
        <f>COUNTIF(K119:P119,"Y")</f>
        <v/>
      </c>
      <c r="R119" s="5">
        <f>IF(Q119&gt;=3,"USE","CONTEXT")</f>
        <v/>
      </c>
      <c r="S119" s="2" t="inlineStr">
        <is>
          <t>A1 You won't feel it</t>
        </is>
      </c>
    </row>
    <row r="120">
      <c r="A120" s="2" t="inlineStr">
        <is>
          <t>Q119</t>
        </is>
      </c>
      <c r="B120" s="3" t="inlineStr">
        <is>
          <t>Misleading.</t>
        </is>
      </c>
      <c r="C120" s="4">
        <f>IF(LEN(TRIM(B120))=0,0,LEN(TRIM(B120))-LEN(SUBSTITUTE(TRIM(B120)," ",""))+1)</f>
        <v/>
      </c>
      <c r="D120" s="2" t="inlineStr">
        <is>
          <t>ForestLeaf NAD+ 500mg</t>
        </is>
      </c>
      <c r="E120" s="2" t="inlineStr">
        <is>
          <t>Listing summary</t>
        </is>
      </c>
      <c r="F120" s="2" t="inlineStr">
        <is>
          <t>Quoted fragment</t>
        </is>
      </c>
      <c r="G120" s="2" t="inlineStr">
        <is>
          <t>Anger</t>
        </is>
      </c>
      <c r="H120" s="2" t="inlineStr">
        <is>
          <t>Not get ripped off</t>
        </is>
      </c>
      <c r="I120" s="2" t="inlineStr">
        <is>
          <t>OBJECTION · Marketing overreach</t>
        </is>
      </c>
      <c r="J120" s="2" t="inlineStr">
        <is>
          <t>Abandonment / refund</t>
        </is>
      </c>
      <c r="K120" s="4" t="inlineStr"/>
      <c r="L120" s="4" t="inlineStr"/>
      <c r="M120" s="4" t="inlineStr"/>
      <c r="N120" s="4" t="inlineStr"/>
      <c r="O120" s="4" t="inlineStr">
        <is>
          <t>Y</t>
        </is>
      </c>
      <c r="P120" s="4">
        <f>IF(C120&lt;12,"Y","")</f>
        <v/>
      </c>
      <c r="Q120" s="4">
        <f>COUNTIF(K120:P120,"Y")</f>
        <v/>
      </c>
      <c r="R120" s="5">
        <f>IF(Q120&gt;=3,"USE","CONTEXT")</f>
        <v/>
      </c>
      <c r="S120" s="2" t="inlineStr">
        <is>
          <t>A7 Honest science</t>
        </is>
      </c>
    </row>
    <row r="121">
      <c r="A121" s="2" t="inlineStr">
        <is>
          <t>Q120</t>
        </is>
      </c>
      <c r="B121" s="3" t="inlineStr">
        <is>
          <t>A quality made product, but no difference after 4 weeks.</t>
        </is>
      </c>
      <c r="C121" s="4">
        <f>IF(LEN(TRIM(B121))=0,0,LEN(TRIM(B121))-LEN(SUBSTITUTE(TRIM(B121)," ",""))+1)</f>
        <v/>
      </c>
      <c r="D121" s="2" t="inlineStr">
        <is>
          <t>ForestLeaf NAD+ 500mg</t>
        </is>
      </c>
      <c r="E121" s="2" t="inlineStr">
        <is>
          <t>Listing summary</t>
        </is>
      </c>
      <c r="F121" s="2" t="inlineStr">
        <is>
          <t>Quoted fragment</t>
        </is>
      </c>
      <c r="G121" s="2" t="inlineStr">
        <is>
          <t>Grief</t>
        </is>
      </c>
      <c r="H121" s="2" t="inlineStr">
        <is>
          <t>Know whether it's working</t>
        </is>
      </c>
      <c r="I121" s="2" t="inlineStr">
        <is>
          <t>OBJECTION · Felt nothing</t>
        </is>
      </c>
      <c r="J121" s="2" t="inlineStr">
        <is>
          <t>Weeks 2–4</t>
        </is>
      </c>
      <c r="K121" s="4" t="inlineStr">
        <is>
          <t>Y</t>
        </is>
      </c>
      <c r="L121" s="4" t="inlineStr"/>
      <c r="M121" s="4" t="inlineStr"/>
      <c r="N121" s="4" t="inlineStr"/>
      <c r="O121" s="4" t="inlineStr">
        <is>
          <t>Y</t>
        </is>
      </c>
      <c r="P121" s="4">
        <f>IF(C121&lt;12,"Y","")</f>
        <v/>
      </c>
      <c r="Q121" s="4">
        <f>COUNTIF(K121:P121,"Y")</f>
        <v/>
      </c>
      <c r="R121" s="6">
        <f>IF(Q121&gt;=3,"USE","CONTEXT")</f>
        <v/>
      </c>
      <c r="S121" s="2" t="inlineStr">
        <is>
          <t>A1 You won't feel it</t>
        </is>
      </c>
    </row>
    <row r="122">
      <c r="A122" s="2" t="inlineStr">
        <is>
          <t>Q121</t>
        </is>
      </c>
      <c r="B122" s="3" t="inlineStr">
        <is>
          <t>The claim of immediate absorption for faster results is misleading.</t>
        </is>
      </c>
      <c r="C122" s="4">
        <f>IF(LEN(TRIM(B122))=0,0,LEN(TRIM(B122))-LEN(SUBSTITUTE(TRIM(B122)," ",""))+1)</f>
        <v/>
      </c>
      <c r="D122" s="2" t="inlineStr">
        <is>
          <t>ForestLeaf NAD+ 500mg</t>
        </is>
      </c>
      <c r="E122" s="2" t="inlineStr">
        <is>
          <t>Listing summary</t>
        </is>
      </c>
      <c r="F122" s="2" t="inlineStr">
        <is>
          <t>Paraphrase — not quotable</t>
        </is>
      </c>
      <c r="G122" s="2" t="inlineStr">
        <is>
          <t>Anger</t>
        </is>
      </c>
      <c r="H122" s="2" t="inlineStr">
        <is>
          <t>Not get ripped off</t>
        </is>
      </c>
      <c r="I122" s="2" t="inlineStr">
        <is>
          <t>OBJECTION · Marketing overreach</t>
        </is>
      </c>
      <c r="J122" s="2" t="inlineStr">
        <is>
          <t>Weeks 2–4</t>
        </is>
      </c>
      <c r="K122" s="4" t="inlineStr"/>
      <c r="L122" s="4" t="inlineStr"/>
      <c r="M122" s="4" t="inlineStr"/>
      <c r="N122" s="4" t="inlineStr"/>
      <c r="O122" s="4" t="inlineStr">
        <is>
          <t>Y</t>
        </is>
      </c>
      <c r="P122" s="4">
        <f>IF(C122&lt;12,"Y","")</f>
        <v/>
      </c>
      <c r="Q122" s="4">
        <f>COUNTIF(K122:P122,"Y")</f>
        <v/>
      </c>
      <c r="R122" s="5">
        <f>IF(Q122&gt;=3,"USE","CONTEXT")</f>
        <v/>
      </c>
      <c r="S122" s="2" t="inlineStr">
        <is>
          <t>A7 Honest science</t>
        </is>
      </c>
    </row>
    <row r="123">
      <c r="A123" s="2" t="inlineStr">
        <is>
          <t>Q122</t>
        </is>
      </c>
      <c r="B123" s="3" t="inlineStr">
        <is>
          <t>Is oral NAD+ as effective as IV or sublingual?</t>
        </is>
      </c>
      <c r="C123" s="4">
        <f>IF(LEN(TRIM(B123))=0,0,LEN(TRIM(B123))-LEN(SUBSTITUTE(TRIM(B123)," ",""))+1)</f>
        <v/>
      </c>
      <c r="D123" s="2" t="inlineStr">
        <is>
          <t>ForestLeaf NAD+ 500mg</t>
        </is>
      </c>
      <c r="E123" s="2" t="inlineStr">
        <is>
          <t>Listing summary</t>
        </is>
      </c>
      <c r="F123" s="2" t="inlineStr">
        <is>
          <t>Paraphrase — not quotable</t>
        </is>
      </c>
      <c r="G123" s="2" t="inlineStr">
        <is>
          <t>Fear</t>
        </is>
      </c>
      <c r="H123" s="2" t="inlineStr">
        <is>
          <t>Verify it's real and safe</t>
        </is>
      </c>
      <c r="I123" s="2" t="inlineStr">
        <is>
          <t>OBJECTION · Bioavailability</t>
        </is>
      </c>
      <c r="J123" s="2" t="inlineStr">
        <is>
          <t>Comparing brands</t>
        </is>
      </c>
      <c r="K123" s="4" t="inlineStr"/>
      <c r="L123" s="4" t="inlineStr"/>
      <c r="M123" s="4" t="inlineStr"/>
      <c r="N123" s="4" t="inlineStr"/>
      <c r="O123" s="4" t="inlineStr"/>
      <c r="P123" s="4">
        <f>IF(C123&lt;12,"Y","")</f>
        <v/>
      </c>
      <c r="Q123" s="4">
        <f>COUNTIF(K123:P123,"Y")</f>
        <v/>
      </c>
      <c r="R123" s="5">
        <f>IF(Q123&gt;=3,"USE","CONTEXT")</f>
        <v/>
      </c>
      <c r="S123" s="2" t="inlineStr">
        <is>
          <t>A4 Dose is the product</t>
        </is>
      </c>
    </row>
    <row r="124">
      <c r="A124" s="2" t="inlineStr">
        <is>
          <t>Q123</t>
        </is>
      </c>
      <c r="B124" s="3" t="inlineStr">
        <is>
          <t>Too expensive.</t>
        </is>
      </c>
      <c r="C124" s="4">
        <f>IF(LEN(TRIM(B124))=0,0,LEN(TRIM(B124))-LEN(SUBSTITUTE(TRIM(B124)," ",""))+1)</f>
        <v/>
      </c>
      <c r="D124" s="2" t="inlineStr">
        <is>
          <t>Tru Niagen NR 300mg</t>
        </is>
      </c>
      <c r="E124" s="2" t="inlineStr">
        <is>
          <t>Listing summary / Q&amp;A</t>
        </is>
      </c>
      <c r="F124" s="2" t="inlineStr">
        <is>
          <t>Quoted fragment</t>
        </is>
      </c>
      <c r="G124" s="2" t="inlineStr">
        <is>
          <t>Anger</t>
        </is>
      </c>
      <c r="H124" s="2" t="inlineStr">
        <is>
          <t>Justify the ongoing spend</t>
        </is>
      </c>
      <c r="I124" s="2" t="inlineStr">
        <is>
          <t>OBJECTION · Cost per day</t>
        </is>
      </c>
      <c r="J124" s="2" t="inlineStr">
        <is>
          <t>Doing the price math</t>
        </is>
      </c>
      <c r="K124" s="4" t="inlineStr"/>
      <c r="L124" s="4" t="inlineStr"/>
      <c r="M124" s="4" t="inlineStr"/>
      <c r="N124" s="4" t="inlineStr"/>
      <c r="O124" s="4" t="inlineStr">
        <is>
          <t>Y</t>
        </is>
      </c>
      <c r="P124" s="4">
        <f>IF(C124&lt;12,"Y","")</f>
        <v/>
      </c>
      <c r="Q124" s="4">
        <f>COUNTIF(K124:P124,"Y")</f>
        <v/>
      </c>
      <c r="R124" s="5">
        <f>IF(Q124&gt;=3,"USE","CONTEXT")</f>
        <v/>
      </c>
      <c r="S124" s="2" t="inlineStr">
        <is>
          <t>A3 Do the math</t>
        </is>
      </c>
    </row>
    <row r="125">
      <c r="A125" s="2" t="inlineStr">
        <is>
          <t>Q124</t>
        </is>
      </c>
      <c r="B125" s="3" t="inlineStr">
        <is>
          <t>Did nothing for me.</t>
        </is>
      </c>
      <c r="C125" s="4">
        <f>IF(LEN(TRIM(B125))=0,0,LEN(TRIM(B125))-LEN(SUBSTITUTE(TRIM(B125)," ",""))+1)</f>
        <v/>
      </c>
      <c r="D125" s="2" t="inlineStr">
        <is>
          <t>Tru Niagen NR 300mg</t>
        </is>
      </c>
      <c r="E125" s="2" t="inlineStr">
        <is>
          <t>Listing summary / Q&amp;A</t>
        </is>
      </c>
      <c r="F125" s="2" t="inlineStr">
        <is>
          <t>Quoted fragment</t>
        </is>
      </c>
      <c r="G125" s="2" t="inlineStr">
        <is>
          <t>Grief</t>
        </is>
      </c>
      <c r="H125" s="2" t="inlineStr">
        <is>
          <t>Know whether it's working</t>
        </is>
      </c>
      <c r="I125" s="2" t="inlineStr">
        <is>
          <t>OBJECTION · Felt nothing</t>
        </is>
      </c>
      <c r="J125" s="2" t="inlineStr">
        <is>
          <t>Month 2+</t>
        </is>
      </c>
      <c r="K125" s="4" t="inlineStr"/>
      <c r="L125" s="4" t="inlineStr"/>
      <c r="M125" s="4" t="inlineStr"/>
      <c r="N125" s="4" t="inlineStr"/>
      <c r="O125" s="4" t="inlineStr">
        <is>
          <t>Y</t>
        </is>
      </c>
      <c r="P125" s="4">
        <f>IF(C125&lt;12,"Y","")</f>
        <v/>
      </c>
      <c r="Q125" s="4">
        <f>COUNTIF(K125:P125,"Y")</f>
        <v/>
      </c>
      <c r="R125" s="5">
        <f>IF(Q125&gt;=3,"USE","CONTEXT")</f>
        <v/>
      </c>
      <c r="S125" s="2" t="inlineStr">
        <is>
          <t>A1 You won't feel it</t>
        </is>
      </c>
    </row>
    <row r="126">
      <c r="A126" s="2" t="inlineStr">
        <is>
          <t>Q125</t>
        </is>
      </c>
      <c r="B126" s="3" t="inlineStr">
        <is>
          <t>I possibly felt worse.</t>
        </is>
      </c>
      <c r="C126" s="4">
        <f>IF(LEN(TRIM(B126))=0,0,LEN(TRIM(B126))-LEN(SUBSTITUTE(TRIM(B126)," ",""))+1)</f>
        <v/>
      </c>
      <c r="D126" s="2" t="inlineStr">
        <is>
          <t>Tru Niagen NR 300mg</t>
        </is>
      </c>
      <c r="E126" s="2" t="inlineStr">
        <is>
          <t>Listing summary / Q&amp;A</t>
        </is>
      </c>
      <c r="F126" s="2" t="inlineStr">
        <is>
          <t>Quoted fragment</t>
        </is>
      </c>
      <c r="G126" s="2" t="inlineStr">
        <is>
          <t>Grief</t>
        </is>
      </c>
      <c r="H126" s="2" t="inlineStr">
        <is>
          <t>Get my energy back</t>
        </is>
      </c>
      <c r="I126" s="2" t="inlineStr">
        <is>
          <t>OBJECTION · Paradox effect</t>
        </is>
      </c>
      <c r="J126" s="2" t="inlineStr">
        <is>
          <t>Weeks 2–4</t>
        </is>
      </c>
      <c r="K126" s="4" t="inlineStr"/>
      <c r="L126" s="4" t="inlineStr">
        <is>
          <t>Y</t>
        </is>
      </c>
      <c r="M126" s="4" t="inlineStr">
        <is>
          <t>Y</t>
        </is>
      </c>
      <c r="N126" s="4" t="inlineStr">
        <is>
          <t>Y</t>
        </is>
      </c>
      <c r="O126" s="4" t="inlineStr">
        <is>
          <t>Y</t>
        </is>
      </c>
      <c r="P126" s="4">
        <f>IF(C126&lt;12,"Y","")</f>
        <v/>
      </c>
      <c r="Q126" s="4">
        <f>COUNTIF(K126:P126,"Y")</f>
        <v/>
      </c>
      <c r="R126" s="6">
        <f>IF(Q126&gt;=3,"USE","CONTEXT")</f>
        <v/>
      </c>
      <c r="S126" s="2" t="inlineStr">
        <is>
          <t>A5 Gentle start</t>
        </is>
      </c>
    </row>
    <row r="127">
      <c r="A127" s="2" t="inlineStr">
        <is>
          <t>Q126</t>
        </is>
      </c>
      <c r="B127" s="3" t="inlineStr">
        <is>
          <t>Waste of money.</t>
        </is>
      </c>
      <c r="C127" s="4">
        <f>IF(LEN(TRIM(B127))=0,0,LEN(TRIM(B127))-LEN(SUBSTITUTE(TRIM(B127)," ",""))+1)</f>
        <v/>
      </c>
      <c r="D127" s="2" t="inlineStr">
        <is>
          <t>Tru Niagen NR 300mg</t>
        </is>
      </c>
      <c r="E127" s="2" t="inlineStr">
        <is>
          <t>Listing summary / Q&amp;A</t>
        </is>
      </c>
      <c r="F127" s="2" t="inlineStr">
        <is>
          <t>Quoted fragment</t>
        </is>
      </c>
      <c r="G127" s="2" t="inlineStr">
        <is>
          <t>Anger</t>
        </is>
      </c>
      <c r="H127" s="2" t="inlineStr">
        <is>
          <t>Not get ripped off</t>
        </is>
      </c>
      <c r="I127" s="2" t="inlineStr">
        <is>
          <t>OBJECTION · Cost per day</t>
        </is>
      </c>
      <c r="J127" s="2" t="inlineStr">
        <is>
          <t>Abandonment / refund</t>
        </is>
      </c>
      <c r="K127" s="4" t="inlineStr"/>
      <c r="L127" s="4" t="inlineStr"/>
      <c r="M127" s="4" t="inlineStr"/>
      <c r="N127" s="4" t="inlineStr"/>
      <c r="O127" s="4" t="inlineStr">
        <is>
          <t>Y</t>
        </is>
      </c>
      <c r="P127" s="4">
        <f>IF(C127&lt;12,"Y","")</f>
        <v/>
      </c>
      <c r="Q127" s="4">
        <f>COUNTIF(K127:P127,"Y")</f>
        <v/>
      </c>
      <c r="R127" s="5">
        <f>IF(Q127&gt;=3,"USE","CONTEXT")</f>
        <v/>
      </c>
      <c r="S127" s="2" t="inlineStr">
        <is>
          <t>A3 Do the math</t>
        </is>
      </c>
    </row>
    <row r="128">
      <c r="A128" s="2" t="inlineStr">
        <is>
          <t>Q127</t>
        </is>
      </c>
      <c r="B128" s="3" t="inlineStr">
        <is>
          <t>Do the capsules actually contain the stated 300mg?</t>
        </is>
      </c>
      <c r="C128" s="4">
        <f>IF(LEN(TRIM(B128))=0,0,LEN(TRIM(B128))-LEN(SUBSTITUTE(TRIM(B128)," ",""))+1)</f>
        <v/>
      </c>
      <c r="D128" s="2" t="inlineStr">
        <is>
          <t>Tru Niagen NR 300mg</t>
        </is>
      </c>
      <c r="E128" s="2" t="inlineStr">
        <is>
          <t>Listing summary / Q&amp;A</t>
        </is>
      </c>
      <c r="F128" s="2" t="inlineStr">
        <is>
          <t>Paraphrase — not quotable</t>
        </is>
      </c>
      <c r="G128" s="2" t="inlineStr">
        <is>
          <t>Fear</t>
        </is>
      </c>
      <c r="H128" s="2" t="inlineStr">
        <is>
          <t>Not get ripped off</t>
        </is>
      </c>
      <c r="I128" s="2" t="inlineStr">
        <is>
          <t>OBJECTION · Is it real?</t>
        </is>
      </c>
      <c r="J128" s="2" t="inlineStr">
        <is>
          <t>Reading the label</t>
        </is>
      </c>
      <c r="K128" s="4" t="inlineStr"/>
      <c r="L128" s="4" t="inlineStr"/>
      <c r="M128" s="4" t="inlineStr"/>
      <c r="N128" s="4" t="inlineStr"/>
      <c r="O128" s="4" t="inlineStr">
        <is>
          <t>Y</t>
        </is>
      </c>
      <c r="P128" s="4">
        <f>IF(C128&lt;12,"Y","")</f>
        <v/>
      </c>
      <c r="Q128" s="4">
        <f>COUNTIF(K128:P128,"Y")</f>
        <v/>
      </c>
      <c r="R128" s="5">
        <f>IF(Q128&gt;=3,"USE","CONTEXT")</f>
        <v/>
      </c>
      <c r="S128" s="2" t="inlineStr">
        <is>
          <t>A2 The receipt</t>
        </is>
      </c>
    </row>
    <row r="129">
      <c r="A129" s="2" t="inlineStr">
        <is>
          <t>Q128</t>
        </is>
      </c>
      <c r="B129" s="3" t="inlineStr">
        <is>
          <t>Concerns about shelf life and degradation if not refrigerated.</t>
        </is>
      </c>
      <c r="C129" s="4">
        <f>IF(LEN(TRIM(B129))=0,0,LEN(TRIM(B129))-LEN(SUBSTITUTE(TRIM(B129)," ",""))+1)</f>
        <v/>
      </c>
      <c r="D129" s="2" t="inlineStr">
        <is>
          <t>Tru Niagen NR 300mg</t>
        </is>
      </c>
      <c r="E129" s="2" t="inlineStr">
        <is>
          <t>Listing summary / Q&amp;A</t>
        </is>
      </c>
      <c r="F129" s="2" t="inlineStr">
        <is>
          <t>Paraphrase — not quotable</t>
        </is>
      </c>
      <c r="G129" s="2" t="inlineStr">
        <is>
          <t>Fear</t>
        </is>
      </c>
      <c r="H129" s="2" t="inlineStr">
        <is>
          <t>Verify it's real and safe</t>
        </is>
      </c>
      <c r="I129" s="2" t="inlineStr">
        <is>
          <t>OBJECTION · Degradation</t>
        </is>
      </c>
      <c r="J129" s="2" t="inlineStr">
        <is>
          <t>Unboxing / first inspection</t>
        </is>
      </c>
      <c r="K129" s="4" t="inlineStr"/>
      <c r="L129" s="4" t="inlineStr"/>
      <c r="M129" s="4" t="inlineStr"/>
      <c r="N129" s="4" t="inlineStr"/>
      <c r="O129" s="4" t="inlineStr"/>
      <c r="P129" s="4">
        <f>IF(C129&lt;12,"Y","")</f>
        <v/>
      </c>
      <c r="Q129" s="4">
        <f>COUNTIF(K129:P129,"Y")</f>
        <v/>
      </c>
      <c r="R129" s="5">
        <f>IF(Q129&gt;=3,"USE","CONTEXT")</f>
        <v/>
      </c>
      <c r="S129" s="2" t="inlineStr">
        <is>
          <t>A2 The receipt</t>
        </is>
      </c>
    </row>
    <row r="130">
      <c r="A130" s="2" t="inlineStr">
        <is>
          <t>Q129</t>
        </is>
      </c>
      <c r="B130" s="3" t="inlineStr">
        <is>
          <t>Nausea, stomach pain, dizziness, lightheadedness and brain fog.</t>
        </is>
      </c>
      <c r="C130" s="4">
        <f>IF(LEN(TRIM(B130))=0,0,LEN(TRIM(B130))-LEN(SUBSTITUTE(TRIM(B130)," ",""))+1)</f>
        <v/>
      </c>
      <c r="D130" s="2" t="inlineStr">
        <is>
          <t>Tru Niagen NR 300mg</t>
        </is>
      </c>
      <c r="E130" s="2" t="inlineStr">
        <is>
          <t>Listing summary / Q&amp;A</t>
        </is>
      </c>
      <c r="F130" s="2" t="inlineStr">
        <is>
          <t>Paraphrase — not quotable</t>
        </is>
      </c>
      <c r="G130" s="2" t="inlineStr">
        <is>
          <t>Fear</t>
        </is>
      </c>
      <c r="H130" s="2" t="inlineStr">
        <is>
          <t>Protect a sensitive body</t>
        </is>
      </c>
      <c r="I130" s="2" t="inlineStr">
        <is>
          <t>OBJECTION · Side effect cluster</t>
        </is>
      </c>
      <c r="J130" s="2" t="inlineStr">
        <is>
          <t>Week 1</t>
        </is>
      </c>
      <c r="K130" s="4" t="inlineStr"/>
      <c r="L130" s="4" t="inlineStr">
        <is>
          <t>Y</t>
        </is>
      </c>
      <c r="M130" s="4" t="inlineStr"/>
      <c r="N130" s="4" t="inlineStr"/>
      <c r="O130" s="4" t="inlineStr">
        <is>
          <t>Y</t>
        </is>
      </c>
      <c r="P130" s="4">
        <f>IF(C130&lt;12,"Y","")</f>
        <v/>
      </c>
      <c r="Q130" s="4">
        <f>COUNTIF(K130:P130,"Y")</f>
        <v/>
      </c>
      <c r="R130" s="6">
        <f>IF(Q130&gt;=3,"USE","CONTEXT")</f>
        <v/>
      </c>
      <c r="S130" s="2" t="inlineStr">
        <is>
          <t>A5 Gentle start</t>
        </is>
      </c>
    </row>
    <row r="131">
      <c r="A131" s="2" t="inlineStr">
        <is>
          <t>Q130</t>
        </is>
      </c>
      <c r="B131" s="3" t="inlineStr">
        <is>
          <t>Insomnia and sleep disruption, the opposite of the expected benefit.</t>
        </is>
      </c>
      <c r="C131" s="4">
        <f>IF(LEN(TRIM(B131))=0,0,LEN(TRIM(B131))-LEN(SUBSTITUTE(TRIM(B131)," ",""))+1)</f>
        <v/>
      </c>
      <c r="D131" s="2" t="inlineStr">
        <is>
          <t>Tru Niagen NR 300mg</t>
        </is>
      </c>
      <c r="E131" s="2" t="inlineStr">
        <is>
          <t>Listing summary / Q&amp;A</t>
        </is>
      </c>
      <c r="F131" s="2" t="inlineStr">
        <is>
          <t>Paraphrase — not quotable</t>
        </is>
      </c>
      <c r="G131" s="2" t="inlineStr">
        <is>
          <t>Anger</t>
        </is>
      </c>
      <c r="H131" s="2" t="inlineStr">
        <is>
          <t>Sleep through the night</t>
        </is>
      </c>
      <c r="I131" s="2" t="inlineStr">
        <is>
          <t>OBJECTION · Paradox effect</t>
        </is>
      </c>
      <c r="J131" s="2" t="inlineStr">
        <is>
          <t>Week 1</t>
        </is>
      </c>
      <c r="K131" s="4" t="inlineStr"/>
      <c r="L131" s="4" t="inlineStr">
        <is>
          <t>Y</t>
        </is>
      </c>
      <c r="M131" s="4" t="inlineStr"/>
      <c r="N131" s="4" t="inlineStr"/>
      <c r="O131" s="4" t="inlineStr">
        <is>
          <t>Y</t>
        </is>
      </c>
      <c r="P131" s="4">
        <f>IF(C131&lt;12,"Y","")</f>
        <v/>
      </c>
      <c r="Q131" s="4">
        <f>COUNTIF(K131:P131,"Y")</f>
        <v/>
      </c>
      <c r="R131" s="6">
        <f>IF(Q131&gt;=3,"USE","CONTEXT")</f>
        <v/>
      </c>
      <c r="S131" s="2" t="inlineStr">
        <is>
          <t>A5 Gentle start</t>
        </is>
      </c>
    </row>
    <row r="132">
      <c r="A132" s="2" t="inlineStr">
        <is>
          <t>Q131</t>
        </is>
      </c>
      <c r="B132" s="3" t="inlineStr">
        <is>
          <t>Palpitations and anxiety after taking it.</t>
        </is>
      </c>
      <c r="C132" s="4">
        <f>IF(LEN(TRIM(B132))=0,0,LEN(TRIM(B132))-LEN(SUBSTITUTE(TRIM(B132)," ",""))+1)</f>
        <v/>
      </c>
      <c r="D132" s="2" t="inlineStr">
        <is>
          <t>Tru Niagen NR 300mg</t>
        </is>
      </c>
      <c r="E132" s="2" t="inlineStr">
        <is>
          <t>Listing summary / Q&amp;A</t>
        </is>
      </c>
      <c r="F132" s="2" t="inlineStr">
        <is>
          <t>Paraphrase — not quotable</t>
        </is>
      </c>
      <c r="G132" s="2" t="inlineStr">
        <is>
          <t>Fear</t>
        </is>
      </c>
      <c r="H132" s="2" t="inlineStr">
        <is>
          <t>Protect a sensitive body</t>
        </is>
      </c>
      <c r="I132" s="2" t="inlineStr">
        <is>
          <t>OBJECTION · Over-stimulation</t>
        </is>
      </c>
      <c r="J132" s="2" t="inlineStr">
        <is>
          <t>First dose</t>
        </is>
      </c>
      <c r="K132" s="4" t="inlineStr"/>
      <c r="L132" s="4" t="inlineStr">
        <is>
          <t>Y</t>
        </is>
      </c>
      <c r="M132" s="4" t="inlineStr"/>
      <c r="N132" s="4" t="inlineStr"/>
      <c r="O132" s="4" t="inlineStr">
        <is>
          <t>Y</t>
        </is>
      </c>
      <c r="P132" s="4">
        <f>IF(C132&lt;12,"Y","")</f>
        <v/>
      </c>
      <c r="Q132" s="4">
        <f>COUNTIF(K132:P132,"Y")</f>
        <v/>
      </c>
      <c r="R132" s="6">
        <f>IF(Q132&gt;=3,"USE","CONTEXT")</f>
        <v/>
      </c>
      <c r="S132" s="2" t="inlineStr">
        <is>
          <t>A5 Gentle start</t>
        </is>
      </c>
    </row>
    <row r="133">
      <c r="A133" s="2" t="inlineStr">
        <is>
          <t>Q132</t>
        </is>
      </c>
      <c r="B133" s="3" t="inlineStr">
        <is>
          <t>The jury is out on effectiveness.</t>
        </is>
      </c>
      <c r="C133" s="4">
        <f>IF(LEN(TRIM(B133))=0,0,LEN(TRIM(B133))-LEN(SUBSTITUTE(TRIM(B133)," ",""))+1)</f>
        <v/>
      </c>
      <c r="D133" s="2" t="inlineStr">
        <is>
          <t>Nutricost NADH 20mg</t>
        </is>
      </c>
      <c r="E133" s="2" t="inlineStr">
        <is>
          <t>Listing summary</t>
        </is>
      </c>
      <c r="F133" s="2" t="inlineStr">
        <is>
          <t>Quoted fragment</t>
        </is>
      </c>
      <c r="G133" s="2" t="inlineStr">
        <is>
          <t>Hope</t>
        </is>
      </c>
      <c r="H133" s="2" t="inlineStr">
        <is>
          <t>Know whether it's working</t>
        </is>
      </c>
      <c r="I133" s="2" t="inlineStr">
        <is>
          <t>OBJECTION · No feedback loop</t>
        </is>
      </c>
      <c r="J133" s="2" t="inlineStr">
        <is>
          <t>Weeks 2–4</t>
        </is>
      </c>
      <c r="K133" s="4" t="inlineStr"/>
      <c r="L133" s="4" t="inlineStr"/>
      <c r="M133" s="4" t="inlineStr"/>
      <c r="N133" s="4" t="inlineStr"/>
      <c r="O133" s="4" t="inlineStr">
        <is>
          <t>Y</t>
        </is>
      </c>
      <c r="P133" s="4">
        <f>IF(C133&lt;12,"Y","")</f>
        <v/>
      </c>
      <c r="Q133" s="4">
        <f>COUNTIF(K133:P133,"Y")</f>
        <v/>
      </c>
      <c r="R133" s="5">
        <f>IF(Q133&gt;=3,"USE","CONTEXT")</f>
        <v/>
      </c>
      <c r="S133" s="2" t="inlineStr">
        <is>
          <t>A1 You won't feel it</t>
        </is>
      </c>
    </row>
    <row r="134">
      <c r="A134" s="2" t="inlineStr">
        <is>
          <t>Q133</t>
        </is>
      </c>
      <c r="B134" s="3" t="inlineStr">
        <is>
          <t>I am not sure we are noticing any difference.</t>
        </is>
      </c>
      <c r="C134" s="4">
        <f>IF(LEN(TRIM(B134))=0,0,LEN(TRIM(B134))-LEN(SUBSTITUTE(TRIM(B134)," ",""))+1)</f>
        <v/>
      </c>
      <c r="D134" s="2" t="inlineStr">
        <is>
          <t>Nutricost NADH 20mg</t>
        </is>
      </c>
      <c r="E134" s="2" t="inlineStr">
        <is>
          <t>Listing summary</t>
        </is>
      </c>
      <c r="F134" s="2" t="inlineStr">
        <is>
          <t>Quoted fragment</t>
        </is>
      </c>
      <c r="G134" s="2" t="inlineStr">
        <is>
          <t>Hope</t>
        </is>
      </c>
      <c r="H134" s="2" t="inlineStr">
        <is>
          <t>Know whether it's working</t>
        </is>
      </c>
      <c r="I134" s="2" t="inlineStr">
        <is>
          <t>OBJECTION · No feedback loop</t>
        </is>
      </c>
      <c r="J134" s="2" t="inlineStr">
        <is>
          <t>Weeks 2–4</t>
        </is>
      </c>
      <c r="K134" s="4" t="inlineStr"/>
      <c r="L134" s="4" t="inlineStr"/>
      <c r="M134" s="4" t="inlineStr"/>
      <c r="N134" s="4" t="inlineStr">
        <is>
          <t>Y</t>
        </is>
      </c>
      <c r="O134" s="4" t="inlineStr">
        <is>
          <t>Y</t>
        </is>
      </c>
      <c r="P134" s="4">
        <f>IF(C134&lt;12,"Y","")</f>
        <v/>
      </c>
      <c r="Q134" s="4">
        <f>COUNTIF(K134:P134,"Y")</f>
        <v/>
      </c>
      <c r="R134" s="6">
        <f>IF(Q134&gt;=3,"USE","CONTEXT")</f>
        <v/>
      </c>
      <c r="S134" s="2" t="inlineStr">
        <is>
          <t>A1 You won't feel it</t>
        </is>
      </c>
    </row>
    <row r="135">
      <c r="A135" s="2" t="inlineStr">
        <is>
          <t>Q134</t>
        </is>
      </c>
      <c r="B135" s="3" t="inlineStr">
        <is>
          <t>Very sick for several days with diarrhea and stomach cramps.</t>
        </is>
      </c>
      <c r="C135" s="4">
        <f>IF(LEN(TRIM(B135))=0,0,LEN(TRIM(B135))-LEN(SUBSTITUTE(TRIM(B135)," ",""))+1)</f>
        <v/>
      </c>
      <c r="D135" s="2" t="inlineStr">
        <is>
          <t>Nutricost NADH 20mg</t>
        </is>
      </c>
      <c r="E135" s="2" t="inlineStr">
        <is>
          <t>Listing summary</t>
        </is>
      </c>
      <c r="F135" s="2" t="inlineStr">
        <is>
          <t>Paraphrase — not quotable</t>
        </is>
      </c>
      <c r="G135" s="2" t="inlineStr">
        <is>
          <t>Fear</t>
        </is>
      </c>
      <c r="H135" s="2" t="inlineStr">
        <is>
          <t>Protect a sensitive body</t>
        </is>
      </c>
      <c r="I135" s="2" t="inlineStr">
        <is>
          <t>OBJECTION · Gut reaction</t>
        </is>
      </c>
      <c r="J135" s="2" t="inlineStr">
        <is>
          <t>Week 1</t>
        </is>
      </c>
      <c r="K135" s="4" t="inlineStr">
        <is>
          <t>Y</t>
        </is>
      </c>
      <c r="L135" s="4" t="inlineStr">
        <is>
          <t>Y</t>
        </is>
      </c>
      <c r="M135" s="4" t="inlineStr"/>
      <c r="N135" s="4" t="inlineStr"/>
      <c r="O135" s="4" t="inlineStr">
        <is>
          <t>Y</t>
        </is>
      </c>
      <c r="P135" s="4">
        <f>IF(C135&lt;12,"Y","")</f>
        <v/>
      </c>
      <c r="Q135" s="4">
        <f>COUNTIF(K135:P135,"Y")</f>
        <v/>
      </c>
      <c r="R135" s="6">
        <f>IF(Q135&gt;=3,"USE","CONTEXT")</f>
        <v/>
      </c>
      <c r="S135" s="2" t="inlineStr">
        <is>
          <t>A5 Gentle start</t>
        </is>
      </c>
    </row>
    <row r="136">
      <c r="A136" s="7" t="inlineStr">
        <is>
          <t>Q135</t>
        </is>
      </c>
      <c r="B136" s="8" t="inlineStr">
        <is>
          <t>It significantly lowered blood pressure rather than boosting energy.</t>
        </is>
      </c>
      <c r="C136" s="9">
        <f>IF(LEN(TRIM(B136))=0,0,LEN(TRIM(B136))-LEN(SUBSTITUTE(TRIM(B136)," ",""))+1)</f>
        <v/>
      </c>
      <c r="D136" s="7" t="inlineStr">
        <is>
          <t>Nutricost NADH 20mg</t>
        </is>
      </c>
      <c r="E136" s="7" t="inlineStr">
        <is>
          <t>Listing summary</t>
        </is>
      </c>
      <c r="F136" s="7" t="inlineStr">
        <is>
          <t>Paraphrase — not quotable</t>
        </is>
      </c>
      <c r="G136" s="7" t="inlineStr">
        <is>
          <t>Fear</t>
        </is>
      </c>
      <c r="H136" s="7" t="inlineStr">
        <is>
          <t>Protect a sensitive body</t>
        </is>
      </c>
      <c r="I136" s="7" t="inlineStr">
        <is>
          <t>OBJECTION · Unexpected effect</t>
        </is>
      </c>
      <c r="J136" s="7" t="inlineStr">
        <is>
          <t>Weeks 2–4</t>
        </is>
      </c>
      <c r="K136" s="9" t="inlineStr"/>
      <c r="L136" s="9" t="inlineStr">
        <is>
          <t>Y</t>
        </is>
      </c>
      <c r="M136" s="9" t="inlineStr"/>
      <c r="N136" s="9" t="inlineStr"/>
      <c r="O136" s="9" t="inlineStr">
        <is>
          <t>Y</t>
        </is>
      </c>
      <c r="P136" s="9">
        <f>IF(C136&lt;12,"Y","")</f>
        <v/>
      </c>
      <c r="Q136" s="9">
        <f>COUNTIF(K136:P136,"Y")</f>
        <v/>
      </c>
      <c r="R136" s="11">
        <f>IF(Q136&gt;=3,"USE","CONTEXT")</f>
        <v/>
      </c>
      <c r="S136" s="7" t="inlineStr">
        <is>
          <t>§07 Guardrail — do not use</t>
        </is>
      </c>
    </row>
    <row r="137">
      <c r="A137" s="2" t="inlineStr">
        <is>
          <t>Q136</t>
        </is>
      </c>
      <c r="B137" s="3" t="inlineStr">
        <is>
          <t>It takes several weeks before any benefit is felt.</t>
        </is>
      </c>
      <c r="C137" s="4">
        <f>IF(LEN(TRIM(B137))=0,0,LEN(TRIM(B137))-LEN(SUBSTITUTE(TRIM(B137)," ",""))+1)</f>
        <v/>
      </c>
      <c r="D137" s="2" t="inlineStr">
        <is>
          <t>Nutricost NADH 20mg</t>
        </is>
      </c>
      <c r="E137" s="2" t="inlineStr">
        <is>
          <t>Listing summary</t>
        </is>
      </c>
      <c r="F137" s="2" t="inlineStr">
        <is>
          <t>Paraphrase — not quotable</t>
        </is>
      </c>
      <c r="G137" s="2" t="inlineStr">
        <is>
          <t>Hope</t>
        </is>
      </c>
      <c r="H137" s="2" t="inlineStr">
        <is>
          <t>Know whether it's working</t>
        </is>
      </c>
      <c r="I137" s="2" t="inlineStr">
        <is>
          <t>OBJECTION · Timeline unclear</t>
        </is>
      </c>
      <c r="J137" s="2" t="inlineStr">
        <is>
          <t>Weeks 2–4</t>
        </is>
      </c>
      <c r="K137" s="4" t="inlineStr"/>
      <c r="L137" s="4" t="inlineStr">
        <is>
          <t>Y</t>
        </is>
      </c>
      <c r="M137" s="4" t="inlineStr"/>
      <c r="N137" s="4" t="inlineStr"/>
      <c r="O137" s="4" t="inlineStr">
        <is>
          <t>Y</t>
        </is>
      </c>
      <c r="P137" s="4">
        <f>IF(C137&lt;12,"Y","")</f>
        <v/>
      </c>
      <c r="Q137" s="4">
        <f>COUNTIF(K137:P137,"Y")</f>
        <v/>
      </c>
      <c r="R137" s="6">
        <f>IF(Q137&gt;=3,"USE","CONTEXT")</f>
        <v/>
      </c>
      <c r="S137" s="2" t="inlineStr">
        <is>
          <t>A1 You won't feel it</t>
        </is>
      </c>
    </row>
    <row r="138">
      <c r="A138" s="2" t="inlineStr">
        <is>
          <t>Q137</t>
        </is>
      </c>
      <c r="B138" s="3" t="inlineStr">
        <is>
          <t>Barely functional.</t>
        </is>
      </c>
      <c r="C138" s="4">
        <f>IF(LEN(TRIM(B138))=0,0,LEN(TRIM(B138))-LEN(SUBSTITUTE(TRIM(B138)," ",""))+1)</f>
        <v/>
      </c>
      <c r="D138" s="2" t="inlineStr">
        <is>
          <t>Renue By Science LIPO NMN</t>
        </is>
      </c>
      <c r="E138" s="2" t="inlineStr">
        <is>
          <t>Listing summary</t>
        </is>
      </c>
      <c r="F138" s="2" t="inlineStr">
        <is>
          <t>Quoted fragment</t>
        </is>
      </c>
      <c r="G138" s="2" t="inlineStr">
        <is>
          <t>Grief</t>
        </is>
      </c>
      <c r="H138" s="2" t="inlineStr">
        <is>
          <t>Think clearly again</t>
        </is>
      </c>
      <c r="I138" s="2" t="inlineStr">
        <is>
          <t>OBJECTION · Paradox effect</t>
        </is>
      </c>
      <c r="J138" s="2" t="inlineStr">
        <is>
          <t>Weeks 2–4</t>
        </is>
      </c>
      <c r="K138" s="4" t="inlineStr"/>
      <c r="L138" s="4" t="inlineStr">
        <is>
          <t>Y</t>
        </is>
      </c>
      <c r="M138" s="4" t="inlineStr"/>
      <c r="N138" s="4" t="inlineStr"/>
      <c r="O138" s="4" t="inlineStr">
        <is>
          <t>Y</t>
        </is>
      </c>
      <c r="P138" s="4">
        <f>IF(C138&lt;12,"Y","")</f>
        <v/>
      </c>
      <c r="Q138" s="4">
        <f>COUNTIF(K138:P138,"Y")</f>
        <v/>
      </c>
      <c r="R138" s="6">
        <f>IF(Q138&gt;=3,"USE","CONTEXT")</f>
        <v/>
      </c>
      <c r="S138" s="2" t="inlineStr">
        <is>
          <t>A5 Gentle start</t>
        </is>
      </c>
    </row>
    <row r="139">
      <c r="A139" s="2" t="inlineStr">
        <is>
          <t>Q138</t>
        </is>
      </c>
      <c r="B139" s="3" t="inlineStr">
        <is>
          <t>It significantly worsened my fatigue and brain fog.</t>
        </is>
      </c>
      <c r="C139" s="4">
        <f>IF(LEN(TRIM(B139))=0,0,LEN(TRIM(B139))-LEN(SUBSTITUTE(TRIM(B139)," ",""))+1)</f>
        <v/>
      </c>
      <c r="D139" s="2" t="inlineStr">
        <is>
          <t>Renue By Science LIPO NMN</t>
        </is>
      </c>
      <c r="E139" s="2" t="inlineStr">
        <is>
          <t>Listing summary</t>
        </is>
      </c>
      <c r="F139" s="2" t="inlineStr">
        <is>
          <t>Paraphrase — not quotable</t>
        </is>
      </c>
      <c r="G139" s="2" t="inlineStr">
        <is>
          <t>Anger</t>
        </is>
      </c>
      <c r="H139" s="2" t="inlineStr">
        <is>
          <t>Get my energy back</t>
        </is>
      </c>
      <c r="I139" s="2" t="inlineStr">
        <is>
          <t>OBJECTION · Paradox effect</t>
        </is>
      </c>
      <c r="J139" s="2" t="inlineStr">
        <is>
          <t>Weeks 2–4</t>
        </is>
      </c>
      <c r="K139" s="4" t="inlineStr"/>
      <c r="L139" s="4" t="inlineStr">
        <is>
          <t>Y</t>
        </is>
      </c>
      <c r="M139" s="4" t="inlineStr">
        <is>
          <t>Y</t>
        </is>
      </c>
      <c r="N139" s="4" t="inlineStr"/>
      <c r="O139" s="4" t="inlineStr">
        <is>
          <t>Y</t>
        </is>
      </c>
      <c r="P139" s="4">
        <f>IF(C139&lt;12,"Y","")</f>
        <v/>
      </c>
      <c r="Q139" s="4">
        <f>COUNTIF(K139:P139,"Y")</f>
        <v/>
      </c>
      <c r="R139" s="6">
        <f>IF(Q139&gt;=3,"USE","CONTEXT")</f>
        <v/>
      </c>
      <c r="S139" s="2" t="inlineStr">
        <is>
          <t>A5 Gentle start</t>
        </is>
      </c>
    </row>
    <row r="140">
      <c r="A140" s="2" t="inlineStr">
        <is>
          <t>Q139</t>
        </is>
      </c>
      <c r="B140" s="3" t="inlineStr">
        <is>
          <t>Bloating, heaviness and decreased energy.</t>
        </is>
      </c>
      <c r="C140" s="4">
        <f>IF(LEN(TRIM(B140))=0,0,LEN(TRIM(B140))-LEN(SUBSTITUTE(TRIM(B140)," ",""))+1)</f>
        <v/>
      </c>
      <c r="D140" s="2" t="inlineStr">
        <is>
          <t>Renue By Science LIPO NMN</t>
        </is>
      </c>
      <c r="E140" s="2" t="inlineStr">
        <is>
          <t>Listing summary</t>
        </is>
      </c>
      <c r="F140" s="2" t="inlineStr">
        <is>
          <t>Paraphrase — not quotable</t>
        </is>
      </c>
      <c r="G140" s="2" t="inlineStr">
        <is>
          <t>Anger</t>
        </is>
      </c>
      <c r="H140" s="2" t="inlineStr">
        <is>
          <t>Get my energy back</t>
        </is>
      </c>
      <c r="I140" s="2" t="inlineStr">
        <is>
          <t>OBJECTION · Paradox effect</t>
        </is>
      </c>
      <c r="J140" s="2" t="inlineStr">
        <is>
          <t>Week 1</t>
        </is>
      </c>
      <c r="K140" s="4" t="inlineStr"/>
      <c r="L140" s="4" t="inlineStr">
        <is>
          <t>Y</t>
        </is>
      </c>
      <c r="M140" s="4" t="inlineStr"/>
      <c r="N140" s="4" t="inlineStr"/>
      <c r="O140" s="4" t="inlineStr">
        <is>
          <t>Y</t>
        </is>
      </c>
      <c r="P140" s="4">
        <f>IF(C140&lt;12,"Y","")</f>
        <v/>
      </c>
      <c r="Q140" s="4">
        <f>COUNTIF(K140:P140,"Y")</f>
        <v/>
      </c>
      <c r="R140" s="6">
        <f>IF(Q140&gt;=3,"USE","CONTEXT")</f>
        <v/>
      </c>
      <c r="S140" s="2" t="inlineStr">
        <is>
          <t>A5 Gentle start</t>
        </is>
      </c>
    </row>
    <row r="141">
      <c r="A141" s="2" t="inlineStr">
        <is>
          <t>Q140</t>
        </is>
      </c>
      <c r="B141" s="3" t="inlineStr">
        <is>
          <t>At 65 I needed more energy, not less.</t>
        </is>
      </c>
      <c r="C141" s="4">
        <f>IF(LEN(TRIM(B141))=0,0,LEN(TRIM(B141))-LEN(SUBSTITUTE(TRIM(B141)," ",""))+1)</f>
        <v/>
      </c>
      <c r="D141" s="2" t="inlineStr">
        <is>
          <t>Renue By Science LIPO NMN</t>
        </is>
      </c>
      <c r="E141" s="2" t="inlineStr">
        <is>
          <t>Listing summary</t>
        </is>
      </c>
      <c r="F141" s="2" t="inlineStr">
        <is>
          <t>Paraphrase — not quotable</t>
        </is>
      </c>
      <c r="G141" s="2" t="inlineStr">
        <is>
          <t>Grief</t>
        </is>
      </c>
      <c r="H141" s="2" t="inlineStr">
        <is>
          <t>Stay functional as I age</t>
        </is>
      </c>
      <c r="I141" s="2" t="inlineStr">
        <is>
          <t>OBJECTION · Paradox effect</t>
        </is>
      </c>
      <c r="J141" s="2" t="inlineStr">
        <is>
          <t>Abandonment / refund</t>
        </is>
      </c>
      <c r="K141" s="4" t="inlineStr"/>
      <c r="L141" s="4" t="inlineStr">
        <is>
          <t>Y</t>
        </is>
      </c>
      <c r="M141" s="4" t="inlineStr">
        <is>
          <t>Y</t>
        </is>
      </c>
      <c r="N141" s="4" t="inlineStr"/>
      <c r="O141" s="4" t="inlineStr">
        <is>
          <t>Y</t>
        </is>
      </c>
      <c r="P141" s="4">
        <f>IF(C141&lt;12,"Y","")</f>
        <v/>
      </c>
      <c r="Q141" s="4">
        <f>COUNTIF(K141:P141,"Y")</f>
        <v/>
      </c>
      <c r="R141" s="6">
        <f>IF(Q141&gt;=3,"USE","CONTEXT")</f>
        <v/>
      </c>
      <c r="S141" s="2" t="inlineStr">
        <is>
          <t>A5 Gentle start</t>
        </is>
      </c>
    </row>
    <row r="142">
      <c r="A142" s="2" t="inlineStr">
        <is>
          <t>Q141</t>
        </is>
      </c>
      <c r="B142" s="3" t="inlineStr">
        <is>
          <t>I assumed my body needed to adjust, but the symptoms persisted.</t>
        </is>
      </c>
      <c r="C142" s="4">
        <f>IF(LEN(TRIM(B142))=0,0,LEN(TRIM(B142))-LEN(SUBSTITUTE(TRIM(B142)," ",""))+1)</f>
        <v/>
      </c>
      <c r="D142" s="2" t="inlineStr">
        <is>
          <t>Renue By Science LIPO NMN</t>
        </is>
      </c>
      <c r="E142" s="2" t="inlineStr">
        <is>
          <t>Listing summary</t>
        </is>
      </c>
      <c r="F142" s="2" t="inlineStr">
        <is>
          <t>Paraphrase — not quotable</t>
        </is>
      </c>
      <c r="G142" s="2" t="inlineStr">
        <is>
          <t>Grief</t>
        </is>
      </c>
      <c r="H142" s="2" t="inlineStr">
        <is>
          <t>Protect a sensitive body</t>
        </is>
      </c>
      <c r="I142" s="2" t="inlineStr">
        <is>
          <t>OBJECTION · Side effect</t>
        </is>
      </c>
      <c r="J142" s="2" t="inlineStr">
        <is>
          <t>Weeks 2–4</t>
        </is>
      </c>
      <c r="K142" s="4" t="inlineStr"/>
      <c r="L142" s="4" t="inlineStr">
        <is>
          <t>Y</t>
        </is>
      </c>
      <c r="M142" s="4" t="inlineStr"/>
      <c r="N142" s="4" t="inlineStr">
        <is>
          <t>Y</t>
        </is>
      </c>
      <c r="O142" s="4" t="inlineStr">
        <is>
          <t>Y</t>
        </is>
      </c>
      <c r="P142" s="4">
        <f>IF(C142&lt;12,"Y","")</f>
        <v/>
      </c>
      <c r="Q142" s="4">
        <f>COUNTIF(K142:P142,"Y")</f>
        <v/>
      </c>
      <c r="R142" s="6">
        <f>IF(Q142&gt;=3,"USE","CONTEXT")</f>
        <v/>
      </c>
      <c r="S142" s="2" t="inlineStr">
        <is>
          <t>A5 Gentle start</t>
        </is>
      </c>
    </row>
    <row r="143">
      <c r="A143" s="2" t="inlineStr">
        <is>
          <t>Q142</t>
        </is>
      </c>
      <c r="B143" s="3" t="inlineStr">
        <is>
          <t>No way to take it with such an awful bitter and disgusting taste.</t>
        </is>
      </c>
      <c r="C143" s="4">
        <f>IF(LEN(TRIM(B143))=0,0,LEN(TRIM(B143))-LEN(SUBSTITUTE(TRIM(B143)," ",""))+1)</f>
        <v/>
      </c>
      <c r="D143" s="2" t="inlineStr">
        <is>
          <t>Renue By Science NMN Powder</t>
        </is>
      </c>
      <c r="E143" s="2" t="inlineStr">
        <is>
          <t>Listing summary</t>
        </is>
      </c>
      <c r="F143" s="2" t="inlineStr">
        <is>
          <t>Quoted fragment</t>
        </is>
      </c>
      <c r="G143" s="2" t="inlineStr">
        <is>
          <t>Anger</t>
        </is>
      </c>
      <c r="H143" s="2" t="inlineStr">
        <is>
          <t>Protect a sensitive body</t>
        </is>
      </c>
      <c r="I143" s="2" t="inlineStr">
        <is>
          <t>OBJECTION · Taste</t>
        </is>
      </c>
      <c r="J143" s="2" t="inlineStr">
        <is>
          <t>First dose</t>
        </is>
      </c>
      <c r="K143" s="4" t="inlineStr"/>
      <c r="L143" s="4" t="inlineStr">
        <is>
          <t>Y</t>
        </is>
      </c>
      <c r="M143" s="4" t="inlineStr"/>
      <c r="N143" s="4" t="inlineStr"/>
      <c r="O143" s="4" t="inlineStr">
        <is>
          <t>Y</t>
        </is>
      </c>
      <c r="P143" s="4">
        <f>IF(C143&lt;12,"Y","")</f>
        <v/>
      </c>
      <c r="Q143" s="4">
        <f>COUNTIF(K143:P143,"Y")</f>
        <v/>
      </c>
      <c r="R143" s="5">
        <f>IF(Q143&gt;=3,"USE","CONTEXT")</f>
        <v/>
      </c>
      <c r="S143" s="2" t="inlineStr">
        <is>
          <t>A5 Gentle start</t>
        </is>
      </c>
    </row>
    <row r="144">
      <c r="A144" s="2" t="inlineStr">
        <is>
          <t>Q143</t>
        </is>
      </c>
      <c r="B144" s="3" t="inlineStr">
        <is>
          <t>It doesn't really dissolve so much as become a sludge.</t>
        </is>
      </c>
      <c r="C144" s="4">
        <f>IF(LEN(TRIM(B144))=0,0,LEN(TRIM(B144))-LEN(SUBSTITUTE(TRIM(B144)," ",""))+1)</f>
        <v/>
      </c>
      <c r="D144" s="2" t="inlineStr">
        <is>
          <t>Renue By Science NMN Powder</t>
        </is>
      </c>
      <c r="E144" s="2" t="inlineStr">
        <is>
          <t>Listing summary</t>
        </is>
      </c>
      <c r="F144" s="2" t="inlineStr">
        <is>
          <t>Quoted fragment</t>
        </is>
      </c>
      <c r="G144" s="2" t="inlineStr">
        <is>
          <t>Anger</t>
        </is>
      </c>
      <c r="H144" s="2" t="inlineStr">
        <is>
          <t>Protect a sensitive body</t>
        </is>
      </c>
      <c r="I144" s="2" t="inlineStr">
        <is>
          <t>OBJECTION · Texture</t>
        </is>
      </c>
      <c r="J144" s="2" t="inlineStr">
        <is>
          <t>First dose</t>
        </is>
      </c>
      <c r="K144" s="4" t="inlineStr"/>
      <c r="L144" s="4" t="inlineStr">
        <is>
          <t>Y</t>
        </is>
      </c>
      <c r="M144" s="4" t="inlineStr"/>
      <c r="N144" s="4" t="inlineStr"/>
      <c r="O144" s="4" t="inlineStr">
        <is>
          <t>Y</t>
        </is>
      </c>
      <c r="P144" s="4">
        <f>IF(C144&lt;12,"Y","")</f>
        <v/>
      </c>
      <c r="Q144" s="4">
        <f>COUNTIF(K144:P144,"Y")</f>
        <v/>
      </c>
      <c r="R144" s="6">
        <f>IF(Q144&gt;=3,"USE","CONTEXT")</f>
        <v/>
      </c>
      <c r="S144" s="2" t="inlineStr">
        <is>
          <t>A5 Gentle start</t>
        </is>
      </c>
    </row>
    <row r="145">
      <c r="A145" s="2" t="inlineStr">
        <is>
          <t>Q144</t>
        </is>
      </c>
      <c r="B145" s="3" t="inlineStr">
        <is>
          <t>Feel or look no different.</t>
        </is>
      </c>
      <c r="C145" s="4">
        <f>IF(LEN(TRIM(B145))=0,0,LEN(TRIM(B145))-LEN(SUBSTITUTE(TRIM(B145)," ",""))+1)</f>
        <v/>
      </c>
      <c r="D145" s="2" t="inlineStr">
        <is>
          <t>Renue By Science NMN Powder</t>
        </is>
      </c>
      <c r="E145" s="2" t="inlineStr">
        <is>
          <t>Listing summary</t>
        </is>
      </c>
      <c r="F145" s="2" t="inlineStr">
        <is>
          <t>Quoted fragment</t>
        </is>
      </c>
      <c r="G145" s="2" t="inlineStr">
        <is>
          <t>Grief</t>
        </is>
      </c>
      <c r="H145" s="2" t="inlineStr">
        <is>
          <t>Slow visible aging</t>
        </is>
      </c>
      <c r="I145" s="2" t="inlineStr">
        <is>
          <t>OBJECTION · Felt nothing</t>
        </is>
      </c>
      <c r="J145" s="2" t="inlineStr">
        <is>
          <t>Weeks 2–4</t>
        </is>
      </c>
      <c r="K145" s="4" t="inlineStr"/>
      <c r="L145" s="4" t="inlineStr">
        <is>
          <t>Y</t>
        </is>
      </c>
      <c r="M145" s="4" t="inlineStr">
        <is>
          <t>Y</t>
        </is>
      </c>
      <c r="N145" s="4" t="inlineStr"/>
      <c r="O145" s="4" t="inlineStr">
        <is>
          <t>Y</t>
        </is>
      </c>
      <c r="P145" s="4">
        <f>IF(C145&lt;12,"Y","")</f>
        <v/>
      </c>
      <c r="Q145" s="4">
        <f>COUNTIF(K145:P145,"Y")</f>
        <v/>
      </c>
      <c r="R145" s="6">
        <f>IF(Q145&gt;=3,"USE","CONTEXT")</f>
        <v/>
      </c>
      <c r="S145" s="2" t="inlineStr">
        <is>
          <t>A1 You won't feel it</t>
        </is>
      </c>
    </row>
    <row r="146">
      <c r="A146" s="2" t="inlineStr">
        <is>
          <t>Q145</t>
        </is>
      </c>
      <c r="B146" s="3" t="inlineStr">
        <is>
          <t>I have not seen any results from this product yet.</t>
        </is>
      </c>
      <c r="C146" s="4">
        <f>IF(LEN(TRIM(B146))=0,0,LEN(TRIM(B146))-LEN(SUBSTITUTE(TRIM(B146)," ",""))+1)</f>
        <v/>
      </c>
      <c r="D146" s="2" t="inlineStr">
        <is>
          <t>Renue By Science NMN Powder</t>
        </is>
      </c>
      <c r="E146" s="2" t="inlineStr">
        <is>
          <t>Listing summary</t>
        </is>
      </c>
      <c r="F146" s="2" t="inlineStr">
        <is>
          <t>Quoted fragment</t>
        </is>
      </c>
      <c r="G146" s="2" t="inlineStr">
        <is>
          <t>Hope</t>
        </is>
      </c>
      <c r="H146" s="2" t="inlineStr">
        <is>
          <t>Know whether it's working</t>
        </is>
      </c>
      <c r="I146" s="2" t="inlineStr">
        <is>
          <t>OBJECTION · Felt nothing</t>
        </is>
      </c>
      <c r="J146" s="2" t="inlineStr">
        <is>
          <t>Weeks 2–4</t>
        </is>
      </c>
      <c r="K146" s="4" t="inlineStr"/>
      <c r="L146" s="4" t="inlineStr"/>
      <c r="M146" s="4" t="inlineStr"/>
      <c r="N146" s="4" t="inlineStr"/>
      <c r="O146" s="4" t="inlineStr">
        <is>
          <t>Y</t>
        </is>
      </c>
      <c r="P146" s="4">
        <f>IF(C146&lt;12,"Y","")</f>
        <v/>
      </c>
      <c r="Q146" s="4">
        <f>COUNTIF(K146:P146,"Y")</f>
        <v/>
      </c>
      <c r="R146" s="5">
        <f>IF(Q146&gt;=3,"USE","CONTEXT")</f>
        <v/>
      </c>
      <c r="S146" s="2" t="inlineStr">
        <is>
          <t>A1 You won't feel it</t>
        </is>
      </c>
    </row>
    <row r="147">
      <c r="A147" s="2" t="inlineStr">
        <is>
          <t>Q146</t>
        </is>
      </c>
      <c r="B147" s="3" t="inlineStr">
        <is>
          <t>The taste was so bad I couldn't finish a single dose.</t>
        </is>
      </c>
      <c r="C147" s="4">
        <f>IF(LEN(TRIM(B147))=0,0,LEN(TRIM(B147))-LEN(SUBSTITUTE(TRIM(B147)," ",""))+1)</f>
        <v/>
      </c>
      <c r="D147" s="2" t="inlineStr">
        <is>
          <t>Renue By Science NMN Powder</t>
        </is>
      </c>
      <c r="E147" s="2" t="inlineStr">
        <is>
          <t>Listing summary</t>
        </is>
      </c>
      <c r="F147" s="2" t="inlineStr">
        <is>
          <t>Paraphrase — not quotable</t>
        </is>
      </c>
      <c r="G147" s="2" t="inlineStr">
        <is>
          <t>Anger</t>
        </is>
      </c>
      <c r="H147" s="2" t="inlineStr">
        <is>
          <t>Protect a sensitive body</t>
        </is>
      </c>
      <c r="I147" s="2" t="inlineStr">
        <is>
          <t>OBJECTION · Taste</t>
        </is>
      </c>
      <c r="J147" s="2" t="inlineStr">
        <is>
          <t>First dose</t>
        </is>
      </c>
      <c r="K147" s="4" t="inlineStr"/>
      <c r="L147" s="4" t="inlineStr">
        <is>
          <t>Y</t>
        </is>
      </c>
      <c r="M147" s="4" t="inlineStr"/>
      <c r="N147" s="4" t="inlineStr">
        <is>
          <t>Y</t>
        </is>
      </c>
      <c r="O147" s="4" t="inlineStr">
        <is>
          <t>Y</t>
        </is>
      </c>
      <c r="P147" s="4">
        <f>IF(C147&lt;12,"Y","")</f>
        <v/>
      </c>
      <c r="Q147" s="4">
        <f>COUNTIF(K147:P147,"Y")</f>
        <v/>
      </c>
      <c r="R147" s="6">
        <f>IF(Q147&gt;=3,"USE","CONTEXT")</f>
        <v/>
      </c>
      <c r="S147" s="2" t="inlineStr">
        <is>
          <t>A5 Gentle start</t>
        </is>
      </c>
    </row>
    <row r="148">
      <c r="A148" s="2" t="inlineStr">
        <is>
          <t>Q147</t>
        </is>
      </c>
      <c r="B148" s="3" t="inlineStr">
        <is>
          <t>Nausea began after switching to a new label and batch.</t>
        </is>
      </c>
      <c r="C148" s="4">
        <f>IF(LEN(TRIM(B148))=0,0,LEN(TRIM(B148))-LEN(SUBSTITUTE(TRIM(B148)," ",""))+1)</f>
        <v/>
      </c>
      <c r="D148" s="2" t="inlineStr">
        <is>
          <t>Renue By Science NMN Powder</t>
        </is>
      </c>
      <c r="E148" s="2" t="inlineStr">
        <is>
          <t>Listing summary</t>
        </is>
      </c>
      <c r="F148" s="2" t="inlineStr">
        <is>
          <t>Paraphrase — not quotable</t>
        </is>
      </c>
      <c r="G148" s="2" t="inlineStr">
        <is>
          <t>Fear</t>
        </is>
      </c>
      <c r="H148" s="2" t="inlineStr">
        <is>
          <t>Verify it's real and safe</t>
        </is>
      </c>
      <c r="I148" s="2" t="inlineStr">
        <is>
          <t>OBJECTION · Batch consistency</t>
        </is>
      </c>
      <c r="J148" s="2" t="inlineStr">
        <is>
          <t>Reorder decision</t>
        </is>
      </c>
      <c r="K148" s="4" t="inlineStr"/>
      <c r="L148" s="4" t="inlineStr">
        <is>
          <t>Y</t>
        </is>
      </c>
      <c r="M148" s="4" t="inlineStr">
        <is>
          <t>Y</t>
        </is>
      </c>
      <c r="N148" s="4" t="inlineStr"/>
      <c r="O148" s="4" t="inlineStr">
        <is>
          <t>Y</t>
        </is>
      </c>
      <c r="P148" s="4">
        <f>IF(C148&lt;12,"Y","")</f>
        <v/>
      </c>
      <c r="Q148" s="4">
        <f>COUNTIF(K148:P148,"Y")</f>
        <v/>
      </c>
      <c r="R148" s="6">
        <f>IF(Q148&gt;=3,"USE","CONTEXT")</f>
        <v/>
      </c>
      <c r="S148" s="2" t="inlineStr">
        <is>
          <t>A2 The receipt</t>
        </is>
      </c>
    </row>
    <row r="149">
      <c r="A149" s="2" t="inlineStr">
        <is>
          <t>Q148</t>
        </is>
      </c>
      <c r="B149" s="3" t="inlineStr">
        <is>
          <t>Only a manufacture date is provided, with no expiration date.</t>
        </is>
      </c>
      <c r="C149" s="4">
        <f>IF(LEN(TRIM(B149))=0,0,LEN(TRIM(B149))-LEN(SUBSTITUTE(TRIM(B149)," ",""))+1)</f>
        <v/>
      </c>
      <c r="D149" s="2" t="inlineStr">
        <is>
          <t>Renue By Science (multiple SKUs)</t>
        </is>
      </c>
      <c r="E149" s="2" t="inlineStr">
        <is>
          <t>Listing summary</t>
        </is>
      </c>
      <c r="F149" s="2" t="inlineStr">
        <is>
          <t>Paraphrase — not quotable</t>
        </is>
      </c>
      <c r="G149" s="2" t="inlineStr">
        <is>
          <t>Fear</t>
        </is>
      </c>
      <c r="H149" s="2" t="inlineStr">
        <is>
          <t>Verify it's real and safe</t>
        </is>
      </c>
      <c r="I149" s="2" t="inlineStr">
        <is>
          <t>OBJECTION · No expiry</t>
        </is>
      </c>
      <c r="J149" s="2" t="inlineStr">
        <is>
          <t>Unboxing / first inspection</t>
        </is>
      </c>
      <c r="K149" s="4" t="inlineStr"/>
      <c r="L149" s="4" t="inlineStr"/>
      <c r="M149" s="4" t="inlineStr"/>
      <c r="N149" s="4" t="inlineStr"/>
      <c r="O149" s="4" t="inlineStr">
        <is>
          <t>Y</t>
        </is>
      </c>
      <c r="P149" s="4">
        <f>IF(C149&lt;12,"Y","")</f>
        <v/>
      </c>
      <c r="Q149" s="4">
        <f>COUNTIF(K149:P149,"Y")</f>
        <v/>
      </c>
      <c r="R149" s="5">
        <f>IF(Q149&gt;=3,"USE","CONTEXT")</f>
        <v/>
      </c>
      <c r="S149" s="2" t="inlineStr">
        <is>
          <t>A2 The receipt</t>
        </is>
      </c>
    </row>
    <row r="150">
      <c r="A150" s="2" t="inlineStr">
        <is>
          <t>Q149</t>
        </is>
      </c>
      <c r="B150" s="3" t="inlineStr">
        <is>
          <t>Spendy.</t>
        </is>
      </c>
      <c r="C150" s="4">
        <f>IF(LEN(TRIM(B150))=0,0,LEN(TRIM(B150))-LEN(SUBSTITUTE(TRIM(B150)," ",""))+1)</f>
        <v/>
      </c>
      <c r="D150" s="2" t="inlineStr">
        <is>
          <t>Renue By Science (multiple SKUs)</t>
        </is>
      </c>
      <c r="E150" s="2" t="inlineStr">
        <is>
          <t>Listing summary</t>
        </is>
      </c>
      <c r="F150" s="2" t="inlineStr">
        <is>
          <t>Quoted fragment</t>
        </is>
      </c>
      <c r="G150" s="2" t="inlineStr">
        <is>
          <t>Anger</t>
        </is>
      </c>
      <c r="H150" s="2" t="inlineStr">
        <is>
          <t>Justify the ongoing spend</t>
        </is>
      </c>
      <c r="I150" s="2" t="inlineStr">
        <is>
          <t>OBJECTION · Cost per day</t>
        </is>
      </c>
      <c r="J150" s="2" t="inlineStr">
        <is>
          <t>Doing the price math</t>
        </is>
      </c>
      <c r="K150" s="4" t="inlineStr"/>
      <c r="L150" s="4" t="inlineStr"/>
      <c r="M150" s="4" t="inlineStr"/>
      <c r="N150" s="4" t="inlineStr"/>
      <c r="O150" s="4" t="inlineStr">
        <is>
          <t>Y</t>
        </is>
      </c>
      <c r="P150" s="4">
        <f>IF(C150&lt;12,"Y","")</f>
        <v/>
      </c>
      <c r="Q150" s="4">
        <f>COUNTIF(K150:P150,"Y")</f>
        <v/>
      </c>
      <c r="R150" s="5">
        <f>IF(Q150&gt;=3,"USE","CONTEXT")</f>
        <v/>
      </c>
      <c r="S150" s="2" t="inlineStr">
        <is>
          <t>A3 Do the math</t>
        </is>
      </c>
    </row>
    <row r="151">
      <c r="A151" s="2" t="inlineStr">
        <is>
          <t>Q150</t>
        </is>
      </c>
      <c r="B151" s="3" t="inlineStr">
        <is>
          <t>Studies use 500 to 1000mg a day and standard servings fall short.</t>
        </is>
      </c>
      <c r="C151" s="4">
        <f>IF(LEN(TRIM(B151))=0,0,LEN(TRIM(B151))-LEN(SUBSTITUTE(TRIM(B151)," ",""))+1)</f>
        <v/>
      </c>
      <c r="D151" s="2" t="inlineStr">
        <is>
          <t>Renue By Science (multiple SKUs)</t>
        </is>
      </c>
      <c r="E151" s="2" t="inlineStr">
        <is>
          <t>Listing summary</t>
        </is>
      </c>
      <c r="F151" s="2" t="inlineStr">
        <is>
          <t>Paraphrase — not quotable</t>
        </is>
      </c>
      <c r="G151" s="2" t="inlineStr">
        <is>
          <t>Anger</t>
        </is>
      </c>
      <c r="H151" s="2" t="inlineStr">
        <is>
          <t>Be the person who did the research</t>
        </is>
      </c>
      <c r="I151" s="2" t="inlineStr">
        <is>
          <t>OBJECTION · Underdosed</t>
        </is>
      </c>
      <c r="J151" s="2" t="inlineStr">
        <is>
          <t>Reading the label</t>
        </is>
      </c>
      <c r="K151" s="4" t="inlineStr"/>
      <c r="L151" s="4" t="inlineStr"/>
      <c r="M151" s="4" t="inlineStr"/>
      <c r="N151" s="4" t="inlineStr"/>
      <c r="O151" s="4" t="inlineStr"/>
      <c r="P151" s="4">
        <f>IF(C151&lt;12,"Y","")</f>
        <v/>
      </c>
      <c r="Q151" s="4">
        <f>COUNTIF(K151:P151,"Y")</f>
        <v/>
      </c>
      <c r="R151" s="5">
        <f>IF(Q151&gt;=3,"USE","CONTEXT")</f>
        <v/>
      </c>
      <c r="S151" s="2" t="inlineStr">
        <is>
          <t>A4 Dose is the product</t>
        </is>
      </c>
    </row>
    <row r="152">
      <c r="A152" s="2" t="inlineStr">
        <is>
          <t>Q151</t>
        </is>
      </c>
      <c r="B152" s="3" t="inlineStr">
        <is>
          <t>Results are subtle and hard to attribute directly to the supplement.</t>
        </is>
      </c>
      <c r="C152" s="4">
        <f>IF(LEN(TRIM(B152))=0,0,LEN(TRIM(B152))-LEN(SUBSTITUTE(TRIM(B152)," ",""))+1)</f>
        <v/>
      </c>
      <c r="D152" s="2" t="inlineStr">
        <is>
          <t>Renue By Science (multiple SKUs)</t>
        </is>
      </c>
      <c r="E152" s="2" t="inlineStr">
        <is>
          <t>Listing summary</t>
        </is>
      </c>
      <c r="F152" s="2" t="inlineStr">
        <is>
          <t>Paraphrase — not quotable</t>
        </is>
      </c>
      <c r="G152" s="2" t="inlineStr">
        <is>
          <t>Hope</t>
        </is>
      </c>
      <c r="H152" s="2" t="inlineStr">
        <is>
          <t>Know whether it's working</t>
        </is>
      </c>
      <c r="I152" s="2" t="inlineStr">
        <is>
          <t>OBJECTION · No feedback loop</t>
        </is>
      </c>
      <c r="J152" s="2" t="inlineStr">
        <is>
          <t>Weeks 2–4</t>
        </is>
      </c>
      <c r="K152" s="4" t="inlineStr"/>
      <c r="L152" s="4" t="inlineStr">
        <is>
          <t>Y</t>
        </is>
      </c>
      <c r="M152" s="4" t="inlineStr"/>
      <c r="N152" s="4" t="inlineStr"/>
      <c r="O152" s="4" t="inlineStr">
        <is>
          <t>Y</t>
        </is>
      </c>
      <c r="P152" s="4">
        <f>IF(C152&lt;12,"Y","")</f>
        <v/>
      </c>
      <c r="Q152" s="4">
        <f>COUNTIF(K152:P152,"Y")</f>
        <v/>
      </c>
      <c r="R152" s="6">
        <f>IF(Q152&gt;=3,"USE","CONTEXT")</f>
        <v/>
      </c>
      <c r="S152" s="2" t="inlineStr">
        <is>
          <t>A1 You won't feel it</t>
        </is>
      </c>
    </row>
    <row r="153">
      <c r="A153" s="2" t="inlineStr">
        <is>
          <t>Q152</t>
        </is>
      </c>
      <c r="B153" s="3" t="inlineStr">
        <is>
          <t>Did nothing.</t>
        </is>
      </c>
      <c r="C153" s="4">
        <f>IF(LEN(TRIM(B153))=0,0,LEN(TRIM(B153))-LEN(SUBSTITUTE(TRIM(B153)," ",""))+1)</f>
        <v/>
      </c>
      <c r="D153" s="2" t="inlineStr">
        <is>
          <t>Renue By Science SLC Enteric NMN 250mg</t>
        </is>
      </c>
      <c r="E153" s="2" t="inlineStr">
        <is>
          <t>Listing summary</t>
        </is>
      </c>
      <c r="F153" s="2" t="inlineStr">
        <is>
          <t>Quoted fragment</t>
        </is>
      </c>
      <c r="G153" s="2" t="inlineStr">
        <is>
          <t>Anger</t>
        </is>
      </c>
      <c r="H153" s="2" t="inlineStr">
        <is>
          <t>Know whether it's working</t>
        </is>
      </c>
      <c r="I153" s="2" t="inlineStr">
        <is>
          <t>OBJECTION · Felt nothing</t>
        </is>
      </c>
      <c r="J153" s="2" t="inlineStr">
        <is>
          <t>Weeks 2–4</t>
        </is>
      </c>
      <c r="K153" s="4" t="inlineStr"/>
      <c r="L153" s="4" t="inlineStr"/>
      <c r="M153" s="4" t="inlineStr"/>
      <c r="N153" s="4" t="inlineStr"/>
      <c r="O153" s="4" t="inlineStr">
        <is>
          <t>Y</t>
        </is>
      </c>
      <c r="P153" s="4">
        <f>IF(C153&lt;12,"Y","")</f>
        <v/>
      </c>
      <c r="Q153" s="4">
        <f>COUNTIF(K153:P153,"Y")</f>
        <v/>
      </c>
      <c r="R153" s="5">
        <f>IF(Q153&gt;=3,"USE","CONTEXT")</f>
        <v/>
      </c>
      <c r="S153" s="2" t="inlineStr">
        <is>
          <t>A1 You won't feel it</t>
        </is>
      </c>
    </row>
    <row r="154">
      <c r="A154" s="2" t="inlineStr">
        <is>
          <t>Q153</t>
        </is>
      </c>
      <c r="B154" s="3" t="inlineStr">
        <is>
          <t>Can see no benefit yet.</t>
        </is>
      </c>
      <c r="C154" s="4">
        <f>IF(LEN(TRIM(B154))=0,0,LEN(TRIM(B154))-LEN(SUBSTITUTE(TRIM(B154)," ",""))+1)</f>
        <v/>
      </c>
      <c r="D154" s="2" t="inlineStr">
        <is>
          <t>Renue By Science SLC Enteric NMN 250mg</t>
        </is>
      </c>
      <c r="E154" s="2" t="inlineStr">
        <is>
          <t>Listing summary</t>
        </is>
      </c>
      <c r="F154" s="2" t="inlineStr">
        <is>
          <t>Quoted fragment</t>
        </is>
      </c>
      <c r="G154" s="2" t="inlineStr">
        <is>
          <t>Hope</t>
        </is>
      </c>
      <c r="H154" s="2" t="inlineStr">
        <is>
          <t>Know whether it's working</t>
        </is>
      </c>
      <c r="I154" s="2" t="inlineStr">
        <is>
          <t>OBJECTION · Felt nothing</t>
        </is>
      </c>
      <c r="J154" s="2" t="inlineStr">
        <is>
          <t>Weeks 2–4</t>
        </is>
      </c>
      <c r="K154" s="4" t="inlineStr"/>
      <c r="L154" s="4" t="inlineStr"/>
      <c r="M154" s="4" t="inlineStr"/>
      <c r="N154" s="4" t="inlineStr"/>
      <c r="O154" s="4" t="inlineStr">
        <is>
          <t>Y</t>
        </is>
      </c>
      <c r="P154" s="4">
        <f>IF(C154&lt;12,"Y","")</f>
        <v/>
      </c>
      <c r="Q154" s="4">
        <f>COUNTIF(K154:P154,"Y")</f>
        <v/>
      </c>
      <c r="R154" s="5">
        <f>IF(Q154&gt;=3,"USE","CONTEXT")</f>
        <v/>
      </c>
      <c r="S154" s="2" t="inlineStr">
        <is>
          <t>A1 You won't feel it</t>
        </is>
      </c>
    </row>
    <row r="155">
      <c r="A155" s="2" t="inlineStr">
        <is>
          <t>Q154</t>
        </is>
      </c>
      <c r="B155" s="3" t="inlineStr">
        <is>
          <t>The gradual, subtle effects make it hard to know if it's actually working.</t>
        </is>
      </c>
      <c r="C155" s="4">
        <f>IF(LEN(TRIM(B155))=0,0,LEN(TRIM(B155))-LEN(SUBSTITUTE(TRIM(B155)," ",""))+1)</f>
        <v/>
      </c>
      <c r="D155" s="2" t="inlineStr">
        <is>
          <t>Renue By Science SLC Enteric NMN 250mg</t>
        </is>
      </c>
      <c r="E155" s="2" t="inlineStr">
        <is>
          <t>Listing summary</t>
        </is>
      </c>
      <c r="F155" s="2" t="inlineStr">
        <is>
          <t>Paraphrase — not quotable</t>
        </is>
      </c>
      <c r="G155" s="2" t="inlineStr">
        <is>
          <t>Hope</t>
        </is>
      </c>
      <c r="H155" s="2" t="inlineStr">
        <is>
          <t>Know whether it's working</t>
        </is>
      </c>
      <c r="I155" s="2" t="inlineStr">
        <is>
          <t>OBJECTION · No feedback loop</t>
        </is>
      </c>
      <c r="J155" s="2" t="inlineStr">
        <is>
          <t>Weeks 2–4</t>
        </is>
      </c>
      <c r="K155" s="4" t="inlineStr"/>
      <c r="L155" s="4" t="inlineStr">
        <is>
          <t>Y</t>
        </is>
      </c>
      <c r="M155" s="4" t="inlineStr"/>
      <c r="N155" s="4" t="inlineStr"/>
      <c r="O155" s="4" t="inlineStr">
        <is>
          <t>Y</t>
        </is>
      </c>
      <c r="P155" s="4">
        <f>IF(C155&lt;12,"Y","")</f>
        <v/>
      </c>
      <c r="Q155" s="4">
        <f>COUNTIF(K155:P155,"Y")</f>
        <v/>
      </c>
      <c r="R155" s="5">
        <f>IF(Q155&gt;=3,"USE","CONTEXT")</f>
        <v/>
      </c>
      <c r="S155" s="2" t="inlineStr">
        <is>
          <t>A1 You won't feel it</t>
        </is>
      </c>
    </row>
    <row r="156">
      <c r="A156" s="2" t="inlineStr">
        <is>
          <t>Q155</t>
        </is>
      </c>
      <c r="B156" s="3" t="inlineStr">
        <is>
          <t>250mg per serving is not enough. I prefer 500 to 1000mg daily.</t>
        </is>
      </c>
      <c r="C156" s="4">
        <f>IF(LEN(TRIM(B156))=0,0,LEN(TRIM(B156))-LEN(SUBSTITUTE(TRIM(B156)," ",""))+1)</f>
        <v/>
      </c>
      <c r="D156" s="2" t="inlineStr">
        <is>
          <t>Renue By Science SLC Enteric NMN 250mg</t>
        </is>
      </c>
      <c r="E156" s="2" t="inlineStr">
        <is>
          <t>Listing summary</t>
        </is>
      </c>
      <c r="F156" s="2" t="inlineStr">
        <is>
          <t>Paraphrase — not quotable</t>
        </is>
      </c>
      <c r="G156" s="2" t="inlineStr">
        <is>
          <t>Anger</t>
        </is>
      </c>
      <c r="H156" s="2" t="inlineStr">
        <is>
          <t>Be the person who did the research</t>
        </is>
      </c>
      <c r="I156" s="2" t="inlineStr">
        <is>
          <t>OBJECTION · Underdosed</t>
        </is>
      </c>
      <c r="J156" s="2" t="inlineStr">
        <is>
          <t>Reading the label</t>
        </is>
      </c>
      <c r="K156" s="4" t="inlineStr"/>
      <c r="L156" s="4" t="inlineStr"/>
      <c r="M156" s="4" t="inlineStr"/>
      <c r="N156" s="4" t="inlineStr"/>
      <c r="O156" s="4" t="inlineStr"/>
      <c r="P156" s="4">
        <f>IF(C156&lt;12,"Y","")</f>
        <v/>
      </c>
      <c r="Q156" s="4">
        <f>COUNTIF(K156:P156,"Y")</f>
        <v/>
      </c>
      <c r="R156" s="5">
        <f>IF(Q156&gt;=3,"USE","CONTEXT")</f>
        <v/>
      </c>
      <c r="S156" s="2" t="inlineStr">
        <is>
          <t>A4 Dose is the product</t>
        </is>
      </c>
    </row>
    <row r="157">
      <c r="A157" s="2" t="inlineStr">
        <is>
          <t>Q156</t>
        </is>
      </c>
      <c r="B157" s="3" t="inlineStr">
        <is>
          <t>Is enteric-coated NMN actually better than regular NMN?</t>
        </is>
      </c>
      <c r="C157" s="4">
        <f>IF(LEN(TRIM(B157))=0,0,LEN(TRIM(B157))-LEN(SUBSTITUTE(TRIM(B157)," ",""))+1)</f>
        <v/>
      </c>
      <c r="D157" s="2" t="inlineStr">
        <is>
          <t>Renue By Science SLC Enteric NMN 250mg</t>
        </is>
      </c>
      <c r="E157" s="2" t="inlineStr">
        <is>
          <t>Listing summary</t>
        </is>
      </c>
      <c r="F157" s="2" t="inlineStr">
        <is>
          <t>Paraphrase — not quotable</t>
        </is>
      </c>
      <c r="G157" s="2" t="inlineStr">
        <is>
          <t>Fear</t>
        </is>
      </c>
      <c r="H157" s="2" t="inlineStr">
        <is>
          <t>Not get ripped off</t>
        </is>
      </c>
      <c r="I157" s="2" t="inlineStr">
        <is>
          <t>OBJECTION · Absorption claim</t>
        </is>
      </c>
      <c r="J157" s="2" t="inlineStr">
        <is>
          <t>Comparing brands</t>
        </is>
      </c>
      <c r="K157" s="4" t="inlineStr"/>
      <c r="L157" s="4" t="inlineStr"/>
      <c r="M157" s="4" t="inlineStr"/>
      <c r="N157" s="4" t="inlineStr"/>
      <c r="O157" s="4" t="inlineStr"/>
      <c r="P157" s="4">
        <f>IF(C157&lt;12,"Y","")</f>
        <v/>
      </c>
      <c r="Q157" s="4">
        <f>COUNTIF(K157:P157,"Y")</f>
        <v/>
      </c>
      <c r="R157" s="5">
        <f>IF(Q157&gt;=3,"USE","CONTEXT")</f>
        <v/>
      </c>
      <c r="S157" s="2" t="inlineStr">
        <is>
          <t>A4 Dose is the product</t>
        </is>
      </c>
    </row>
    <row r="158">
      <c r="A158" s="2" t="inlineStr">
        <is>
          <t>Q157</t>
        </is>
      </c>
      <c r="B158" s="3" t="inlineStr">
        <is>
          <t>I got it via Vine and wouldn't have purchased it at $25.95.</t>
        </is>
      </c>
      <c r="C158" s="4">
        <f>IF(LEN(TRIM(B158))=0,0,LEN(TRIM(B158))-LEN(SUBSTITUTE(TRIM(B158)," ",""))+1)</f>
        <v/>
      </c>
      <c r="D158" s="2" t="inlineStr">
        <is>
          <t>Renue By Science SLC Enteric NMN 250mg</t>
        </is>
      </c>
      <c r="E158" s="2" t="inlineStr">
        <is>
          <t>Listing summary</t>
        </is>
      </c>
      <c r="F158" s="2" t="inlineStr">
        <is>
          <t>Paraphrase — not quotable</t>
        </is>
      </c>
      <c r="G158" s="2" t="inlineStr">
        <is>
          <t>Shame</t>
        </is>
      </c>
      <c r="H158" s="2" t="inlineStr">
        <is>
          <t>Justify the ongoing spend</t>
        </is>
      </c>
      <c r="I158" s="2" t="inlineStr">
        <is>
          <t>OBJECTION · Cost per day</t>
        </is>
      </c>
      <c r="J158" s="2" t="inlineStr">
        <is>
          <t>Reorder decision</t>
        </is>
      </c>
      <c r="K158" s="4" t="inlineStr"/>
      <c r="L158" s="4" t="inlineStr"/>
      <c r="M158" s="4" t="inlineStr"/>
      <c r="N158" s="4" t="inlineStr">
        <is>
          <t>Y</t>
        </is>
      </c>
      <c r="O158" s="4" t="inlineStr">
        <is>
          <t>Y</t>
        </is>
      </c>
      <c r="P158" s="4">
        <f>IF(C158&lt;12,"Y","")</f>
        <v/>
      </c>
      <c r="Q158" s="4">
        <f>COUNTIF(K158:P158,"Y")</f>
        <v/>
      </c>
      <c r="R158" s="5">
        <f>IF(Q158&gt;=3,"USE","CONTEXT")</f>
        <v/>
      </c>
      <c r="S158" s="2" t="inlineStr">
        <is>
          <t>A3 Do the math</t>
        </is>
      </c>
    </row>
    <row r="159">
      <c r="A159" s="2" t="inlineStr">
        <is>
          <t>Q158</t>
        </is>
      </c>
      <c r="B159" s="3" t="inlineStr">
        <is>
          <t>At 56 cents a capsule it's far pricier than competitors at 33 to 37 cents.</t>
        </is>
      </c>
      <c r="C159" s="4">
        <f>IF(LEN(TRIM(B159))=0,0,LEN(TRIM(B159))-LEN(SUBSTITUTE(TRIM(B159)," ",""))+1)</f>
        <v/>
      </c>
      <c r="D159" s="2" t="inlineStr">
        <is>
          <t>Renue By Science Liposomal Spermidine</t>
        </is>
      </c>
      <c r="E159" s="2" t="inlineStr">
        <is>
          <t>Listing summary</t>
        </is>
      </c>
      <c r="F159" s="2" t="inlineStr">
        <is>
          <t>Paraphrase — not quotable</t>
        </is>
      </c>
      <c r="G159" s="2" t="inlineStr">
        <is>
          <t>Anger</t>
        </is>
      </c>
      <c r="H159" s="2" t="inlineStr">
        <is>
          <t>Justify the ongoing spend</t>
        </is>
      </c>
      <c r="I159" s="2" t="inlineStr">
        <is>
          <t>OBJECTION · Cost per day</t>
        </is>
      </c>
      <c r="J159" s="2" t="inlineStr">
        <is>
          <t>Doing the price math</t>
        </is>
      </c>
      <c r="K159" s="4" t="inlineStr"/>
      <c r="L159" s="4" t="inlineStr"/>
      <c r="M159" s="4" t="inlineStr"/>
      <c r="N159" s="4" t="inlineStr"/>
      <c r="O159" s="4" t="inlineStr">
        <is>
          <t>Y</t>
        </is>
      </c>
      <c r="P159" s="4">
        <f>IF(C159&lt;12,"Y","")</f>
        <v/>
      </c>
      <c r="Q159" s="4">
        <f>COUNTIF(K159:P159,"Y")</f>
        <v/>
      </c>
      <c r="R159" s="5">
        <f>IF(Q159&gt;=3,"USE","CONTEXT")</f>
        <v/>
      </c>
      <c r="S159" s="2" t="inlineStr">
        <is>
          <t>A3 Do the math</t>
        </is>
      </c>
    </row>
    <row r="160">
      <c r="A160" s="2" t="inlineStr">
        <is>
          <t>Q159</t>
        </is>
      </c>
      <c r="B160" s="3" t="inlineStr">
        <is>
          <t>Spermidine is naturally water-soluble and doesn't need liposomal encapsulation.</t>
        </is>
      </c>
      <c r="C160" s="4">
        <f>IF(LEN(TRIM(B160))=0,0,LEN(TRIM(B160))-LEN(SUBSTITUTE(TRIM(B160)," ",""))+1)</f>
        <v/>
      </c>
      <c r="D160" s="2" t="inlineStr">
        <is>
          <t>Renue By Science Liposomal Spermidine</t>
        </is>
      </c>
      <c r="E160" s="2" t="inlineStr">
        <is>
          <t>Listing summary</t>
        </is>
      </c>
      <c r="F160" s="2" t="inlineStr">
        <is>
          <t>Paraphrase — not quotable</t>
        </is>
      </c>
      <c r="G160" s="2" t="inlineStr">
        <is>
          <t>Anger</t>
        </is>
      </c>
      <c r="H160" s="2" t="inlineStr">
        <is>
          <t>Not get ripped off</t>
        </is>
      </c>
      <c r="I160" s="2" t="inlineStr">
        <is>
          <t>OBJECTION · Absorption claim</t>
        </is>
      </c>
      <c r="J160" s="2" t="inlineStr">
        <is>
          <t>Comparing brands</t>
        </is>
      </c>
      <c r="K160" s="4" t="inlineStr"/>
      <c r="L160" s="4" t="inlineStr"/>
      <c r="M160" s="4" t="inlineStr"/>
      <c r="N160" s="4" t="inlineStr"/>
      <c r="O160" s="4" t="inlineStr"/>
      <c r="P160" s="4">
        <f>IF(C160&lt;12,"Y","")</f>
        <v/>
      </c>
      <c r="Q160" s="4">
        <f>COUNTIF(K160:P160,"Y")</f>
        <v/>
      </c>
      <c r="R160" s="5">
        <f>IF(Q160&gt;=3,"USE","CONTEXT")</f>
        <v/>
      </c>
      <c r="S160" s="2" t="inlineStr">
        <is>
          <t>A4 Dose is the product</t>
        </is>
      </c>
    </row>
    <row r="161">
      <c r="A161" s="2" t="inlineStr">
        <is>
          <t>Q160</t>
        </is>
      </c>
      <c r="B161" s="3" t="inlineStr">
        <is>
          <t>Research shows 87 to 96% is already absorbed without liposomal delivery.</t>
        </is>
      </c>
      <c r="C161" s="4">
        <f>IF(LEN(TRIM(B161))=0,0,LEN(TRIM(B161))-LEN(SUBSTITUTE(TRIM(B161)," ",""))+1)</f>
        <v/>
      </c>
      <c r="D161" s="2" t="inlineStr">
        <is>
          <t>Renue By Science Liposomal Spermidine</t>
        </is>
      </c>
      <c r="E161" s="2" t="inlineStr">
        <is>
          <t>Listing summary</t>
        </is>
      </c>
      <c r="F161" s="2" t="inlineStr">
        <is>
          <t>Paraphrase — not quotable</t>
        </is>
      </c>
      <c r="G161" s="2" t="inlineStr">
        <is>
          <t>Anger</t>
        </is>
      </c>
      <c r="H161" s="2" t="inlineStr">
        <is>
          <t>Be the person who did the research</t>
        </is>
      </c>
      <c r="I161" s="2" t="inlineStr">
        <is>
          <t>OBJECTION · Absorption claim</t>
        </is>
      </c>
      <c r="J161" s="2" t="inlineStr">
        <is>
          <t>Comparing brands</t>
        </is>
      </c>
      <c r="K161" s="4" t="inlineStr"/>
      <c r="L161" s="4" t="inlineStr"/>
      <c r="M161" s="4" t="inlineStr"/>
      <c r="N161" s="4" t="inlineStr"/>
      <c r="O161" s="4" t="inlineStr"/>
      <c r="P161" s="4">
        <f>IF(C161&lt;12,"Y","")</f>
        <v/>
      </c>
      <c r="Q161" s="4">
        <f>COUNTIF(K161:P161,"Y")</f>
        <v/>
      </c>
      <c r="R161" s="5">
        <f>IF(Q161&gt;=3,"USE","CONTEXT")</f>
        <v/>
      </c>
      <c r="S161" s="2" t="inlineStr">
        <is>
          <t>A4 Dose is the product</t>
        </is>
      </c>
    </row>
    <row r="162">
      <c r="A162" s="2" t="inlineStr">
        <is>
          <t>Q161</t>
        </is>
      </c>
      <c r="B162" s="3" t="inlineStr">
        <is>
          <t>I'm not sure how much it is helping me.</t>
        </is>
      </c>
      <c r="C162" s="4">
        <f>IF(LEN(TRIM(B162))=0,0,LEN(TRIM(B162))-LEN(SUBSTITUTE(TRIM(B162)," ",""))+1)</f>
        <v/>
      </c>
      <c r="D162" s="2" t="inlineStr">
        <is>
          <t>Renue By Science Liposomal Spermidine</t>
        </is>
      </c>
      <c r="E162" s="2" t="inlineStr">
        <is>
          <t>Listing summary</t>
        </is>
      </c>
      <c r="F162" s="2" t="inlineStr">
        <is>
          <t>Quoted fragment</t>
        </is>
      </c>
      <c r="G162" s="2" t="inlineStr">
        <is>
          <t>Hope</t>
        </is>
      </c>
      <c r="H162" s="2" t="inlineStr">
        <is>
          <t>Know whether it's working</t>
        </is>
      </c>
      <c r="I162" s="2" t="inlineStr">
        <is>
          <t>OBJECTION · No feedback loop</t>
        </is>
      </c>
      <c r="J162" s="2" t="inlineStr">
        <is>
          <t>Weeks 2–4</t>
        </is>
      </c>
      <c r="K162" s="4" t="inlineStr"/>
      <c r="L162" s="4" t="inlineStr"/>
      <c r="M162" s="4" t="inlineStr"/>
      <c r="N162" s="4" t="inlineStr">
        <is>
          <t>Y</t>
        </is>
      </c>
      <c r="O162" s="4" t="inlineStr">
        <is>
          <t>Y</t>
        </is>
      </c>
      <c r="P162" s="4">
        <f>IF(C162&lt;12,"Y","")</f>
        <v/>
      </c>
      <c r="Q162" s="4">
        <f>COUNTIF(K162:P162,"Y")</f>
        <v/>
      </c>
      <c r="R162" s="6">
        <f>IF(Q162&gt;=3,"USE","CONTEXT")</f>
        <v/>
      </c>
      <c r="S162" s="2" t="inlineStr">
        <is>
          <t>A1 You won't feel it</t>
        </is>
      </c>
    </row>
    <row r="163">
      <c r="A163" s="2" t="inlineStr">
        <is>
          <t>Q162</t>
        </is>
      </c>
      <c r="B163" s="3" t="inlineStr">
        <is>
          <t>Long air pockets under the label on the bottle.</t>
        </is>
      </c>
      <c r="C163" s="4">
        <f>IF(LEN(TRIM(B163))=0,0,LEN(TRIM(B163))-LEN(SUBSTITUTE(TRIM(B163)," ",""))+1)</f>
        <v/>
      </c>
      <c r="D163" s="2" t="inlineStr">
        <is>
          <t>Renue By Science Liposomal Spermidine</t>
        </is>
      </c>
      <c r="E163" s="2" t="inlineStr">
        <is>
          <t>Listing summary</t>
        </is>
      </c>
      <c r="F163" s="2" t="inlineStr">
        <is>
          <t>Paraphrase — not quotable</t>
        </is>
      </c>
      <c r="G163" s="2" t="inlineStr">
        <is>
          <t>Fear</t>
        </is>
      </c>
      <c r="H163" s="2" t="inlineStr">
        <is>
          <t>Verify it's real and safe</t>
        </is>
      </c>
      <c r="I163" s="2" t="inlineStr">
        <is>
          <t>OBJECTION · Physical quality</t>
        </is>
      </c>
      <c r="J163" s="2" t="inlineStr">
        <is>
          <t>Unboxing / first inspection</t>
        </is>
      </c>
      <c r="K163" s="4" t="inlineStr"/>
      <c r="L163" s="4" t="inlineStr">
        <is>
          <t>Y</t>
        </is>
      </c>
      <c r="M163" s="4" t="inlineStr"/>
      <c r="N163" s="4" t="inlineStr"/>
      <c r="O163" s="4" t="inlineStr">
        <is>
          <t>Y</t>
        </is>
      </c>
      <c r="P163" s="4">
        <f>IF(C163&lt;12,"Y","")</f>
        <v/>
      </c>
      <c r="Q163" s="4">
        <f>COUNTIF(K163:P163,"Y")</f>
        <v/>
      </c>
      <c r="R163" s="6">
        <f>IF(Q163&gt;=3,"USE","CONTEXT")</f>
        <v/>
      </c>
      <c r="S163" s="2" t="inlineStr">
        <is>
          <t>A2 The receipt</t>
        </is>
      </c>
    </row>
    <row r="164">
      <c r="A164" s="2" t="inlineStr">
        <is>
          <t>Q163</t>
        </is>
      </c>
      <c r="B164" s="3" t="inlineStr">
        <is>
          <t>The bottle arrived with a broken seal and open cap.</t>
        </is>
      </c>
      <c r="C164" s="4">
        <f>IF(LEN(TRIM(B164))=0,0,LEN(TRIM(B164))-LEN(SUBSTITUTE(TRIM(B164)," ",""))+1)</f>
        <v/>
      </c>
      <c r="D164" s="2" t="inlineStr">
        <is>
          <t>Renue By Science Liposomal Spermidine</t>
        </is>
      </c>
      <c r="E164" s="2" t="inlineStr">
        <is>
          <t>Listing summary</t>
        </is>
      </c>
      <c r="F164" s="2" t="inlineStr">
        <is>
          <t>Paraphrase — not quotable</t>
        </is>
      </c>
      <c r="G164" s="2" t="inlineStr">
        <is>
          <t>Fear</t>
        </is>
      </c>
      <c r="H164" s="2" t="inlineStr">
        <is>
          <t>Verify it's real and safe</t>
        </is>
      </c>
      <c r="I164" s="2" t="inlineStr">
        <is>
          <t>OBJECTION · Physical quality</t>
        </is>
      </c>
      <c r="J164" s="2" t="inlineStr">
        <is>
          <t>Unboxing / first inspection</t>
        </is>
      </c>
      <c r="K164" s="4" t="inlineStr"/>
      <c r="L164" s="4" t="inlineStr">
        <is>
          <t>Y</t>
        </is>
      </c>
      <c r="M164" s="4" t="inlineStr"/>
      <c r="N164" s="4" t="inlineStr"/>
      <c r="O164" s="4" t="inlineStr">
        <is>
          <t>Y</t>
        </is>
      </c>
      <c r="P164" s="4">
        <f>IF(C164&lt;12,"Y","")</f>
        <v/>
      </c>
      <c r="Q164" s="4">
        <f>COUNTIF(K164:P164,"Y")</f>
        <v/>
      </c>
      <c r="R164" s="6">
        <f>IF(Q164&gt;=3,"USE","CONTEXT")</f>
        <v/>
      </c>
      <c r="S164" s="2" t="inlineStr">
        <is>
          <t>A2 The receipt</t>
        </is>
      </c>
    </row>
    <row r="165">
      <c r="A165" s="2" t="inlineStr">
        <is>
          <t>Q164</t>
        </is>
      </c>
      <c r="B165" s="3" t="inlineStr">
        <is>
          <t>Chewing them is a no go for me.</t>
        </is>
      </c>
      <c r="C165" s="4">
        <f>IF(LEN(TRIM(B165))=0,0,LEN(TRIM(B165))-LEN(SUBSTITUTE(TRIM(B165)," ",""))+1)</f>
        <v/>
      </c>
      <c r="D165" s="2" t="inlineStr">
        <is>
          <t>Renue By Science NMN Chewables 125mg</t>
        </is>
      </c>
      <c r="E165" s="2" t="inlineStr">
        <is>
          <t>Listing summary</t>
        </is>
      </c>
      <c r="F165" s="2" t="inlineStr">
        <is>
          <t>Quoted fragment</t>
        </is>
      </c>
      <c r="G165" s="2" t="inlineStr">
        <is>
          <t>Anger</t>
        </is>
      </c>
      <c r="H165" s="2" t="inlineStr">
        <is>
          <t>Protect a sensitive body</t>
        </is>
      </c>
      <c r="I165" s="2" t="inlineStr">
        <is>
          <t>OBJECTION · Taste</t>
        </is>
      </c>
      <c r="J165" s="2" t="inlineStr">
        <is>
          <t>First dose</t>
        </is>
      </c>
      <c r="K165" s="4" t="inlineStr"/>
      <c r="L165" s="4" t="inlineStr">
        <is>
          <t>Y</t>
        </is>
      </c>
      <c r="M165" s="4" t="inlineStr"/>
      <c r="N165" s="4" t="inlineStr"/>
      <c r="O165" s="4" t="inlineStr">
        <is>
          <t>Y</t>
        </is>
      </c>
      <c r="P165" s="4">
        <f>IF(C165&lt;12,"Y","")</f>
        <v/>
      </c>
      <c r="Q165" s="4">
        <f>COUNTIF(K165:P165,"Y")</f>
        <v/>
      </c>
      <c r="R165" s="6">
        <f>IF(Q165&gt;=3,"USE","CONTEXT")</f>
        <v/>
      </c>
      <c r="S165" s="2" t="inlineStr">
        <is>
          <t>A5 Gentle start</t>
        </is>
      </c>
    </row>
    <row r="166">
      <c r="A166" s="2" t="inlineStr">
        <is>
          <t>Q165</t>
        </is>
      </c>
      <c r="B166" s="3" t="inlineStr">
        <is>
          <t>The lemon taste is offset by some other underlying taste.</t>
        </is>
      </c>
      <c r="C166" s="4">
        <f>IF(LEN(TRIM(B166))=0,0,LEN(TRIM(B166))-LEN(SUBSTITUTE(TRIM(B166)," ",""))+1)</f>
        <v/>
      </c>
      <c r="D166" s="2" t="inlineStr">
        <is>
          <t>Renue By Science NMN Chewables 125mg</t>
        </is>
      </c>
      <c r="E166" s="2" t="inlineStr">
        <is>
          <t>Listing summary</t>
        </is>
      </c>
      <c r="F166" s="2" t="inlineStr">
        <is>
          <t>Quoted fragment</t>
        </is>
      </c>
      <c r="G166" s="2" t="inlineStr">
        <is>
          <t>Anger</t>
        </is>
      </c>
      <c r="H166" s="2" t="inlineStr">
        <is>
          <t>Protect a sensitive body</t>
        </is>
      </c>
      <c r="I166" s="2" t="inlineStr">
        <is>
          <t>OBJECTION · Taste</t>
        </is>
      </c>
      <c r="J166" s="2" t="inlineStr">
        <is>
          <t>First dose</t>
        </is>
      </c>
      <c r="K166" s="4" t="inlineStr"/>
      <c r="L166" s="4" t="inlineStr">
        <is>
          <t>Y</t>
        </is>
      </c>
      <c r="M166" s="4" t="inlineStr"/>
      <c r="N166" s="4" t="inlineStr"/>
      <c r="O166" s="4" t="inlineStr">
        <is>
          <t>Y</t>
        </is>
      </c>
      <c r="P166" s="4">
        <f>IF(C166&lt;12,"Y","")</f>
        <v/>
      </c>
      <c r="Q166" s="4">
        <f>COUNTIF(K166:P166,"Y")</f>
        <v/>
      </c>
      <c r="R166" s="6">
        <f>IF(Q166&gt;=3,"USE","CONTEXT")</f>
        <v/>
      </c>
      <c r="S166" s="2" t="inlineStr">
        <is>
          <t>A5 Gentle start</t>
        </is>
      </c>
    </row>
    <row r="167">
      <c r="A167" s="2" t="inlineStr">
        <is>
          <t>Q166</t>
        </is>
      </c>
      <c r="B167" s="3" t="inlineStr">
        <is>
          <t>I have to take around 5 of these to get my typical daily dose.</t>
        </is>
      </c>
      <c r="C167" s="4">
        <f>IF(LEN(TRIM(B167))=0,0,LEN(TRIM(B167))-LEN(SUBSTITUTE(TRIM(B167)," ",""))+1)</f>
        <v/>
      </c>
      <c r="D167" s="2" t="inlineStr">
        <is>
          <t>Renue By Science NMN Chewables 125mg</t>
        </is>
      </c>
      <c r="E167" s="2" t="inlineStr">
        <is>
          <t>Listing summary</t>
        </is>
      </c>
      <c r="F167" s="2" t="inlineStr">
        <is>
          <t>Quoted fragment</t>
        </is>
      </c>
      <c r="G167" s="2" t="inlineStr">
        <is>
          <t>Anger</t>
        </is>
      </c>
      <c r="H167" s="2" t="inlineStr">
        <is>
          <t>Simplify my routine</t>
        </is>
      </c>
      <c r="I167" s="2" t="inlineStr">
        <is>
          <t>OBJECTION · Underdosed</t>
        </is>
      </c>
      <c r="J167" s="2" t="inlineStr">
        <is>
          <t>Reading the label</t>
        </is>
      </c>
      <c r="K167" s="4" t="inlineStr"/>
      <c r="L167" s="4" t="inlineStr"/>
      <c r="M167" s="4" t="inlineStr"/>
      <c r="N167" s="4" t="inlineStr"/>
      <c r="O167" s="4" t="inlineStr">
        <is>
          <t>Y</t>
        </is>
      </c>
      <c r="P167" s="4">
        <f>IF(C167&lt;12,"Y","")</f>
        <v/>
      </c>
      <c r="Q167" s="4">
        <f>COUNTIF(K167:P167,"Y")</f>
        <v/>
      </c>
      <c r="R167" s="5">
        <f>IF(Q167&gt;=3,"USE","CONTEXT")</f>
        <v/>
      </c>
      <c r="S167" s="2" t="inlineStr">
        <is>
          <t>A4 Dose is the product</t>
        </is>
      </c>
    </row>
    <row r="168">
      <c r="A168" s="2" t="inlineStr">
        <is>
          <t>Q167</t>
        </is>
      </c>
      <c r="B168" s="3" t="inlineStr">
        <is>
          <t>Amazon's sticker was placed directly over the bottle label.</t>
        </is>
      </c>
      <c r="C168" s="4">
        <f>IF(LEN(TRIM(B168))=0,0,LEN(TRIM(B168))-LEN(SUBSTITUTE(TRIM(B168)," ",""))+1)</f>
        <v/>
      </c>
      <c r="D168" s="2" t="inlineStr">
        <is>
          <t>Renue By Science NMN Chewables 125mg</t>
        </is>
      </c>
      <c r="E168" s="2" t="inlineStr">
        <is>
          <t>Listing summary</t>
        </is>
      </c>
      <c r="F168" s="2" t="inlineStr">
        <is>
          <t>Paraphrase — not quotable</t>
        </is>
      </c>
      <c r="G168" s="2" t="inlineStr">
        <is>
          <t>Anger</t>
        </is>
      </c>
      <c r="H168" s="2" t="inlineStr">
        <is>
          <t>Verify it's real and safe</t>
        </is>
      </c>
      <c r="I168" s="2" t="inlineStr">
        <is>
          <t>OBJECTION · Physical quality</t>
        </is>
      </c>
      <c r="J168" s="2" t="inlineStr">
        <is>
          <t>Unboxing / first inspection</t>
        </is>
      </c>
      <c r="K168" s="4" t="inlineStr"/>
      <c r="L168" s="4" t="inlineStr"/>
      <c r="M168" s="4" t="inlineStr"/>
      <c r="N168" s="4" t="inlineStr"/>
      <c r="O168" s="4" t="inlineStr">
        <is>
          <t>Y</t>
        </is>
      </c>
      <c r="P168" s="4">
        <f>IF(C168&lt;12,"Y","")</f>
        <v/>
      </c>
      <c r="Q168" s="4">
        <f>COUNTIF(K168:P168,"Y")</f>
        <v/>
      </c>
      <c r="R168" s="5">
        <f>IF(Q168&gt;=3,"USE","CONTEXT")</f>
        <v/>
      </c>
      <c r="S168" s="2" t="inlineStr">
        <is>
          <t>A2 The receipt</t>
        </is>
      </c>
    </row>
    <row r="169">
      <c r="A169" s="2" t="inlineStr">
        <is>
          <t>Q168</t>
        </is>
      </c>
      <c r="B169" s="3" t="inlineStr">
        <is>
          <t>The product page shows a flip-top lid but the bottle has a regular lid.</t>
        </is>
      </c>
      <c r="C169" s="4">
        <f>IF(LEN(TRIM(B169))=0,0,LEN(TRIM(B169))-LEN(SUBSTITUTE(TRIM(B169)," ",""))+1)</f>
        <v/>
      </c>
      <c r="D169" s="2" t="inlineStr">
        <is>
          <t>Renue By Science NMN Chewables 125mg</t>
        </is>
      </c>
      <c r="E169" s="2" t="inlineStr">
        <is>
          <t>Listing summary</t>
        </is>
      </c>
      <c r="F169" s="2" t="inlineStr">
        <is>
          <t>Paraphrase — not quotable</t>
        </is>
      </c>
      <c r="G169" s="2" t="inlineStr">
        <is>
          <t>Fear</t>
        </is>
      </c>
      <c r="H169" s="2" t="inlineStr">
        <is>
          <t>Not get ripped off</t>
        </is>
      </c>
      <c r="I169" s="2" t="inlineStr">
        <is>
          <t>OBJECTION · Claim vs reality</t>
        </is>
      </c>
      <c r="J169" s="2" t="inlineStr">
        <is>
          <t>Unboxing / first inspection</t>
        </is>
      </c>
      <c r="K169" s="4" t="inlineStr"/>
      <c r="L169" s="4" t="inlineStr"/>
      <c r="M169" s="4" t="inlineStr"/>
      <c r="N169" s="4" t="inlineStr"/>
      <c r="O169" s="4" t="inlineStr">
        <is>
          <t>Y</t>
        </is>
      </c>
      <c r="P169" s="4">
        <f>IF(C169&lt;12,"Y","")</f>
        <v/>
      </c>
      <c r="Q169" s="4">
        <f>COUNTIF(K169:P169,"Y")</f>
        <v/>
      </c>
      <c r="R169" s="5">
        <f>IF(Q169&gt;=3,"USE","CONTEXT")</f>
        <v/>
      </c>
      <c r="S169" s="2" t="inlineStr">
        <is>
          <t>A2 The receipt</t>
        </is>
      </c>
    </row>
    <row r="170">
      <c r="A170" s="2" t="inlineStr">
        <is>
          <t>Q169</t>
        </is>
      </c>
      <c r="B170" s="3" t="inlineStr">
        <is>
          <t>No expiration date on the bottle. I warned others not to buy.</t>
        </is>
      </c>
      <c r="C170" s="4">
        <f>IF(LEN(TRIM(B170))=0,0,LEN(TRIM(B170))-LEN(SUBSTITUTE(TRIM(B170)," ",""))+1)</f>
        <v/>
      </c>
      <c r="D170" s="2" t="inlineStr">
        <is>
          <t>Renue By Science NMN Chewables 125mg</t>
        </is>
      </c>
      <c r="E170" s="2" t="inlineStr">
        <is>
          <t>Listing summary</t>
        </is>
      </c>
      <c r="F170" s="2" t="inlineStr">
        <is>
          <t>Paraphrase — not quotable</t>
        </is>
      </c>
      <c r="G170" s="2" t="inlineStr">
        <is>
          <t>Anger</t>
        </is>
      </c>
      <c r="H170" s="2" t="inlineStr">
        <is>
          <t>Verify it's real and safe</t>
        </is>
      </c>
      <c r="I170" s="2" t="inlineStr">
        <is>
          <t>OBJECTION · No expiry</t>
        </is>
      </c>
      <c r="J170" s="2" t="inlineStr">
        <is>
          <t>Warning others</t>
        </is>
      </c>
      <c r="K170" s="4" t="inlineStr"/>
      <c r="L170" s="4" t="inlineStr"/>
      <c r="M170" s="4" t="inlineStr"/>
      <c r="N170" s="4" t="inlineStr"/>
      <c r="O170" s="4" t="inlineStr">
        <is>
          <t>Y</t>
        </is>
      </c>
      <c r="P170" s="4">
        <f>IF(C170&lt;12,"Y","")</f>
        <v/>
      </c>
      <c r="Q170" s="4">
        <f>COUNTIF(K170:P170,"Y")</f>
        <v/>
      </c>
      <c r="R170" s="5">
        <f>IF(Q170&gt;=3,"USE","CONTEXT")</f>
        <v/>
      </c>
      <c r="S170" s="2" t="inlineStr">
        <is>
          <t>A2 The receipt</t>
        </is>
      </c>
    </row>
    <row r="171">
      <c r="A171" s="2" t="inlineStr">
        <is>
          <t>Q170</t>
        </is>
      </c>
      <c r="B171" s="3" t="inlineStr">
        <is>
          <t>Quercetin at only 77mg when studies typically use 500mg a day.</t>
        </is>
      </c>
      <c r="C171" s="4">
        <f>IF(LEN(TRIM(B171))=0,0,LEN(TRIM(B171))-LEN(SUBSTITUTE(TRIM(B171)," ",""))+1)</f>
        <v/>
      </c>
      <c r="D171" s="2" t="inlineStr">
        <is>
          <t>Renue By Science Senolytique</t>
        </is>
      </c>
      <c r="E171" s="2" t="inlineStr">
        <is>
          <t>Listing summary</t>
        </is>
      </c>
      <c r="F171" s="2" t="inlineStr">
        <is>
          <t>Paraphrase — not quotable</t>
        </is>
      </c>
      <c r="G171" s="2" t="inlineStr">
        <is>
          <t>Anger</t>
        </is>
      </c>
      <c r="H171" s="2" t="inlineStr">
        <is>
          <t>Be the person who did the research</t>
        </is>
      </c>
      <c r="I171" s="2" t="inlineStr">
        <is>
          <t>OBJECTION · Underdosed</t>
        </is>
      </c>
      <c r="J171" s="2" t="inlineStr">
        <is>
          <t>Reading the label</t>
        </is>
      </c>
      <c r="K171" s="4" t="inlineStr"/>
      <c r="L171" s="4" t="inlineStr"/>
      <c r="M171" s="4" t="inlineStr"/>
      <c r="N171" s="4" t="inlineStr"/>
      <c r="O171" s="4" t="inlineStr"/>
      <c r="P171" s="4">
        <f>IF(C171&lt;12,"Y","")</f>
        <v/>
      </c>
      <c r="Q171" s="4">
        <f>COUNTIF(K171:P171,"Y")</f>
        <v/>
      </c>
      <c r="R171" s="5">
        <f>IF(Q171&gt;=3,"USE","CONTEXT")</f>
        <v/>
      </c>
      <c r="S171" s="2" t="inlineStr">
        <is>
          <t>A4 Dose is the product</t>
        </is>
      </c>
    </row>
    <row r="172">
      <c r="A172" s="2" t="inlineStr">
        <is>
          <t>Q171</t>
        </is>
      </c>
      <c r="B172" s="3" t="inlineStr">
        <is>
          <t>Fisetin at only 35mg when the recommended range is 100 to 500mg.</t>
        </is>
      </c>
      <c r="C172" s="4">
        <f>IF(LEN(TRIM(B172))=0,0,LEN(TRIM(B172))-LEN(SUBSTITUTE(TRIM(B172)," ",""))+1)</f>
        <v/>
      </c>
      <c r="D172" s="2" t="inlineStr">
        <is>
          <t>Renue By Science Senolytique</t>
        </is>
      </c>
      <c r="E172" s="2" t="inlineStr">
        <is>
          <t>Listing summary</t>
        </is>
      </c>
      <c r="F172" s="2" t="inlineStr">
        <is>
          <t>Paraphrase — not quotable</t>
        </is>
      </c>
      <c r="G172" s="2" t="inlineStr">
        <is>
          <t>Anger</t>
        </is>
      </c>
      <c r="H172" s="2" t="inlineStr">
        <is>
          <t>Be the person who did the research</t>
        </is>
      </c>
      <c r="I172" s="2" t="inlineStr">
        <is>
          <t>OBJECTION · Underdosed</t>
        </is>
      </c>
      <c r="J172" s="2" t="inlineStr">
        <is>
          <t>Reading the label</t>
        </is>
      </c>
      <c r="K172" s="4" t="inlineStr"/>
      <c r="L172" s="4" t="inlineStr"/>
      <c r="M172" s="4" t="inlineStr"/>
      <c r="N172" s="4" t="inlineStr"/>
      <c r="O172" s="4" t="inlineStr"/>
      <c r="P172" s="4">
        <f>IF(C172&lt;12,"Y","")</f>
        <v/>
      </c>
      <c r="Q172" s="4">
        <f>COUNTIF(K172:P172,"Y")</f>
        <v/>
      </c>
      <c r="R172" s="5">
        <f>IF(Q172&gt;=3,"USE","CONTEXT")</f>
        <v/>
      </c>
      <c r="S172" s="2" t="inlineStr">
        <is>
          <t>A4 Dose is the product</t>
        </is>
      </c>
    </row>
    <row r="173">
      <c r="A173" s="2" t="inlineStr">
        <is>
          <t>Q172</t>
        </is>
      </c>
      <c r="B173" s="3" t="inlineStr">
        <is>
          <t>Are these micro-doses actually effective?</t>
        </is>
      </c>
      <c r="C173" s="4">
        <f>IF(LEN(TRIM(B173))=0,0,LEN(TRIM(B173))-LEN(SUBSTITUTE(TRIM(B173)," ",""))+1)</f>
        <v/>
      </c>
      <c r="D173" s="2" t="inlineStr">
        <is>
          <t>Renue By Science Senolytique</t>
        </is>
      </c>
      <c r="E173" s="2" t="inlineStr">
        <is>
          <t>Listing summary</t>
        </is>
      </c>
      <c r="F173" s="2" t="inlineStr">
        <is>
          <t>Paraphrase — not quotable</t>
        </is>
      </c>
      <c r="G173" s="2" t="inlineStr">
        <is>
          <t>Fear</t>
        </is>
      </c>
      <c r="H173" s="2" t="inlineStr">
        <is>
          <t>Not get ripped off</t>
        </is>
      </c>
      <c r="I173" s="2" t="inlineStr">
        <is>
          <t>OBJECTION · Underdosed</t>
        </is>
      </c>
      <c r="J173" s="2" t="inlineStr">
        <is>
          <t>Reading the label</t>
        </is>
      </c>
      <c r="K173" s="4" t="inlineStr"/>
      <c r="L173" s="4" t="inlineStr"/>
      <c r="M173" s="4" t="inlineStr"/>
      <c r="N173" s="4" t="inlineStr"/>
      <c r="O173" s="4" t="inlineStr">
        <is>
          <t>Y</t>
        </is>
      </c>
      <c r="P173" s="4">
        <f>IF(C173&lt;12,"Y","")</f>
        <v/>
      </c>
      <c r="Q173" s="4">
        <f>COUNTIF(K173:P173,"Y")</f>
        <v/>
      </c>
      <c r="R173" s="5">
        <f>IF(Q173&gt;=3,"USE","CONTEXT")</f>
        <v/>
      </c>
      <c r="S173" s="2" t="inlineStr">
        <is>
          <t>A4 Dose is the product</t>
        </is>
      </c>
    </row>
    <row r="174">
      <c r="A174" s="2" t="inlineStr">
        <is>
          <t>Q173</t>
        </is>
      </c>
      <c r="B174" s="3" t="inlineStr">
        <is>
          <t>No perceptible benefit after 10 or more days of use.</t>
        </is>
      </c>
      <c r="C174" s="4">
        <f>IF(LEN(TRIM(B174))=0,0,LEN(TRIM(B174))-LEN(SUBSTITUTE(TRIM(B174)," ",""))+1)</f>
        <v/>
      </c>
      <c r="D174" s="2" t="inlineStr">
        <is>
          <t>Renue By Science Senolytique</t>
        </is>
      </c>
      <c r="E174" s="2" t="inlineStr">
        <is>
          <t>Listing summary</t>
        </is>
      </c>
      <c r="F174" s="2" t="inlineStr">
        <is>
          <t>Paraphrase — not quotable</t>
        </is>
      </c>
      <c r="G174" s="2" t="inlineStr">
        <is>
          <t>Grief</t>
        </is>
      </c>
      <c r="H174" s="2" t="inlineStr">
        <is>
          <t>Know whether it's working</t>
        </is>
      </c>
      <c r="I174" s="2" t="inlineStr">
        <is>
          <t>OBJECTION · Felt nothing</t>
        </is>
      </c>
      <c r="J174" s="2" t="inlineStr">
        <is>
          <t>Weeks 2–4</t>
        </is>
      </c>
      <c r="K174" s="4" t="inlineStr">
        <is>
          <t>Y</t>
        </is>
      </c>
      <c r="L174" s="4" t="inlineStr">
        <is>
          <t>Y</t>
        </is>
      </c>
      <c r="M174" s="4" t="inlineStr"/>
      <c r="N174" s="4" t="inlineStr"/>
      <c r="O174" s="4" t="inlineStr">
        <is>
          <t>Y</t>
        </is>
      </c>
      <c r="P174" s="4">
        <f>IF(C174&lt;12,"Y","")</f>
        <v/>
      </c>
      <c r="Q174" s="4">
        <f>COUNTIF(K174:P174,"Y")</f>
        <v/>
      </c>
      <c r="R174" s="6">
        <f>IF(Q174&gt;=3,"USE","CONTEXT")</f>
        <v/>
      </c>
      <c r="S174" s="2" t="inlineStr">
        <is>
          <t>A1 You won't feel it</t>
        </is>
      </c>
    </row>
    <row r="175">
      <c r="A175" s="2" t="inlineStr">
        <is>
          <t>Q174</t>
        </is>
      </c>
      <c r="B175" s="3" t="inlineStr">
        <is>
          <t>I was alarmed by passion flower extract in the other ingredients list.</t>
        </is>
      </c>
      <c r="C175" s="4">
        <f>IF(LEN(TRIM(B175))=0,0,LEN(TRIM(B175))-LEN(SUBSTITUTE(TRIM(B175)," ",""))+1)</f>
        <v/>
      </c>
      <c r="D175" s="2" t="inlineStr">
        <is>
          <t>Renue By Science Senolytique</t>
        </is>
      </c>
      <c r="E175" s="2" t="inlineStr">
        <is>
          <t>Listing summary</t>
        </is>
      </c>
      <c r="F175" s="2" t="inlineStr">
        <is>
          <t>Paraphrase — not quotable</t>
        </is>
      </c>
      <c r="G175" s="2" t="inlineStr">
        <is>
          <t>Fear</t>
        </is>
      </c>
      <c r="H175" s="2" t="inlineStr">
        <is>
          <t>Verify it's real and safe</t>
        </is>
      </c>
      <c r="I175" s="2" t="inlineStr">
        <is>
          <t>OBJECTION · Hidden excipient</t>
        </is>
      </c>
      <c r="J175" s="2" t="inlineStr">
        <is>
          <t>Reading the label</t>
        </is>
      </c>
      <c r="K175" s="4" t="inlineStr"/>
      <c r="L175" s="4" t="inlineStr"/>
      <c r="M175" s="4" t="inlineStr"/>
      <c r="N175" s="4" t="inlineStr"/>
      <c r="O175" s="4" t="inlineStr">
        <is>
          <t>Y</t>
        </is>
      </c>
      <c r="P175" s="4">
        <f>IF(C175&lt;12,"Y","")</f>
        <v/>
      </c>
      <c r="Q175" s="4">
        <f>COUNTIF(K175:P175,"Y")</f>
        <v/>
      </c>
      <c r="R175" s="5">
        <f>IF(Q175&gt;=3,"USE","CONTEXT")</f>
        <v/>
      </c>
      <c r="S175" s="2" t="inlineStr">
        <is>
          <t>A2 The receipt</t>
        </is>
      </c>
    </row>
    <row r="176">
      <c r="A176" s="2" t="inlineStr">
        <is>
          <t>Q175</t>
        </is>
      </c>
      <c r="B176" s="3" t="inlineStr">
        <is>
          <t>The bottle appears only one-third full.</t>
        </is>
      </c>
      <c r="C176" s="4">
        <f>IF(LEN(TRIM(B176))=0,0,LEN(TRIM(B176))-LEN(SUBSTITUTE(TRIM(B176)," ",""))+1)</f>
        <v/>
      </c>
      <c r="D176" s="2" t="inlineStr">
        <is>
          <t>Renue By Science Senolytique</t>
        </is>
      </c>
      <c r="E176" s="2" t="inlineStr">
        <is>
          <t>Listing summary</t>
        </is>
      </c>
      <c r="F176" s="2" t="inlineStr">
        <is>
          <t>Paraphrase — not quotable</t>
        </is>
      </c>
      <c r="G176" s="2" t="inlineStr">
        <is>
          <t>Anger</t>
        </is>
      </c>
      <c r="H176" s="2" t="inlineStr">
        <is>
          <t>Not get ripped off</t>
        </is>
      </c>
      <c r="I176" s="2" t="inlineStr">
        <is>
          <t>OBJECTION · Fill level</t>
        </is>
      </c>
      <c r="J176" s="2" t="inlineStr">
        <is>
          <t>Unboxing / first inspection</t>
        </is>
      </c>
      <c r="K176" s="4" t="inlineStr"/>
      <c r="L176" s="4" t="inlineStr">
        <is>
          <t>Y</t>
        </is>
      </c>
      <c r="M176" s="4" t="inlineStr"/>
      <c r="N176" s="4" t="inlineStr"/>
      <c r="O176" s="4" t="inlineStr">
        <is>
          <t>Y</t>
        </is>
      </c>
      <c r="P176" s="4">
        <f>IF(C176&lt;12,"Y","")</f>
        <v/>
      </c>
      <c r="Q176" s="4">
        <f>COUNTIF(K176:P176,"Y")</f>
        <v/>
      </c>
      <c r="R176" s="6">
        <f>IF(Q176&gt;=3,"USE","CONTEXT")</f>
        <v/>
      </c>
      <c r="S176" s="2" t="inlineStr">
        <is>
          <t>A3 Do the math</t>
        </is>
      </c>
    </row>
    <row r="177">
      <c r="A177" s="2" t="inlineStr">
        <is>
          <t>Q176</t>
        </is>
      </c>
      <c r="B177" s="3" t="inlineStr">
        <is>
          <t>Zero effects, positive or negative.</t>
        </is>
      </c>
      <c r="C177" s="4">
        <f>IF(LEN(TRIM(B177))=0,0,LEN(TRIM(B177))-LEN(SUBSTITUTE(TRIM(B177)," ",""))+1)</f>
        <v/>
      </c>
      <c r="D177" s="2" t="inlineStr">
        <is>
          <t>Renue By Science Restore PM</t>
        </is>
      </c>
      <c r="E177" s="2" t="inlineStr">
        <is>
          <t>Listing summary</t>
        </is>
      </c>
      <c r="F177" s="2" t="inlineStr">
        <is>
          <t>Quoted fragment</t>
        </is>
      </c>
      <c r="G177" s="2" t="inlineStr">
        <is>
          <t>Grief</t>
        </is>
      </c>
      <c r="H177" s="2" t="inlineStr">
        <is>
          <t>Sleep through the night</t>
        </is>
      </c>
      <c r="I177" s="2" t="inlineStr">
        <is>
          <t>OBJECTION · Felt nothing</t>
        </is>
      </c>
      <c r="J177" s="2" t="inlineStr">
        <is>
          <t>Weeks 2–4</t>
        </is>
      </c>
      <c r="K177" s="4" t="inlineStr"/>
      <c r="L177" s="4" t="inlineStr"/>
      <c r="M177" s="4" t="inlineStr"/>
      <c r="N177" s="4" t="inlineStr"/>
      <c r="O177" s="4" t="inlineStr">
        <is>
          <t>Y</t>
        </is>
      </c>
      <c r="P177" s="4">
        <f>IF(C177&lt;12,"Y","")</f>
        <v/>
      </c>
      <c r="Q177" s="4">
        <f>COUNTIF(K177:P177,"Y")</f>
        <v/>
      </c>
      <c r="R177" s="5">
        <f>IF(Q177&gt;=3,"USE","CONTEXT")</f>
        <v/>
      </c>
      <c r="S177" s="2" t="inlineStr">
        <is>
          <t>A1 You won't feel it</t>
        </is>
      </c>
    </row>
    <row r="178">
      <c r="A178" s="2" t="inlineStr">
        <is>
          <t>Q177</t>
        </is>
      </c>
      <c r="B178" s="3" t="inlineStr">
        <is>
          <t>Hit or miss. Great some nights, useless on others. It feels like a placebo.</t>
        </is>
      </c>
      <c r="C178" s="4">
        <f>IF(LEN(TRIM(B178))=0,0,LEN(TRIM(B178))-LEN(SUBSTITUTE(TRIM(B178)," ",""))+1)</f>
        <v/>
      </c>
      <c r="D178" s="2" t="inlineStr">
        <is>
          <t>Renue By Science Restore PM</t>
        </is>
      </c>
      <c r="E178" s="2" t="inlineStr">
        <is>
          <t>Listing summary</t>
        </is>
      </c>
      <c r="F178" s="2" t="inlineStr">
        <is>
          <t>Quoted fragment</t>
        </is>
      </c>
      <c r="G178" s="2" t="inlineStr">
        <is>
          <t>Anger</t>
        </is>
      </c>
      <c r="H178" s="2" t="inlineStr">
        <is>
          <t>Sleep through the night</t>
        </is>
      </c>
      <c r="I178" s="2" t="inlineStr">
        <is>
          <t>OBJECTION · Placebo suspicion</t>
        </is>
      </c>
      <c r="J178" s="2" t="inlineStr">
        <is>
          <t>Weeks 2–4</t>
        </is>
      </c>
      <c r="K178" s="4" t="inlineStr">
        <is>
          <t>Y</t>
        </is>
      </c>
      <c r="L178" s="4" t="inlineStr"/>
      <c r="M178" s="4" t="inlineStr"/>
      <c r="N178" s="4" t="inlineStr"/>
      <c r="O178" s="4" t="inlineStr">
        <is>
          <t>Y</t>
        </is>
      </c>
      <c r="P178" s="4">
        <f>IF(C178&lt;12,"Y","")</f>
        <v/>
      </c>
      <c r="Q178" s="4">
        <f>COUNTIF(K178:P178,"Y")</f>
        <v/>
      </c>
      <c r="R178" s="5">
        <f>IF(Q178&gt;=3,"USE","CONTEXT")</f>
        <v/>
      </c>
      <c r="S178" s="2" t="inlineStr">
        <is>
          <t>A1 You won't feel it</t>
        </is>
      </c>
    </row>
    <row r="179">
      <c r="A179" s="2" t="inlineStr">
        <is>
          <t>Q178</t>
        </is>
      </c>
      <c r="B179" s="3" t="inlineStr">
        <is>
          <t>I've had chronic insomnia for 18 years and saw no benefit.</t>
        </is>
      </c>
      <c r="C179" s="4">
        <f>IF(LEN(TRIM(B179))=0,0,LEN(TRIM(B179))-LEN(SUBSTITUTE(TRIM(B179)," ",""))+1)</f>
        <v/>
      </c>
      <c r="D179" s="2" t="inlineStr">
        <is>
          <t>Renue By Science Restore PM</t>
        </is>
      </c>
      <c r="E179" s="2" t="inlineStr">
        <is>
          <t>Listing summary</t>
        </is>
      </c>
      <c r="F179" s="2" t="inlineStr">
        <is>
          <t>Paraphrase — not quotable</t>
        </is>
      </c>
      <c r="G179" s="2" t="inlineStr">
        <is>
          <t>Grief</t>
        </is>
      </c>
      <c r="H179" s="2" t="inlineStr">
        <is>
          <t>Sleep through the night</t>
        </is>
      </c>
      <c r="I179" s="2" t="inlineStr">
        <is>
          <t>OBJECTION · Felt nothing</t>
        </is>
      </c>
      <c r="J179" s="2" t="inlineStr">
        <is>
          <t>Weeks 2–4</t>
        </is>
      </c>
      <c r="K179" s="4" t="inlineStr">
        <is>
          <t>Y</t>
        </is>
      </c>
      <c r="L179" s="4" t="inlineStr">
        <is>
          <t>Y</t>
        </is>
      </c>
      <c r="M179" s="4" t="inlineStr"/>
      <c r="N179" s="4" t="inlineStr"/>
      <c r="O179" s="4" t="inlineStr">
        <is>
          <t>Y</t>
        </is>
      </c>
      <c r="P179" s="4">
        <f>IF(C179&lt;12,"Y","")</f>
        <v/>
      </c>
      <c r="Q179" s="4">
        <f>COUNTIF(K179:P179,"Y")</f>
        <v/>
      </c>
      <c r="R179" s="6">
        <f>IF(Q179&gt;=3,"USE","CONTEXT")</f>
        <v/>
      </c>
      <c r="S179" s="2" t="inlineStr">
        <is>
          <t>A1 You won't feel it</t>
        </is>
      </c>
    </row>
    <row r="180">
      <c r="A180" s="2" t="inlineStr">
        <is>
          <t>Q179</t>
        </is>
      </c>
      <c r="B180" s="3" t="inlineStr">
        <is>
          <t>Buying the two ingredients separately was $20 cheaper with better results.</t>
        </is>
      </c>
      <c r="C180" s="4">
        <f>IF(LEN(TRIM(B180))=0,0,LEN(TRIM(B180))-LEN(SUBSTITUTE(TRIM(B180)," ",""))+1)</f>
        <v/>
      </c>
      <c r="D180" s="2" t="inlineStr">
        <is>
          <t>Renue By Science Restore PM</t>
        </is>
      </c>
      <c r="E180" s="2" t="inlineStr">
        <is>
          <t>Listing summary</t>
        </is>
      </c>
      <c r="F180" s="2" t="inlineStr">
        <is>
          <t>Paraphrase — not quotable</t>
        </is>
      </c>
      <c r="G180" s="2" t="inlineStr">
        <is>
          <t>Anger</t>
        </is>
      </c>
      <c r="H180" s="2" t="inlineStr">
        <is>
          <t>Justify the ongoing spend</t>
        </is>
      </c>
      <c r="I180" s="2" t="inlineStr">
        <is>
          <t>OBJECTION · Cost per day</t>
        </is>
      </c>
      <c r="J180" s="2" t="inlineStr">
        <is>
          <t>Reorder decision</t>
        </is>
      </c>
      <c r="K180" s="4" t="inlineStr"/>
      <c r="L180" s="4" t="inlineStr"/>
      <c r="M180" s="4" t="inlineStr"/>
      <c r="N180" s="4" t="inlineStr"/>
      <c r="O180" s="4" t="inlineStr">
        <is>
          <t>Y</t>
        </is>
      </c>
      <c r="P180" s="4">
        <f>IF(C180&lt;12,"Y","")</f>
        <v/>
      </c>
      <c r="Q180" s="4">
        <f>COUNTIF(K180:P180,"Y")</f>
        <v/>
      </c>
      <c r="R180" s="5">
        <f>IF(Q180&gt;=3,"USE","CONTEXT")</f>
        <v/>
      </c>
      <c r="S180" s="2" t="inlineStr">
        <is>
          <t>A3 Do the math</t>
        </is>
      </c>
    </row>
    <row r="181">
      <c r="A181" s="2" t="inlineStr">
        <is>
          <t>Q180</t>
        </is>
      </c>
      <c r="B181" s="3" t="inlineStr">
        <is>
          <t>The melatonin gives me vivid, dark dreams.</t>
        </is>
      </c>
      <c r="C181" s="4">
        <f>IF(LEN(TRIM(B181))=0,0,LEN(TRIM(B181))-LEN(SUBSTITUTE(TRIM(B181)," ",""))+1)</f>
        <v/>
      </c>
      <c r="D181" s="2" t="inlineStr">
        <is>
          <t>Renue By Science Restore PM</t>
        </is>
      </c>
      <c r="E181" s="2" t="inlineStr">
        <is>
          <t>Listing summary</t>
        </is>
      </c>
      <c r="F181" s="2" t="inlineStr">
        <is>
          <t>Paraphrase — not quotable</t>
        </is>
      </c>
      <c r="G181" s="2" t="inlineStr">
        <is>
          <t>Fear</t>
        </is>
      </c>
      <c r="H181" s="2" t="inlineStr">
        <is>
          <t>Sleep through the night</t>
        </is>
      </c>
      <c r="I181" s="2" t="inlineStr">
        <is>
          <t>OBJECTION · Side effect</t>
        </is>
      </c>
      <c r="J181" s="2" t="inlineStr">
        <is>
          <t>Week 1</t>
        </is>
      </c>
      <c r="K181" s="4" t="inlineStr"/>
      <c r="L181" s="4" t="inlineStr">
        <is>
          <t>Y</t>
        </is>
      </c>
      <c r="M181" s="4" t="inlineStr"/>
      <c r="N181" s="4" t="inlineStr"/>
      <c r="O181" s="4" t="inlineStr">
        <is>
          <t>Y</t>
        </is>
      </c>
      <c r="P181" s="4">
        <f>IF(C181&lt;12,"Y","")</f>
        <v/>
      </c>
      <c r="Q181" s="4">
        <f>COUNTIF(K181:P181,"Y")</f>
        <v/>
      </c>
      <c r="R181" s="6">
        <f>IF(Q181&gt;=3,"USE","CONTEXT")</f>
        <v/>
      </c>
      <c r="S181" s="2" t="inlineStr">
        <is>
          <t>A5 Gentle start</t>
        </is>
      </c>
    </row>
    <row r="182">
      <c r="A182" s="2" t="inlineStr">
        <is>
          <t>Q181</t>
        </is>
      </c>
      <c r="B182" s="3" t="inlineStr">
        <is>
          <t>Morning grogginess, particularly for older users.</t>
        </is>
      </c>
      <c r="C182" s="4">
        <f>IF(LEN(TRIM(B182))=0,0,LEN(TRIM(B182))-LEN(SUBSTITUTE(TRIM(B182)," ",""))+1)</f>
        <v/>
      </c>
      <c r="D182" s="2" t="inlineStr">
        <is>
          <t>Renue By Science Restore PM</t>
        </is>
      </c>
      <c r="E182" s="2" t="inlineStr">
        <is>
          <t>Listing summary</t>
        </is>
      </c>
      <c r="F182" s="2" t="inlineStr">
        <is>
          <t>Paraphrase — not quotable</t>
        </is>
      </c>
      <c r="G182" s="2" t="inlineStr">
        <is>
          <t>Grief</t>
        </is>
      </c>
      <c r="H182" s="2" t="inlineStr">
        <is>
          <t>Sleep through the night</t>
        </is>
      </c>
      <c r="I182" s="2" t="inlineStr">
        <is>
          <t>OBJECTION · Side effect</t>
        </is>
      </c>
      <c r="J182" s="2" t="inlineStr">
        <is>
          <t>Week 1</t>
        </is>
      </c>
      <c r="K182" s="4" t="inlineStr">
        <is>
          <t>Y</t>
        </is>
      </c>
      <c r="L182" s="4" t="inlineStr">
        <is>
          <t>Y</t>
        </is>
      </c>
      <c r="M182" s="4" t="inlineStr"/>
      <c r="N182" s="4" t="inlineStr"/>
      <c r="O182" s="4" t="inlineStr">
        <is>
          <t>Y</t>
        </is>
      </c>
      <c r="P182" s="4">
        <f>IF(C182&lt;12,"Y","")</f>
        <v/>
      </c>
      <c r="Q182" s="4">
        <f>COUNTIF(K182:P182,"Y")</f>
        <v/>
      </c>
      <c r="R182" s="6">
        <f>IF(Q182&gt;=3,"USE","CONTEXT")</f>
        <v/>
      </c>
      <c r="S182" s="2" t="inlineStr">
        <is>
          <t>A5 Gentle start</t>
        </is>
      </c>
    </row>
    <row r="183">
      <c r="A183" s="2" t="inlineStr">
        <is>
          <t>Q182</t>
        </is>
      </c>
      <c r="B183" s="3" t="inlineStr">
        <is>
          <t>Is the third-party lab really independent, or the same lab that made the ingredients?</t>
        </is>
      </c>
      <c r="C183" s="4">
        <f>IF(LEN(TRIM(B183))=0,0,LEN(TRIM(B183))-LEN(SUBSTITUTE(TRIM(B183)," ",""))+1)</f>
        <v/>
      </c>
      <c r="D183" s="2" t="inlineStr">
        <is>
          <t>Renue By Science Restore PM</t>
        </is>
      </c>
      <c r="E183" s="2" t="inlineStr">
        <is>
          <t>Listing summary</t>
        </is>
      </c>
      <c r="F183" s="2" t="inlineStr">
        <is>
          <t>Paraphrase — not quotable</t>
        </is>
      </c>
      <c r="G183" s="2" t="inlineStr">
        <is>
          <t>Fear</t>
        </is>
      </c>
      <c r="H183" s="2" t="inlineStr">
        <is>
          <t>Not get ripped off</t>
        </is>
      </c>
      <c r="I183" s="2" t="inlineStr">
        <is>
          <t>OBJECTION · Testing credibility</t>
        </is>
      </c>
      <c r="J183" s="2" t="inlineStr">
        <is>
          <t>Pre-purchase research</t>
        </is>
      </c>
      <c r="K183" s="4" t="inlineStr"/>
      <c r="L183" s="4" t="inlineStr"/>
      <c r="M183" s="4" t="inlineStr"/>
      <c r="N183" s="4" t="inlineStr"/>
      <c r="O183" s="4" t="inlineStr">
        <is>
          <t>Y</t>
        </is>
      </c>
      <c r="P183" s="4">
        <f>IF(C183&lt;12,"Y","")</f>
        <v/>
      </c>
      <c r="Q183" s="4">
        <f>COUNTIF(K183:P183,"Y")</f>
        <v/>
      </c>
      <c r="R183" s="5">
        <f>IF(Q183&gt;=3,"USE","CONTEXT")</f>
        <v/>
      </c>
      <c r="S183" s="2" t="inlineStr">
        <is>
          <t>A2 The receipt</t>
        </is>
      </c>
    </row>
    <row r="184">
      <c r="A184" s="2" t="inlineStr">
        <is>
          <t>Q183</t>
        </is>
      </c>
      <c r="B184" s="3" t="inlineStr">
        <is>
          <t>It tasted like chocolate Gatorade, and not in a good way.</t>
        </is>
      </c>
      <c r="C184" s="4">
        <f>IF(LEN(TRIM(B184))=0,0,LEN(TRIM(B184))-LEN(SUBSTITUTE(TRIM(B184)," ",""))+1)</f>
        <v/>
      </c>
      <c r="D184" s="2" t="inlineStr">
        <is>
          <t>Renue By Science Collagen Powder</t>
        </is>
      </c>
      <c r="E184" s="2" t="inlineStr">
        <is>
          <t>Listing summary</t>
        </is>
      </c>
      <c r="F184" s="2" t="inlineStr">
        <is>
          <t>Quoted fragment</t>
        </is>
      </c>
      <c r="G184" s="2" t="inlineStr">
        <is>
          <t>Anger</t>
        </is>
      </c>
      <c r="H184" s="2" t="inlineStr">
        <is>
          <t>Protect a sensitive body</t>
        </is>
      </c>
      <c r="I184" s="2" t="inlineStr">
        <is>
          <t>OBJECTION · Taste</t>
        </is>
      </c>
      <c r="J184" s="2" t="inlineStr">
        <is>
          <t>First dose</t>
        </is>
      </c>
      <c r="K184" s="4" t="inlineStr"/>
      <c r="L184" s="4" t="inlineStr">
        <is>
          <t>Y</t>
        </is>
      </c>
      <c r="M184" s="4" t="inlineStr"/>
      <c r="N184" s="4" t="inlineStr"/>
      <c r="O184" s="4" t="inlineStr">
        <is>
          <t>Y</t>
        </is>
      </c>
      <c r="P184" s="4">
        <f>IF(C184&lt;12,"Y","")</f>
        <v/>
      </c>
      <c r="Q184" s="4">
        <f>COUNTIF(K184:P184,"Y")</f>
        <v/>
      </c>
      <c r="R184" s="6">
        <f>IF(Q184&gt;=3,"USE","CONTEXT")</f>
        <v/>
      </c>
      <c r="S184" s="2" t="inlineStr">
        <is>
          <t>A5 Gentle start</t>
        </is>
      </c>
    </row>
    <row r="185">
      <c r="A185" s="2" t="inlineStr">
        <is>
          <t>Q184</t>
        </is>
      </c>
      <c r="B185" s="3" t="inlineStr">
        <is>
          <t>Bitter, sour, acrid and oddly salty.</t>
        </is>
      </c>
      <c r="C185" s="4">
        <f>IF(LEN(TRIM(B185))=0,0,LEN(TRIM(B185))-LEN(SUBSTITUTE(TRIM(B185)," ",""))+1)</f>
        <v/>
      </c>
      <c r="D185" s="2" t="inlineStr">
        <is>
          <t>Renue By Science Collagen Powder</t>
        </is>
      </c>
      <c r="E185" s="2" t="inlineStr">
        <is>
          <t>Listing summary</t>
        </is>
      </c>
      <c r="F185" s="2" t="inlineStr">
        <is>
          <t>Paraphrase — not quotable</t>
        </is>
      </c>
      <c r="G185" s="2" t="inlineStr">
        <is>
          <t>Anger</t>
        </is>
      </c>
      <c r="H185" s="2" t="inlineStr">
        <is>
          <t>Protect a sensitive body</t>
        </is>
      </c>
      <c r="I185" s="2" t="inlineStr">
        <is>
          <t>OBJECTION · Taste</t>
        </is>
      </c>
      <c r="J185" s="2" t="inlineStr">
        <is>
          <t>First dose</t>
        </is>
      </c>
      <c r="K185" s="4" t="inlineStr"/>
      <c r="L185" s="4" t="inlineStr">
        <is>
          <t>Y</t>
        </is>
      </c>
      <c r="M185" s="4" t="inlineStr"/>
      <c r="N185" s="4" t="inlineStr"/>
      <c r="O185" s="4" t="inlineStr">
        <is>
          <t>Y</t>
        </is>
      </c>
      <c r="P185" s="4">
        <f>IF(C185&lt;12,"Y","")</f>
        <v/>
      </c>
      <c r="Q185" s="4">
        <f>COUNTIF(K185:P185,"Y")</f>
        <v/>
      </c>
      <c r="R185" s="6">
        <f>IF(Q185&gt;=3,"USE","CONTEXT")</f>
        <v/>
      </c>
      <c r="S185" s="2" t="inlineStr">
        <is>
          <t>A5 Gentle start</t>
        </is>
      </c>
    </row>
    <row r="186">
      <c r="A186" s="2" t="inlineStr">
        <is>
          <t>Q185</t>
        </is>
      </c>
      <c r="B186" s="3" t="inlineStr">
        <is>
          <t>I poured it down the drain after being unable to finish even one cup.</t>
        </is>
      </c>
      <c r="C186" s="4">
        <f>IF(LEN(TRIM(B186))=0,0,LEN(TRIM(B186))-LEN(SUBSTITUTE(TRIM(B186)," ",""))+1)</f>
        <v/>
      </c>
      <c r="D186" s="2" t="inlineStr">
        <is>
          <t>Renue By Science Collagen Powder</t>
        </is>
      </c>
      <c r="E186" s="2" t="inlineStr">
        <is>
          <t>Listing summary</t>
        </is>
      </c>
      <c r="F186" s="2" t="inlineStr">
        <is>
          <t>Paraphrase — not quotable</t>
        </is>
      </c>
      <c r="G186" s="2" t="inlineStr">
        <is>
          <t>Anger</t>
        </is>
      </c>
      <c r="H186" s="2" t="inlineStr">
        <is>
          <t>Protect a sensitive body</t>
        </is>
      </c>
      <c r="I186" s="2" t="inlineStr">
        <is>
          <t>OBJECTION · Taste</t>
        </is>
      </c>
      <c r="J186" s="2" t="inlineStr">
        <is>
          <t>First dose</t>
        </is>
      </c>
      <c r="K186" s="4" t="inlineStr"/>
      <c r="L186" s="4" t="inlineStr">
        <is>
          <t>Y</t>
        </is>
      </c>
      <c r="M186" s="4" t="inlineStr"/>
      <c r="N186" s="4" t="inlineStr">
        <is>
          <t>Y</t>
        </is>
      </c>
      <c r="O186" s="4" t="inlineStr">
        <is>
          <t>Y</t>
        </is>
      </c>
      <c r="P186" s="4">
        <f>IF(C186&lt;12,"Y","")</f>
        <v/>
      </c>
      <c r="Q186" s="4">
        <f>COUNTIF(K186:P186,"Y")</f>
        <v/>
      </c>
      <c r="R186" s="6">
        <f>IF(Q186&gt;=3,"USE","CONTEXT")</f>
        <v/>
      </c>
      <c r="S186" s="2" t="inlineStr">
        <is>
          <t>A5 Gentle start</t>
        </is>
      </c>
    </row>
    <row r="187">
      <c r="A187" s="2" t="inlineStr">
        <is>
          <t>Q186</t>
        </is>
      </c>
      <c r="B187" s="3" t="inlineStr">
        <is>
          <t>Stomach gurgling loud enough that my coworkers noticed.</t>
        </is>
      </c>
      <c r="C187" s="4">
        <f>IF(LEN(TRIM(B187))=0,0,LEN(TRIM(B187))-LEN(SUBSTITUTE(TRIM(B187)," ",""))+1)</f>
        <v/>
      </c>
      <c r="D187" s="2" t="inlineStr">
        <is>
          <t>Renue By Science Collagen Powder</t>
        </is>
      </c>
      <c r="E187" s="2" t="inlineStr">
        <is>
          <t>Listing summary</t>
        </is>
      </c>
      <c r="F187" s="2" t="inlineStr">
        <is>
          <t>Paraphrase — not quotable</t>
        </is>
      </c>
      <c r="G187" s="2" t="inlineStr">
        <is>
          <t>Shame</t>
        </is>
      </c>
      <c r="H187" s="2" t="inlineStr">
        <is>
          <t>Protect a sensitive body</t>
        </is>
      </c>
      <c r="I187" s="2" t="inlineStr">
        <is>
          <t>OBJECTION · Gut reaction</t>
        </is>
      </c>
      <c r="J187" s="2" t="inlineStr">
        <is>
          <t>Week 1</t>
        </is>
      </c>
      <c r="K187" s="4" t="inlineStr">
        <is>
          <t>Y</t>
        </is>
      </c>
      <c r="L187" s="4" t="inlineStr">
        <is>
          <t>Y</t>
        </is>
      </c>
      <c r="M187" s="4" t="inlineStr"/>
      <c r="N187" s="4" t="inlineStr">
        <is>
          <t>Y</t>
        </is>
      </c>
      <c r="O187" s="4" t="inlineStr">
        <is>
          <t>Y</t>
        </is>
      </c>
      <c r="P187" s="4">
        <f>IF(C187&lt;12,"Y","")</f>
        <v/>
      </c>
      <c r="Q187" s="4">
        <f>COUNTIF(K187:P187,"Y")</f>
        <v/>
      </c>
      <c r="R187" s="6">
        <f>IF(Q187&gt;=3,"USE","CONTEXT")</f>
        <v/>
      </c>
      <c r="S187" s="2" t="inlineStr">
        <is>
          <t>A5 Gentle start</t>
        </is>
      </c>
    </row>
    <row r="188">
      <c r="A188" s="2" t="inlineStr">
        <is>
          <t>Q187</t>
        </is>
      </c>
      <c r="B188" s="3" t="inlineStr">
        <is>
          <t>Splitting it into 3 smaller doses a day helped reduce the symptoms.</t>
        </is>
      </c>
      <c r="C188" s="4">
        <f>IF(LEN(TRIM(B188))=0,0,LEN(TRIM(B188))-LEN(SUBSTITUTE(TRIM(B188)," ",""))+1)</f>
        <v/>
      </c>
      <c r="D188" s="2" t="inlineStr">
        <is>
          <t>Renue By Science Collagen Powder</t>
        </is>
      </c>
      <c r="E188" s="2" t="inlineStr">
        <is>
          <t>Listing summary</t>
        </is>
      </c>
      <c r="F188" s="2" t="inlineStr">
        <is>
          <t>Paraphrase — not quotable</t>
        </is>
      </c>
      <c r="G188" s="2" t="inlineStr">
        <is>
          <t>Relief</t>
        </is>
      </c>
      <c r="H188" s="2" t="inlineStr">
        <is>
          <t>Protect a sensitive body</t>
        </is>
      </c>
      <c r="I188" s="2" t="inlineStr">
        <is>
          <t>BENEFIT · Self-invented protocol</t>
        </is>
      </c>
      <c r="J188" s="2" t="inlineStr">
        <is>
          <t>Week 1</t>
        </is>
      </c>
      <c r="K188" s="4" t="inlineStr"/>
      <c r="L188" s="4" t="inlineStr">
        <is>
          <t>Y</t>
        </is>
      </c>
      <c r="M188" s="4" t="inlineStr"/>
      <c r="N188" s="4" t="inlineStr"/>
      <c r="O188" s="4" t="inlineStr">
        <is>
          <t>Y</t>
        </is>
      </c>
      <c r="P188" s="4">
        <f>IF(C188&lt;12,"Y","")</f>
        <v/>
      </c>
      <c r="Q188" s="4">
        <f>COUNTIF(K188:P188,"Y")</f>
        <v/>
      </c>
      <c r="R188" s="5">
        <f>IF(Q188&gt;=3,"USE","CONTEXT")</f>
        <v/>
      </c>
      <c r="S188" s="2" t="inlineStr">
        <is>
          <t>A5 Gentle start</t>
        </is>
      </c>
    </row>
    <row r="189">
      <c r="A189" s="2" t="inlineStr">
        <is>
          <t>Q188</t>
        </is>
      </c>
      <c r="B189" s="3" t="inlineStr">
        <is>
          <t>It overpowers coffee and tastes unpleasant in water.</t>
        </is>
      </c>
      <c r="C189" s="4">
        <f>IF(LEN(TRIM(B189))=0,0,LEN(TRIM(B189))-LEN(SUBSTITUTE(TRIM(B189)," ",""))+1)</f>
        <v/>
      </c>
      <c r="D189" s="2" t="inlineStr">
        <is>
          <t>Renue By Science Collagen Powder</t>
        </is>
      </c>
      <c r="E189" s="2" t="inlineStr">
        <is>
          <t>Listing summary</t>
        </is>
      </c>
      <c r="F189" s="2" t="inlineStr">
        <is>
          <t>Paraphrase — not quotable</t>
        </is>
      </c>
      <c r="G189" s="2" t="inlineStr">
        <is>
          <t>Anger</t>
        </is>
      </c>
      <c r="H189" s="2" t="inlineStr">
        <is>
          <t>Simplify my routine</t>
        </is>
      </c>
      <c r="I189" s="2" t="inlineStr">
        <is>
          <t>OBJECTION · Not versatile</t>
        </is>
      </c>
      <c r="J189" s="2" t="inlineStr">
        <is>
          <t>First dose</t>
        </is>
      </c>
      <c r="K189" s="4" t="inlineStr"/>
      <c r="L189" s="4" t="inlineStr">
        <is>
          <t>Y</t>
        </is>
      </c>
      <c r="M189" s="4" t="inlineStr"/>
      <c r="N189" s="4" t="inlineStr"/>
      <c r="O189" s="4" t="inlineStr">
        <is>
          <t>Y</t>
        </is>
      </c>
      <c r="P189" s="4">
        <f>IF(C189&lt;12,"Y","")</f>
        <v/>
      </c>
      <c r="Q189" s="4">
        <f>COUNTIF(K189:P189,"Y")</f>
        <v/>
      </c>
      <c r="R189" s="6">
        <f>IF(Q189&gt;=3,"USE","CONTEXT")</f>
        <v/>
      </c>
      <c r="S189" s="2" t="inlineStr">
        <is>
          <t>A5 Gentle start</t>
        </is>
      </c>
    </row>
    <row r="190">
      <c r="A190" s="2" t="inlineStr">
        <is>
          <t>Q189</t>
        </is>
      </c>
      <c r="B190" s="3" t="inlineStr">
        <is>
          <t>It works better than Tru Niagen and regular NR supplements.</t>
        </is>
      </c>
      <c r="C190" s="4">
        <f>IF(LEN(TRIM(B190))=0,0,LEN(TRIM(B190))-LEN(SUBSTITUTE(TRIM(B190)," ",""))+1)</f>
        <v/>
      </c>
      <c r="D190" s="2" t="inlineStr">
        <is>
          <t>Renue By Science LIPO NR</t>
        </is>
      </c>
      <c r="E190" s="2" t="inlineStr">
        <is>
          <t>Listing summary</t>
        </is>
      </c>
      <c r="F190" s="2" t="inlineStr">
        <is>
          <t>Paraphrase — not quotable</t>
        </is>
      </c>
      <c r="G190" s="2" t="inlineStr">
        <is>
          <t>Relief</t>
        </is>
      </c>
      <c r="H190" s="2" t="inlineStr">
        <is>
          <t>Get my energy back</t>
        </is>
      </c>
      <c r="I190" s="2" t="inlineStr">
        <is>
          <t>BENEFIT · Beats benchmark</t>
        </is>
      </c>
      <c r="J190" s="2" t="inlineStr">
        <is>
          <t>Comparing brands</t>
        </is>
      </c>
      <c r="K190" s="4" t="inlineStr"/>
      <c r="L190" s="4" t="inlineStr"/>
      <c r="M190" s="4" t="inlineStr">
        <is>
          <t>Y</t>
        </is>
      </c>
      <c r="N190" s="4" t="inlineStr"/>
      <c r="O190" s="4" t="inlineStr">
        <is>
          <t>Y</t>
        </is>
      </c>
      <c r="P190" s="4">
        <f>IF(C190&lt;12,"Y","")</f>
        <v/>
      </c>
      <c r="Q190" s="4">
        <f>COUNTIF(K190:P190,"Y")</f>
        <v/>
      </c>
      <c r="R190" s="6">
        <f>IF(Q190&gt;=3,"USE","CONTEXT")</f>
        <v/>
      </c>
      <c r="S190" s="2" t="inlineStr">
        <is>
          <t>A4 Dose is the product</t>
        </is>
      </c>
    </row>
  </sheetData>
  <autoFilter ref="A1:S1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40" customWidth="1" min="1" max="1"/>
    <col width="10" customWidth="1" min="2" max="2"/>
    <col width="18" customWidth="1" min="3" max="3"/>
  </cols>
  <sheetData>
    <row r="1">
      <c r="A1" s="12" t="inlineStr">
        <is>
          <t>Where the emotional weight sits</t>
        </is>
      </c>
      <c r="B1" s="13" t="n"/>
      <c r="C1" s="13" t="n"/>
    </row>
    <row r="2">
      <c r="A2" s="14" t="inlineStr">
        <is>
          <t>All counts are live formulas over the Quote Bank sheet.</t>
        </is>
      </c>
      <c r="B2" s="13" t="n"/>
      <c r="C2" s="13" t="n"/>
    </row>
    <row r="3">
      <c r="A3" s="13" t="n"/>
      <c r="B3" s="13" t="n"/>
      <c r="C3" s="13" t="n"/>
    </row>
    <row r="4">
      <c r="A4" s="15" t="inlineStr">
        <is>
          <t>By emotion</t>
        </is>
      </c>
      <c r="B4" s="13" t="n"/>
      <c r="C4" s="13" t="n"/>
    </row>
    <row r="5">
      <c r="A5" s="16" t="inlineStr">
        <is>
          <t>Emotion</t>
        </is>
      </c>
      <c r="B5" s="16" t="inlineStr">
        <is>
          <t>Quotes</t>
        </is>
      </c>
      <c r="C5" s="16" t="inlineStr">
        <is>
          <t>Usable (score 3+)</t>
        </is>
      </c>
    </row>
    <row r="6">
      <c r="A6" s="17" t="inlineStr">
        <is>
          <t>Fear</t>
        </is>
      </c>
      <c r="B6" s="17">
        <f>COUNTIF('Quote Bank'!$G$2:$G$190,A6)</f>
        <v/>
      </c>
      <c r="C6" s="17">
        <f>COUNTIFS('Quote Bank'!$G$2:$G$190,A6,'Quote Bank'!$R$2:$R$190,"USE")</f>
        <v/>
      </c>
    </row>
    <row r="7">
      <c r="A7" s="17" t="inlineStr">
        <is>
          <t>Shame</t>
        </is>
      </c>
      <c r="B7" s="17">
        <f>COUNTIF('Quote Bank'!$G$2:$G$190,A7)</f>
        <v/>
      </c>
      <c r="C7" s="17">
        <f>COUNTIFS('Quote Bank'!$G$2:$G$190,A7,'Quote Bank'!$R$2:$R$190,"USE")</f>
        <v/>
      </c>
    </row>
    <row r="8">
      <c r="A8" s="17" t="inlineStr">
        <is>
          <t>Hope</t>
        </is>
      </c>
      <c r="B8" s="17">
        <f>COUNTIF('Quote Bank'!$G$2:$G$190,A8)</f>
        <v/>
      </c>
      <c r="C8" s="17">
        <f>COUNTIFS('Quote Bank'!$G$2:$G$190,A8,'Quote Bank'!$R$2:$R$190,"USE")</f>
        <v/>
      </c>
    </row>
    <row r="9">
      <c r="A9" s="17" t="inlineStr">
        <is>
          <t>Relief</t>
        </is>
      </c>
      <c r="B9" s="17">
        <f>COUNTIF('Quote Bank'!$G$2:$G$190,A9)</f>
        <v/>
      </c>
      <c r="C9" s="17">
        <f>COUNTIFS('Quote Bank'!$G$2:$G$190,A9,'Quote Bank'!$R$2:$R$190,"USE")</f>
        <v/>
      </c>
    </row>
    <row r="10">
      <c r="A10" s="17" t="inlineStr">
        <is>
          <t>Pride</t>
        </is>
      </c>
      <c r="B10" s="17">
        <f>COUNTIF('Quote Bank'!$G$2:$G$190,A10)</f>
        <v/>
      </c>
      <c r="C10" s="17">
        <f>COUNTIFS('Quote Bank'!$G$2:$G$190,A10,'Quote Bank'!$R$2:$R$190,"USE")</f>
        <v/>
      </c>
    </row>
    <row r="11">
      <c r="A11" s="17" t="inlineStr">
        <is>
          <t>Anger</t>
        </is>
      </c>
      <c r="B11" s="17">
        <f>COUNTIF('Quote Bank'!$G$2:$G$190,A11)</f>
        <v/>
      </c>
      <c r="C11" s="17">
        <f>COUNTIFS('Quote Bank'!$G$2:$G$190,A11,'Quote Bank'!$R$2:$R$190,"USE")</f>
        <v/>
      </c>
    </row>
    <row r="12">
      <c r="A12" s="17" t="inlineStr">
        <is>
          <t>Grief</t>
        </is>
      </c>
      <c r="B12" s="17">
        <f>COUNTIF('Quote Bank'!$G$2:$G$190,A12)</f>
        <v/>
      </c>
      <c r="C12" s="17">
        <f>COUNTIFS('Quote Bank'!$G$2:$G$190,A12,'Quote Bank'!$R$2:$R$190,"USE")</f>
        <v/>
      </c>
    </row>
    <row r="13">
      <c r="A13" s="13" t="n"/>
      <c r="B13" s="13" t="n"/>
      <c r="C13" s="13" t="n"/>
    </row>
    <row r="14">
      <c r="A14" s="13" t="n"/>
      <c r="B14" s="13" t="n"/>
      <c r="C14" s="13" t="n"/>
    </row>
    <row r="15">
      <c r="A15" s="15" t="inlineStr">
        <is>
          <t>By job to be done</t>
        </is>
      </c>
      <c r="B15" s="13" t="n"/>
      <c r="C15" s="13" t="n"/>
    </row>
    <row r="16">
      <c r="A16" s="16" t="inlineStr">
        <is>
          <t>Job to be done</t>
        </is>
      </c>
      <c r="B16" s="16" t="inlineStr">
        <is>
          <t>Quotes</t>
        </is>
      </c>
      <c r="C16" s="16" t="inlineStr">
        <is>
          <t>Usable (score 3+)</t>
        </is>
      </c>
    </row>
    <row r="17">
      <c r="A17" s="17" t="inlineStr">
        <is>
          <t>Be the person who did the research</t>
        </is>
      </c>
      <c r="B17" s="17">
        <f>COUNTIF('Quote Bank'!$H$2:$H$190,A17)</f>
        <v/>
      </c>
      <c r="C17" s="17">
        <f>COUNTIFS('Quote Bank'!$H$2:$H$190,A17,'Quote Bank'!$R$2:$R$190,"USE")</f>
        <v/>
      </c>
    </row>
    <row r="18">
      <c r="A18" s="17" t="inlineStr">
        <is>
          <t>Care for my spouse</t>
        </is>
      </c>
      <c r="B18" s="17">
        <f>COUNTIF('Quote Bank'!$H$2:$H$190,A18)</f>
        <v/>
      </c>
      <c r="C18" s="17">
        <f>COUNTIFS('Quote Bank'!$H$2:$H$190,A18,'Quote Bank'!$R$2:$R$190,"USE")</f>
        <v/>
      </c>
    </row>
    <row r="19">
      <c r="A19" s="17" t="inlineStr">
        <is>
          <t>Get my energy back</t>
        </is>
      </c>
      <c r="B19" s="17">
        <f>COUNTIF('Quote Bank'!$H$2:$H$190,A19)</f>
        <v/>
      </c>
      <c r="C19" s="17">
        <f>COUNTIFS('Quote Bank'!$H$2:$H$190,A19,'Quote Bank'!$R$2:$R$190,"USE")</f>
        <v/>
      </c>
    </row>
    <row r="20">
      <c r="A20" s="17" t="inlineStr">
        <is>
          <t>Justify the ongoing spend</t>
        </is>
      </c>
      <c r="B20" s="17">
        <f>COUNTIF('Quote Bank'!$H$2:$H$190,A20)</f>
        <v/>
      </c>
      <c r="C20" s="17">
        <f>COUNTIFS('Quote Bank'!$H$2:$H$190,A20,'Quote Bank'!$R$2:$R$190,"USE")</f>
        <v/>
      </c>
    </row>
    <row r="21">
      <c r="A21" s="17" t="inlineStr">
        <is>
          <t>Know whether it's working</t>
        </is>
      </c>
      <c r="B21" s="17">
        <f>COUNTIF('Quote Bank'!$H$2:$H$190,A21)</f>
        <v/>
      </c>
      <c r="C21" s="17">
        <f>COUNTIFS('Quote Bank'!$H$2:$H$190,A21,'Quote Bank'!$R$2:$R$190,"USE")</f>
        <v/>
      </c>
    </row>
    <row r="22">
      <c r="A22" s="17" t="inlineStr">
        <is>
          <t>Not get ripped off</t>
        </is>
      </c>
      <c r="B22" s="17">
        <f>COUNTIF('Quote Bank'!$H$2:$H$190,A22)</f>
        <v/>
      </c>
      <c r="C22" s="17">
        <f>COUNTIFS('Quote Bank'!$H$2:$H$190,A22,'Quote Bank'!$R$2:$R$190,"USE")</f>
        <v/>
      </c>
    </row>
    <row r="23">
      <c r="A23" s="17" t="inlineStr">
        <is>
          <t>Protect a sensitive body</t>
        </is>
      </c>
      <c r="B23" s="17">
        <f>COUNTIF('Quote Bank'!$H$2:$H$190,A23)</f>
        <v/>
      </c>
      <c r="C23" s="17">
        <f>COUNTIFS('Quote Bank'!$H$2:$H$190,A23,'Quote Bank'!$R$2:$R$190,"USE")</f>
        <v/>
      </c>
    </row>
    <row r="24">
      <c r="A24" s="17" t="inlineStr">
        <is>
          <t>Simplify my routine</t>
        </is>
      </c>
      <c r="B24" s="17">
        <f>COUNTIF('Quote Bank'!$H$2:$H$190,A24)</f>
        <v/>
      </c>
      <c r="C24" s="17">
        <f>COUNTIFS('Quote Bank'!$H$2:$H$190,A24,'Quote Bank'!$R$2:$R$190,"USE")</f>
        <v/>
      </c>
    </row>
    <row r="25">
      <c r="A25" s="17" t="inlineStr">
        <is>
          <t>Sleep through the night</t>
        </is>
      </c>
      <c r="B25" s="17">
        <f>COUNTIF('Quote Bank'!$H$2:$H$190,A25)</f>
        <v/>
      </c>
      <c r="C25" s="17">
        <f>COUNTIFS('Quote Bank'!$H$2:$H$190,A25,'Quote Bank'!$R$2:$R$190,"USE")</f>
        <v/>
      </c>
    </row>
    <row r="26">
      <c r="A26" s="17" t="inlineStr">
        <is>
          <t>Slow visible aging</t>
        </is>
      </c>
      <c r="B26" s="17">
        <f>COUNTIF('Quote Bank'!$H$2:$H$190,A26)</f>
        <v/>
      </c>
      <c r="C26" s="17">
        <f>COUNTIFS('Quote Bank'!$H$2:$H$190,A26,'Quote Bank'!$R$2:$R$190,"USE")</f>
        <v/>
      </c>
    </row>
    <row r="27">
      <c r="A27" s="17" t="inlineStr">
        <is>
          <t>Stay functional as I age</t>
        </is>
      </c>
      <c r="B27" s="17">
        <f>COUNTIF('Quote Bank'!$H$2:$H$190,A27)</f>
        <v/>
      </c>
      <c r="C27" s="17">
        <f>COUNTIFS('Quote Bank'!$H$2:$H$190,A27,'Quote Bank'!$R$2:$R$190,"USE")</f>
        <v/>
      </c>
    </row>
    <row r="28">
      <c r="A28" s="17" t="inlineStr">
        <is>
          <t>Think clearly again</t>
        </is>
      </c>
      <c r="B28" s="17">
        <f>COUNTIF('Quote Bank'!$H$2:$H$190,A28)</f>
        <v/>
      </c>
      <c r="C28" s="17">
        <f>COUNTIFS('Quote Bank'!$H$2:$H$190,A28,'Quote Bank'!$R$2:$R$190,"USE")</f>
        <v/>
      </c>
    </row>
    <row r="29">
      <c r="A29" s="17" t="inlineStr">
        <is>
          <t>Verify it's real and safe</t>
        </is>
      </c>
      <c r="B29" s="17">
        <f>COUNTIF('Quote Bank'!$H$2:$H$190,A29)</f>
        <v/>
      </c>
      <c r="C29" s="17">
        <f>COUNTIFS('Quote Bank'!$H$2:$H$190,A29,'Quote Bank'!$R$2:$R$190,"USE")</f>
        <v/>
      </c>
    </row>
    <row r="30">
      <c r="A30" s="13" t="n"/>
      <c r="B30" s="13" t="n"/>
      <c r="C30" s="13" t="n"/>
    </row>
    <row r="31">
      <c r="A31" s="13" t="n"/>
      <c r="B31" s="13" t="n"/>
      <c r="C31" s="13" t="n"/>
    </row>
    <row r="32">
      <c r="A32" s="15" t="inlineStr">
        <is>
          <t>By trigger moment</t>
        </is>
      </c>
      <c r="B32" s="13" t="n"/>
      <c r="C32" s="13" t="n"/>
    </row>
    <row r="33">
      <c r="A33" s="16" t="inlineStr">
        <is>
          <t>Trigger moment</t>
        </is>
      </c>
      <c r="B33" s="16" t="inlineStr">
        <is>
          <t>Quotes</t>
        </is>
      </c>
      <c r="C33" s="16" t="inlineStr">
        <is>
          <t>Usable (score 3+)</t>
        </is>
      </c>
    </row>
    <row r="34">
      <c r="A34" s="17" t="inlineStr">
        <is>
          <t>Pre-purchase research</t>
        </is>
      </c>
      <c r="B34" s="17">
        <f>COUNTIF('Quote Bank'!$J$2:$J$190,A34)</f>
        <v/>
      </c>
      <c r="C34" s="17">
        <f>COUNTIFS('Quote Bank'!$J$2:$J$190,A34,'Quote Bank'!$R$2:$R$190,"USE")</f>
        <v/>
      </c>
    </row>
    <row r="35">
      <c r="A35" s="17" t="inlineStr">
        <is>
          <t>Comparing brands</t>
        </is>
      </c>
      <c r="B35" s="17">
        <f>COUNTIF('Quote Bank'!$J$2:$J$190,A35)</f>
        <v/>
      </c>
      <c r="C35" s="17">
        <f>COUNTIFS('Quote Bank'!$J$2:$J$190,A35,'Quote Bank'!$R$2:$R$190,"USE")</f>
        <v/>
      </c>
    </row>
    <row r="36">
      <c r="A36" s="17" t="inlineStr">
        <is>
          <t>Reading the label</t>
        </is>
      </c>
      <c r="B36" s="17">
        <f>COUNTIF('Quote Bank'!$J$2:$J$190,A36)</f>
        <v/>
      </c>
      <c r="C36" s="17">
        <f>COUNTIFS('Quote Bank'!$J$2:$J$190,A36,'Quote Bank'!$R$2:$R$190,"USE")</f>
        <v/>
      </c>
    </row>
    <row r="37">
      <c r="A37" s="17" t="inlineStr">
        <is>
          <t>Doing the price math</t>
        </is>
      </c>
      <c r="B37" s="17">
        <f>COUNTIF('Quote Bank'!$J$2:$J$190,A37)</f>
        <v/>
      </c>
      <c r="C37" s="17">
        <f>COUNTIFS('Quote Bank'!$J$2:$J$190,A37,'Quote Bank'!$R$2:$R$190,"USE")</f>
        <v/>
      </c>
    </row>
    <row r="38">
      <c r="A38" s="17" t="inlineStr">
        <is>
          <t>Unboxing / first inspection</t>
        </is>
      </c>
      <c r="B38" s="17">
        <f>COUNTIF('Quote Bank'!$J$2:$J$190,A38)</f>
        <v/>
      </c>
      <c r="C38" s="17">
        <f>COUNTIFS('Quote Bank'!$J$2:$J$190,A38,'Quote Bank'!$R$2:$R$190,"USE")</f>
        <v/>
      </c>
    </row>
    <row r="39">
      <c r="A39" s="17" t="inlineStr">
        <is>
          <t>First dose</t>
        </is>
      </c>
      <c r="B39" s="17">
        <f>COUNTIF('Quote Bank'!$J$2:$J$190,A39)</f>
        <v/>
      </c>
      <c r="C39" s="17">
        <f>COUNTIFS('Quote Bank'!$J$2:$J$190,A39,'Quote Bank'!$R$2:$R$190,"USE")</f>
        <v/>
      </c>
    </row>
    <row r="40">
      <c r="A40" s="17" t="inlineStr">
        <is>
          <t>Week 1</t>
        </is>
      </c>
      <c r="B40" s="17">
        <f>COUNTIF('Quote Bank'!$J$2:$J$190,A40)</f>
        <v/>
      </c>
      <c r="C40" s="17">
        <f>COUNTIFS('Quote Bank'!$J$2:$J$190,A40,'Quote Bank'!$R$2:$R$190,"USE")</f>
        <v/>
      </c>
    </row>
    <row r="41">
      <c r="A41" s="17" t="inlineStr">
        <is>
          <t>Weeks 2–4</t>
        </is>
      </c>
      <c r="B41" s="17">
        <f>COUNTIF('Quote Bank'!$J$2:$J$190,A41)</f>
        <v/>
      </c>
      <c r="C41" s="17">
        <f>COUNTIFS('Quote Bank'!$J$2:$J$190,A41,'Quote Bank'!$R$2:$R$190,"USE")</f>
        <v/>
      </c>
    </row>
    <row r="42">
      <c r="A42" s="17" t="inlineStr">
        <is>
          <t>Month 2+</t>
        </is>
      </c>
      <c r="B42" s="17">
        <f>COUNTIF('Quote Bank'!$J$2:$J$190,A42)</f>
        <v/>
      </c>
      <c r="C42" s="17">
        <f>COUNTIFS('Quote Bank'!$J$2:$J$190,A42,'Quote Bank'!$R$2:$R$190,"USE")</f>
        <v/>
      </c>
    </row>
    <row r="43">
      <c r="A43" s="17" t="inlineStr">
        <is>
          <t>Reorder decision</t>
        </is>
      </c>
      <c r="B43" s="17">
        <f>COUNTIF('Quote Bank'!$J$2:$J$190,A43)</f>
        <v/>
      </c>
      <c r="C43" s="17">
        <f>COUNTIFS('Quote Bank'!$J$2:$J$190,A43,'Quote Bank'!$R$2:$R$190,"USE")</f>
        <v/>
      </c>
    </row>
    <row r="44">
      <c r="A44" s="17" t="inlineStr">
        <is>
          <t>Abandonment / refund</t>
        </is>
      </c>
      <c r="B44" s="17">
        <f>COUNTIF('Quote Bank'!$J$2:$J$190,A44)</f>
        <v/>
      </c>
      <c r="C44" s="17">
        <f>COUNTIFS('Quote Bank'!$J$2:$J$190,A44,'Quote Bank'!$R$2:$R$190,"USE")</f>
        <v/>
      </c>
    </row>
    <row r="45">
      <c r="A45" s="17" t="inlineStr">
        <is>
          <t>Warning others</t>
        </is>
      </c>
      <c r="B45" s="17">
        <f>COUNTIF('Quote Bank'!$J$2:$J$190,A45)</f>
        <v/>
      </c>
      <c r="C45" s="17">
        <f>COUNTIFS('Quote Bank'!$J$2:$J$190,A45,'Quote Bank'!$R$2:$R$190,"USE")</f>
        <v/>
      </c>
    </row>
    <row r="46">
      <c r="A46" s="13" t="n"/>
      <c r="B46" s="13" t="n"/>
      <c r="C46" s="13" t="n"/>
    </row>
    <row r="47">
      <c r="A47" s="13" t="n"/>
      <c r="B47" s="13" t="n"/>
      <c r="C47" s="13" t="n"/>
    </row>
    <row r="48">
      <c r="A48" s="15" t="inlineStr">
        <is>
          <t>By angle (maps to the teardown)</t>
        </is>
      </c>
      <c r="B48" s="13" t="n"/>
      <c r="C48" s="13" t="n"/>
    </row>
    <row r="49">
      <c r="A49" s="16" t="inlineStr">
        <is>
          <t>Angle</t>
        </is>
      </c>
      <c r="B49" s="16" t="inlineStr">
        <is>
          <t>Quotes</t>
        </is>
      </c>
      <c r="C49" s="16" t="inlineStr">
        <is>
          <t>Usable (score 3+)</t>
        </is>
      </c>
    </row>
    <row r="50">
      <c r="A50" s="17" t="inlineStr">
        <is>
          <t>A1 You won't feel it</t>
        </is>
      </c>
      <c r="B50" s="17">
        <f>COUNTIF('Quote Bank'!$S$2:$S$190,A50)</f>
        <v/>
      </c>
      <c r="C50" s="17">
        <f>COUNTIFS('Quote Bank'!$S$2:$S$190,A50,'Quote Bank'!$R$2:$R$190,"USE")</f>
        <v/>
      </c>
    </row>
    <row r="51">
      <c r="A51" s="17" t="inlineStr">
        <is>
          <t>A2 The receipt</t>
        </is>
      </c>
      <c r="B51" s="17">
        <f>COUNTIF('Quote Bank'!$S$2:$S$190,A51)</f>
        <v/>
      </c>
      <c r="C51" s="17">
        <f>COUNTIFS('Quote Bank'!$S$2:$S$190,A51,'Quote Bank'!$R$2:$R$190,"USE")</f>
        <v/>
      </c>
    </row>
    <row r="52">
      <c r="A52" s="17" t="inlineStr">
        <is>
          <t>A3 Do the math</t>
        </is>
      </c>
      <c r="B52" s="17">
        <f>COUNTIF('Quote Bank'!$S$2:$S$190,A52)</f>
        <v/>
      </c>
      <c r="C52" s="17">
        <f>COUNTIFS('Quote Bank'!$S$2:$S$190,A52,'Quote Bank'!$R$2:$R$190,"USE")</f>
        <v/>
      </c>
    </row>
    <row r="53">
      <c r="A53" s="17" t="inlineStr">
        <is>
          <t>A4 Dose is the product</t>
        </is>
      </c>
      <c r="B53" s="17">
        <f>COUNTIF('Quote Bank'!$S$2:$S$190,A53)</f>
        <v/>
      </c>
      <c r="C53" s="17">
        <f>COUNTIFS('Quote Bank'!$S$2:$S$190,A53,'Quote Bank'!$R$2:$R$190,"USE")</f>
        <v/>
      </c>
    </row>
    <row r="54">
      <c r="A54" s="17" t="inlineStr">
        <is>
          <t>A5 Gentle start</t>
        </is>
      </c>
      <c r="B54" s="17">
        <f>COUNTIF('Quote Bank'!$S$2:$S$190,A54)</f>
        <v/>
      </c>
      <c r="C54" s="17">
        <f>COUNTIFS('Quote Bank'!$S$2:$S$190,A54,'Quote Bank'!$R$2:$R$190,"USE")</f>
        <v/>
      </c>
    </row>
    <row r="55">
      <c r="A55" s="17" t="inlineStr">
        <is>
          <t>A6 Retire the shelf</t>
        </is>
      </c>
      <c r="B55" s="17">
        <f>COUNTIF('Quote Bank'!$S$2:$S$190,A55)</f>
        <v/>
      </c>
      <c r="C55" s="17">
        <f>COUNTIFS('Quote Bank'!$S$2:$S$190,A55,'Quote Bank'!$R$2:$R$190,"USE")</f>
        <v/>
      </c>
    </row>
    <row r="56">
      <c r="A56" s="17" t="inlineStr">
        <is>
          <t>A7 Honest science</t>
        </is>
      </c>
      <c r="B56" s="17">
        <f>COUNTIF('Quote Bank'!$S$2:$S$190,A56)</f>
        <v/>
      </c>
      <c r="C56" s="17">
        <f>COUNTIFS('Quote Bank'!$S$2:$S$190,A56,'Quote Bank'!$R$2:$R$190,"USE")</f>
        <v/>
      </c>
    </row>
    <row r="57">
      <c r="A57" s="17" t="inlineStr">
        <is>
          <t>§07 Guardrail — do not use</t>
        </is>
      </c>
      <c r="B57" s="17">
        <f>COUNTIF('Quote Bank'!$S$2:$S$190,A57)</f>
        <v/>
      </c>
      <c r="C57" s="17">
        <f>COUNTIFS('Quote Bank'!$S$2:$S$190,A57,'Quote Bank'!$R$2:$R$190,"USE")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8" customWidth="1" min="1" max="1"/>
  </cols>
  <sheetData>
    <row r="1">
      <c r="A1" s="18" t="inlineStr">
        <is>
          <t>Voice-of-Customer Bank — how to use it</t>
        </is>
      </c>
    </row>
    <row r="3">
      <c r="A3" s="19" t="inlineStr">
        <is>
          <t>One quote per row. Tagged so you can filter down to the exact line you need, then write copy that is transcription rather than invention.</t>
        </is>
      </c>
    </row>
    <row r="5">
      <c r="A5" s="20" t="inlineStr">
        <is>
          <t>The six markers</t>
        </is>
      </c>
    </row>
    <row r="6">
      <c r="A6" s="19" t="inlineStr">
        <is>
          <t>A quote earns a marker for each of these it contains. Column Q sums them; column R turns that into a verdict.</t>
        </is>
      </c>
    </row>
    <row r="8">
      <c r="A8" s="19" t="inlineStr">
        <is>
          <t>•  Time/place — names a specific hour, day, age or setting. "I took two pills around 8am."</t>
        </is>
      </c>
    </row>
    <row r="9">
      <c r="A9" s="19" t="inlineStr">
        <is>
          <t>•  Physical — a bodily sensation, not an abstraction. "Stomach gurgling loud enough that my coworkers noticed."</t>
        </is>
      </c>
    </row>
    <row r="10">
      <c r="A10" s="19" t="inlineStr">
        <is>
          <t>•  Former self — measures now against a previous version of themselves. "At 65 I needed more energy, not less."</t>
        </is>
      </c>
    </row>
    <row r="11">
      <c r="A11" s="19" t="inlineStr">
        <is>
          <t>•  Admission — something slightly embarrassing to say out loud. "I counted them to be sure."</t>
        </is>
      </c>
    </row>
    <row r="12">
      <c r="A12" s="19" t="inlineStr">
        <is>
          <t>•  Plain — everyday unbranded speech, no jargon, no ingredient names.</t>
        </is>
      </c>
    </row>
    <row r="13">
      <c r="A13" s="19" t="inlineStr">
        <is>
          <t>•  &lt;12 words — computed live from the word count in column C.</t>
        </is>
      </c>
    </row>
    <row r="14">
      <c r="A14" s="20" t="inlineStr">
        <is>
          <t>The verdict rule</t>
        </is>
      </c>
    </row>
    <row r="15">
      <c r="A15" s="19" t="inlineStr">
        <is>
          <t>3 or more markers = USE. These are the lines that can carry an ad, a subject line, or a headline more or less as written. Under 3 = CONTEXT: true and useful for understanding the buyer, but too abstract to run as copy. Roughly a third of the bank clears the bar, which is normal — you are looking for the few dozen lines that sound like a person, not a category.</t>
        </is>
      </c>
    </row>
    <row r="17">
      <c r="A17" s="20" t="inlineStr">
        <is>
          <t>Provenance — read this before you quote anything publicly</t>
        </is>
      </c>
    </row>
    <row r="18">
      <c r="A18" s="19" t="inlineStr">
        <is>
          <t>•  Verbatim — transcribed from a full review in the source document. The reviewer name, star rating and date are in column E.</t>
        </is>
      </c>
    </row>
    <row r="19">
      <c r="A19" s="19" t="inlineStr">
        <is>
          <t>•  Quoted fragment — a phrase that appeared in quotation marks inside a listing summary. Real customer wording, but partial and unattributed.</t>
        </is>
      </c>
    </row>
    <row r="20">
      <c r="A20" s="19" t="inlineStr">
        <is>
          <t>•  Paraphrase — not quotable — a summariser's restatement of what reviewers said. Use it to find the angle. Never present it as a customer quote.</t>
        </is>
      </c>
    </row>
    <row r="21">
      <c r="A21" s="19" t="inlineStr">
        <is>
          <t>Only Verbatim rows are safe to reproduce as testimonials, and even then they belong to competitors' customers — they are research input for your own copy, not social proof you can publish. Any performance claim you echo needs its own substantiation, and creator content needs its material connection disclosed.</t>
        </is>
      </c>
    </row>
    <row r="23">
      <c r="A23" s="20" t="inlineStr">
        <is>
          <t>Rows shaded red</t>
        </is>
      </c>
    </row>
    <row r="24">
      <c r="A24" s="19" t="inlineStr">
        <is>
          <t>Three rows touch disease treatment or medication replacement (COPD, IBS, blood pressure). They are in the bank because they reveal real buyer intent, and they are flagged because building any claim on them would be a regulatory problem. Serve that intent with gentleness and simplicity messaging only.</t>
        </is>
      </c>
    </row>
    <row r="26">
      <c r="A26" s="20" t="inlineStr">
        <is>
          <t>Source caveat</t>
        </is>
      </c>
    </row>
    <row r="27">
      <c r="A27" s="19" t="inlineStr">
        <is>
          <t>The underlying document mixes about ten full verbatim reviews with AI-generated summaries of competitor listings. Percentages quoted in those summaries are directional, not measured. Treat this bank as a language and hypothesis source, then re-run the same tagging on your own reviews, support tickets and refund reasons — that is where the Prime-specific version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2026-08-13T18:50:18Z</dcterms:created>
  <dcterms:modified xmlns:dcterms="http://purl.org/dc/terms/" xmlns:xsi="http://www.w3.org/2001/XMLSchema-instance" xsi:type="dcterms:W3CDTF">2026-08-13T18:50:18Z</dcterms:modified>
</cp:coreProperties>
</file>